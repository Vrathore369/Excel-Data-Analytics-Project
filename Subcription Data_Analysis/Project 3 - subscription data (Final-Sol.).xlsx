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anduji\Desktop\IotaAcadmey_DataAnalytic\Excel\Excel Project\Complete Excel project Iota\Subscription Cohot Project\"/>
    </mc:Choice>
  </mc:AlternateContent>
  <xr:revisionPtr revIDLastSave="0" documentId="13_ncr:1_{4481280B-5CB5-4556-95A7-68C9959625A0}" xr6:coauthVersionLast="47" xr6:coauthVersionMax="47" xr10:uidLastSave="{00000000-0000-0000-0000-000000000000}"/>
  <bookViews>
    <workbookView xWindow="-110" yWindow="-110" windowWidth="19420" windowHeight="10300" firstSheet="3" activeTab="6" xr2:uid="{737754C9-3FCA-4827-97BD-FD513499A12B}"/>
  </bookViews>
  <sheets>
    <sheet name="Subscription Cohort Data" sheetId="9" r:id="rId1"/>
    <sheet name="Data Description" sheetId="10" r:id="rId2"/>
    <sheet name="Requirements" sheetId="11" r:id="rId3"/>
    <sheet name="dashbord_feeder" sheetId="13" r:id="rId4"/>
    <sheet name="Data_Analytics_Task" sheetId="12" r:id="rId5"/>
    <sheet name="Dashboard" sheetId="15" r:id="rId6"/>
    <sheet name="Question_Analysis" sheetId="21" r:id="rId7"/>
  </sheets>
  <definedNames>
    <definedName name="_xlnm._FilterDatabase" localSheetId="0" hidden="1">'Subscription Cohort Data'!$A$1:$F$3070</definedName>
    <definedName name="_xlcn.WorksheetConnection_Project3Solsubscriptiondataversion1.xlsb.xlsxTable1was_subscription_paid1" hidden="1">Table1[was_subscription_paid]</definedName>
    <definedName name="_xlcn.WorksheetConnection_Project3subscriptiondata.xlsxTable11" hidden="1">Table1[]</definedName>
    <definedName name="Slicer_created_date__Year1">#N/A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was_subscription_paid" name="Table1 was_subscription_paid" connection="WorksheetConnection_Project 3-Sol - subscription data (version 1).xlsb.xlsx!Table1[was_subscription_paid]"/>
          <x15:modelTable id="Table1" name="Table1" connection="WorksheetConnection_Project 3 - subscription data.xlsx!Table1"/>
        </x15:modelTables>
        <x15:extLst>
          <ext xmlns:x16="http://schemas.microsoft.com/office/spreadsheetml/2014/11/main" uri="{9835A34E-60A6-4A7C-AAB8-D5F71C897F49}">
            <x16:modelTimeGroupings>
              <x16:modelTimeGrouping tableName="Table1" columnName="created_date" columnId="created_date">
                <x16:calculatedTimeColumn columnName="created_date (Year)" columnId="created_date (Year)" contentType="years" isSelected="1"/>
                <x16:calculatedTimeColumn columnName="created_date (Quarter)" columnId="created_date (Quarter)" contentType="quarters" isSelected="1"/>
                <x16:calculatedTimeColumn columnName="created_date (Month Index)" columnId="created_date (Month Index)" contentType="monthsindex" isSelected="1"/>
                <x16:calculatedTimeColumn columnName="created_date (Month)" columnId="created_date (Month)" contentType="months" isSelected="1"/>
              </x16:modelTimeGrouping>
              <x16:modelTimeGrouping tableName="Table1" columnName="canceled_date" columnId="canceled_date">
                <x16:calculatedTimeColumn columnName="canceled_date (Year)" columnId="canceled_date (Year)" contentType="years" isSelected="1"/>
                <x16:calculatedTimeColumn columnName="canceled_date (Quarter)" columnId="canceled_date (Quarter)" contentType="quarters" isSelected="1"/>
                <x16:calculatedTimeColumn columnName="canceled_date (Month Index)" columnId="canceled_date (Month Index)" contentType="monthsindex" isSelected="1"/>
                <x16:calculatedTimeColumn columnName="canceled_date (Month)" columnId="canceled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5" i="21" l="1"/>
  <c r="D38" i="21"/>
  <c r="D40" i="21"/>
  <c r="D39" i="21"/>
  <c r="D37" i="21"/>
  <c r="D36" i="21"/>
  <c r="D35" i="21"/>
  <c r="B6" i="12"/>
  <c r="F35" i="21" l="1"/>
  <c r="D13" i="21" a="1"/>
  <c r="D13" i="21" s="1"/>
  <c r="E13" i="21" s="1"/>
  <c r="H3059" i="9"/>
  <c r="D12" i="13"/>
  <c r="C11" i="12"/>
  <c r="B11" i="12"/>
  <c r="D6" i="12"/>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337" i="9"/>
  <c r="G2338" i="9"/>
  <c r="G2339" i="9"/>
  <c r="G2340" i="9"/>
  <c r="G2341" i="9"/>
  <c r="G2342" i="9"/>
  <c r="G2343" i="9"/>
  <c r="G2344" i="9"/>
  <c r="G2345" i="9"/>
  <c r="G2346" i="9"/>
  <c r="G2347" i="9"/>
  <c r="G2348" i="9"/>
  <c r="G2349" i="9"/>
  <c r="G2350" i="9"/>
  <c r="G2351" i="9"/>
  <c r="G2352" i="9"/>
  <c r="G2353" i="9"/>
  <c r="G2354" i="9"/>
  <c r="G2355" i="9"/>
  <c r="G2356" i="9"/>
  <c r="G2357" i="9"/>
  <c r="G2358" i="9"/>
  <c r="G2359" i="9"/>
  <c r="G2360" i="9"/>
  <c r="G2361" i="9"/>
  <c r="G2362" i="9"/>
  <c r="G2363" i="9"/>
  <c r="G2364" i="9"/>
  <c r="G2365" i="9"/>
  <c r="G2366" i="9"/>
  <c r="G2367" i="9"/>
  <c r="G2368" i="9"/>
  <c r="G2369" i="9"/>
  <c r="G2370" i="9"/>
  <c r="G2371" i="9"/>
  <c r="G2372" i="9"/>
  <c r="G2373" i="9"/>
  <c r="G2374" i="9"/>
  <c r="G2375" i="9"/>
  <c r="G2376" i="9"/>
  <c r="G2377" i="9"/>
  <c r="G2378" i="9"/>
  <c r="G2379" i="9"/>
  <c r="G2380" i="9"/>
  <c r="G2381" i="9"/>
  <c r="G2382" i="9"/>
  <c r="G2383" i="9"/>
  <c r="G2384" i="9"/>
  <c r="G2385" i="9"/>
  <c r="G2386" i="9"/>
  <c r="G2387" i="9"/>
  <c r="G2388" i="9"/>
  <c r="G2389" i="9"/>
  <c r="G2390" i="9"/>
  <c r="G2391" i="9"/>
  <c r="G2392" i="9"/>
  <c r="G2393" i="9"/>
  <c r="G2394" i="9"/>
  <c r="G2395" i="9"/>
  <c r="G2396" i="9"/>
  <c r="G2397" i="9"/>
  <c r="G2398" i="9"/>
  <c r="G2399" i="9"/>
  <c r="G2400" i="9"/>
  <c r="G2401" i="9"/>
  <c r="G2402" i="9"/>
  <c r="G2403" i="9"/>
  <c r="G2404" i="9"/>
  <c r="G2405" i="9"/>
  <c r="G2406" i="9"/>
  <c r="G2407" i="9"/>
  <c r="G2408" i="9"/>
  <c r="G2409" i="9"/>
  <c r="G2410" i="9"/>
  <c r="G2411" i="9"/>
  <c r="G2412" i="9"/>
  <c r="G2413" i="9"/>
  <c r="G2414" i="9"/>
  <c r="G2415" i="9"/>
  <c r="G2416" i="9"/>
  <c r="G2417" i="9"/>
  <c r="G2418" i="9"/>
  <c r="G2419" i="9"/>
  <c r="G2420" i="9"/>
  <c r="G2421" i="9"/>
  <c r="G2422" i="9"/>
  <c r="G2423" i="9"/>
  <c r="G2424" i="9"/>
  <c r="G2425" i="9"/>
  <c r="G2426" i="9"/>
  <c r="G2427" i="9"/>
  <c r="G2428" i="9"/>
  <c r="G2429" i="9"/>
  <c r="G2430" i="9"/>
  <c r="G2431" i="9"/>
  <c r="G2432" i="9"/>
  <c r="G2433" i="9"/>
  <c r="G2434" i="9"/>
  <c r="G2435" i="9"/>
  <c r="G2436" i="9"/>
  <c r="G2437" i="9"/>
  <c r="G2438" i="9"/>
  <c r="G2439" i="9"/>
  <c r="G2440" i="9"/>
  <c r="G2441" i="9"/>
  <c r="G2442" i="9"/>
  <c r="G2443" i="9"/>
  <c r="G2444" i="9"/>
  <c r="G2445" i="9"/>
  <c r="G2446" i="9"/>
  <c r="G2447" i="9"/>
  <c r="G2448" i="9"/>
  <c r="G2449" i="9"/>
  <c r="G2450" i="9"/>
  <c r="G2451" i="9"/>
  <c r="G2452" i="9"/>
  <c r="G2453" i="9"/>
  <c r="G2454" i="9"/>
  <c r="G2455" i="9"/>
  <c r="G2456" i="9"/>
  <c r="G2457" i="9"/>
  <c r="G2458" i="9"/>
  <c r="G2459" i="9"/>
  <c r="G2460" i="9"/>
  <c r="G2461" i="9"/>
  <c r="G2462" i="9"/>
  <c r="G2463" i="9"/>
  <c r="G2464" i="9"/>
  <c r="G2465" i="9"/>
  <c r="G2466" i="9"/>
  <c r="G2467" i="9"/>
  <c r="G2468" i="9"/>
  <c r="G2469" i="9"/>
  <c r="G2470" i="9"/>
  <c r="G2471" i="9"/>
  <c r="G2472" i="9"/>
  <c r="G2473" i="9"/>
  <c r="G2474" i="9"/>
  <c r="G2475" i="9"/>
  <c r="G2476" i="9"/>
  <c r="G2477" i="9"/>
  <c r="G2478" i="9"/>
  <c r="G2479" i="9"/>
  <c r="G2480" i="9"/>
  <c r="G2481" i="9"/>
  <c r="G2482" i="9"/>
  <c r="G2483" i="9"/>
  <c r="G2484" i="9"/>
  <c r="G2485" i="9"/>
  <c r="G2486" i="9"/>
  <c r="G2487" i="9"/>
  <c r="G2488" i="9"/>
  <c r="G2489" i="9"/>
  <c r="G2490" i="9"/>
  <c r="G2491" i="9"/>
  <c r="G2492" i="9"/>
  <c r="G2493" i="9"/>
  <c r="G2494" i="9"/>
  <c r="G2495" i="9"/>
  <c r="G2496" i="9"/>
  <c r="G2497" i="9"/>
  <c r="G2498" i="9"/>
  <c r="G2499" i="9"/>
  <c r="G2500" i="9"/>
  <c r="G2501" i="9"/>
  <c r="G2502" i="9"/>
  <c r="G2503" i="9"/>
  <c r="G2504" i="9"/>
  <c r="G2505" i="9"/>
  <c r="G2506" i="9"/>
  <c r="G2507" i="9"/>
  <c r="G2508" i="9"/>
  <c r="G2509" i="9"/>
  <c r="G2510" i="9"/>
  <c r="G2511" i="9"/>
  <c r="G2512" i="9"/>
  <c r="G2513" i="9"/>
  <c r="G2514" i="9"/>
  <c r="G2515" i="9"/>
  <c r="G2516" i="9"/>
  <c r="G2517" i="9"/>
  <c r="G2518" i="9"/>
  <c r="G2519" i="9"/>
  <c r="G2520" i="9"/>
  <c r="G2521" i="9"/>
  <c r="G2522" i="9"/>
  <c r="G2523" i="9"/>
  <c r="G2524" i="9"/>
  <c r="G2525" i="9"/>
  <c r="G2526" i="9"/>
  <c r="G2527" i="9"/>
  <c r="G2528" i="9"/>
  <c r="G2529" i="9"/>
  <c r="G2530" i="9"/>
  <c r="G2531" i="9"/>
  <c r="G2532" i="9"/>
  <c r="G2533" i="9"/>
  <c r="G2534" i="9"/>
  <c r="G2535" i="9"/>
  <c r="G2536" i="9"/>
  <c r="G2537" i="9"/>
  <c r="G2538" i="9"/>
  <c r="G2539" i="9"/>
  <c r="G2540" i="9"/>
  <c r="G2541" i="9"/>
  <c r="G2542" i="9"/>
  <c r="G2543" i="9"/>
  <c r="G2544" i="9"/>
  <c r="G2545" i="9"/>
  <c r="G2546" i="9"/>
  <c r="G2547" i="9"/>
  <c r="G2548" i="9"/>
  <c r="G2549" i="9"/>
  <c r="G2550" i="9"/>
  <c r="G2551" i="9"/>
  <c r="G2552" i="9"/>
  <c r="G2553" i="9"/>
  <c r="G2554" i="9"/>
  <c r="G2555" i="9"/>
  <c r="G2556" i="9"/>
  <c r="G2557" i="9"/>
  <c r="G2558" i="9"/>
  <c r="G2559" i="9"/>
  <c r="G2560" i="9"/>
  <c r="G2561" i="9"/>
  <c r="G2562" i="9"/>
  <c r="G2563" i="9"/>
  <c r="G2564" i="9"/>
  <c r="G2565" i="9"/>
  <c r="G2566" i="9"/>
  <c r="G2567" i="9"/>
  <c r="G2568" i="9"/>
  <c r="G2569" i="9"/>
  <c r="G2570" i="9"/>
  <c r="G2571" i="9"/>
  <c r="G2572" i="9"/>
  <c r="G2573" i="9"/>
  <c r="G2574" i="9"/>
  <c r="G2575" i="9"/>
  <c r="G2576" i="9"/>
  <c r="G2577" i="9"/>
  <c r="G2578" i="9"/>
  <c r="G2579" i="9"/>
  <c r="G2580" i="9"/>
  <c r="G2581" i="9"/>
  <c r="G2582" i="9"/>
  <c r="G2583" i="9"/>
  <c r="G2584" i="9"/>
  <c r="G2585" i="9"/>
  <c r="G2586" i="9"/>
  <c r="G2587" i="9"/>
  <c r="G2588" i="9"/>
  <c r="G2589" i="9"/>
  <c r="G2590" i="9"/>
  <c r="G2591" i="9"/>
  <c r="G2592" i="9"/>
  <c r="G2593" i="9"/>
  <c r="G2594" i="9"/>
  <c r="G2595" i="9"/>
  <c r="G2596" i="9"/>
  <c r="G2597" i="9"/>
  <c r="G2598" i="9"/>
  <c r="G2599" i="9"/>
  <c r="G2600" i="9"/>
  <c r="G2601" i="9"/>
  <c r="G2602" i="9"/>
  <c r="G2603" i="9"/>
  <c r="G2604" i="9"/>
  <c r="G2605" i="9"/>
  <c r="G2606" i="9"/>
  <c r="G2607" i="9"/>
  <c r="G2608" i="9"/>
  <c r="G2609" i="9"/>
  <c r="G2610" i="9"/>
  <c r="G2611" i="9"/>
  <c r="G2612" i="9"/>
  <c r="G2613" i="9"/>
  <c r="G2614" i="9"/>
  <c r="G2615" i="9"/>
  <c r="G2616" i="9"/>
  <c r="G2617" i="9"/>
  <c r="G2618" i="9"/>
  <c r="G2619" i="9"/>
  <c r="G2620" i="9"/>
  <c r="G2621" i="9"/>
  <c r="G2622" i="9"/>
  <c r="G2623" i="9"/>
  <c r="G2624" i="9"/>
  <c r="G2625" i="9"/>
  <c r="G2626" i="9"/>
  <c r="G2627" i="9"/>
  <c r="G2628" i="9"/>
  <c r="G2629" i="9"/>
  <c r="G2630" i="9"/>
  <c r="G2631" i="9"/>
  <c r="G2632" i="9"/>
  <c r="G2633" i="9"/>
  <c r="G2634" i="9"/>
  <c r="G2635" i="9"/>
  <c r="G2636" i="9"/>
  <c r="G2637" i="9"/>
  <c r="G2638" i="9"/>
  <c r="G2639" i="9"/>
  <c r="G2640" i="9"/>
  <c r="G2641" i="9"/>
  <c r="G2642" i="9"/>
  <c r="G2643" i="9"/>
  <c r="G2644" i="9"/>
  <c r="G2645" i="9"/>
  <c r="G2646" i="9"/>
  <c r="G2647" i="9"/>
  <c r="G2648" i="9"/>
  <c r="G2649" i="9"/>
  <c r="G2650" i="9"/>
  <c r="G2651" i="9"/>
  <c r="G2652" i="9"/>
  <c r="G2653" i="9"/>
  <c r="G2654" i="9"/>
  <c r="G2655" i="9"/>
  <c r="G2656" i="9"/>
  <c r="G2657" i="9"/>
  <c r="G2658" i="9"/>
  <c r="G2659" i="9"/>
  <c r="G2660" i="9"/>
  <c r="G2661" i="9"/>
  <c r="G2662" i="9"/>
  <c r="G2663" i="9"/>
  <c r="G2664" i="9"/>
  <c r="G2665" i="9"/>
  <c r="G2666" i="9"/>
  <c r="G2667" i="9"/>
  <c r="G2668" i="9"/>
  <c r="G2669" i="9"/>
  <c r="G2670" i="9"/>
  <c r="G2671" i="9"/>
  <c r="G2672" i="9"/>
  <c r="G2673" i="9"/>
  <c r="G2674" i="9"/>
  <c r="G2675" i="9"/>
  <c r="G2676" i="9"/>
  <c r="G2677" i="9"/>
  <c r="G2678" i="9"/>
  <c r="G2679" i="9"/>
  <c r="G2680" i="9"/>
  <c r="G2681" i="9"/>
  <c r="G2682" i="9"/>
  <c r="G2683" i="9"/>
  <c r="G2684" i="9"/>
  <c r="G2685" i="9"/>
  <c r="G2686" i="9"/>
  <c r="G2687" i="9"/>
  <c r="G2688" i="9"/>
  <c r="G2689" i="9"/>
  <c r="G2690" i="9"/>
  <c r="G2691" i="9"/>
  <c r="G2692" i="9"/>
  <c r="G2693" i="9"/>
  <c r="G2694" i="9"/>
  <c r="G2695" i="9"/>
  <c r="G2696" i="9"/>
  <c r="G2697" i="9"/>
  <c r="G2698" i="9"/>
  <c r="G2699" i="9"/>
  <c r="G2700" i="9"/>
  <c r="G2701" i="9"/>
  <c r="G2702" i="9"/>
  <c r="G2703" i="9"/>
  <c r="G2704" i="9"/>
  <c r="G2705" i="9"/>
  <c r="G2706" i="9"/>
  <c r="G2707" i="9"/>
  <c r="G2708" i="9"/>
  <c r="G2709" i="9"/>
  <c r="G2710" i="9"/>
  <c r="G2711" i="9"/>
  <c r="G2712" i="9"/>
  <c r="G2713" i="9"/>
  <c r="G2714" i="9"/>
  <c r="G2715" i="9"/>
  <c r="G2716" i="9"/>
  <c r="G2717" i="9"/>
  <c r="G2718" i="9"/>
  <c r="G2719" i="9"/>
  <c r="G2720" i="9"/>
  <c r="G2721" i="9"/>
  <c r="G2722" i="9"/>
  <c r="G2723" i="9"/>
  <c r="G2724" i="9"/>
  <c r="G2725" i="9"/>
  <c r="G2726" i="9"/>
  <c r="G2727" i="9"/>
  <c r="G2728" i="9"/>
  <c r="G2729" i="9"/>
  <c r="G2730" i="9"/>
  <c r="G2731" i="9"/>
  <c r="G2732" i="9"/>
  <c r="G2733" i="9"/>
  <c r="G2734" i="9"/>
  <c r="G2735" i="9"/>
  <c r="G2736" i="9"/>
  <c r="G2737" i="9"/>
  <c r="G2738" i="9"/>
  <c r="G2739" i="9"/>
  <c r="G2740" i="9"/>
  <c r="G2741" i="9"/>
  <c r="G2742" i="9"/>
  <c r="G2743" i="9"/>
  <c r="G2744" i="9"/>
  <c r="G2745" i="9"/>
  <c r="G2746" i="9"/>
  <c r="G2747" i="9"/>
  <c r="G2748" i="9"/>
  <c r="G2749" i="9"/>
  <c r="G2750" i="9"/>
  <c r="G2751" i="9"/>
  <c r="G2752" i="9"/>
  <c r="G2753" i="9"/>
  <c r="G2754" i="9"/>
  <c r="G2755" i="9"/>
  <c r="G2756" i="9"/>
  <c r="G2757" i="9"/>
  <c r="G2758" i="9"/>
  <c r="G2759" i="9"/>
  <c r="G2760" i="9"/>
  <c r="G2761" i="9"/>
  <c r="G2762" i="9"/>
  <c r="G2763" i="9"/>
  <c r="G2764" i="9"/>
  <c r="G2765" i="9"/>
  <c r="G2766" i="9"/>
  <c r="G2767" i="9"/>
  <c r="G2768" i="9"/>
  <c r="G2769" i="9"/>
  <c r="G2770" i="9"/>
  <c r="G2771" i="9"/>
  <c r="G2772" i="9"/>
  <c r="G2773" i="9"/>
  <c r="G2774" i="9"/>
  <c r="G2775" i="9"/>
  <c r="G2776" i="9"/>
  <c r="G2777" i="9"/>
  <c r="G2778" i="9"/>
  <c r="G2779" i="9"/>
  <c r="G2780" i="9"/>
  <c r="G2781" i="9"/>
  <c r="G2782" i="9"/>
  <c r="G2783" i="9"/>
  <c r="G2784" i="9"/>
  <c r="G2785" i="9"/>
  <c r="G2786" i="9"/>
  <c r="G2787" i="9"/>
  <c r="G2788" i="9"/>
  <c r="G2789" i="9"/>
  <c r="G2790" i="9"/>
  <c r="G2791" i="9"/>
  <c r="G2792" i="9"/>
  <c r="G2793" i="9"/>
  <c r="G2794" i="9"/>
  <c r="G2795" i="9"/>
  <c r="G2796" i="9"/>
  <c r="G2797" i="9"/>
  <c r="G2798" i="9"/>
  <c r="G2799" i="9"/>
  <c r="G2800" i="9"/>
  <c r="G2801" i="9"/>
  <c r="G2802" i="9"/>
  <c r="G2803" i="9"/>
  <c r="G2804" i="9"/>
  <c r="G2805" i="9"/>
  <c r="G2806" i="9"/>
  <c r="G2807" i="9"/>
  <c r="G2808" i="9"/>
  <c r="G2809" i="9"/>
  <c r="G2810" i="9"/>
  <c r="G2811" i="9"/>
  <c r="G2812" i="9"/>
  <c r="G2813" i="9"/>
  <c r="G2814" i="9"/>
  <c r="G2815" i="9"/>
  <c r="G2816" i="9"/>
  <c r="G2817" i="9"/>
  <c r="G2818" i="9"/>
  <c r="G2819" i="9"/>
  <c r="G2820" i="9"/>
  <c r="G2821" i="9"/>
  <c r="G2822" i="9"/>
  <c r="G2823" i="9"/>
  <c r="G2824" i="9"/>
  <c r="G2825" i="9"/>
  <c r="G2826" i="9"/>
  <c r="G2827" i="9"/>
  <c r="G2828" i="9"/>
  <c r="G2829" i="9"/>
  <c r="G2830" i="9"/>
  <c r="G2831" i="9"/>
  <c r="G2832" i="9"/>
  <c r="G2833" i="9"/>
  <c r="G2834" i="9"/>
  <c r="G2835" i="9"/>
  <c r="G2836" i="9"/>
  <c r="G2837" i="9"/>
  <c r="G2838" i="9"/>
  <c r="G2839" i="9"/>
  <c r="G2840" i="9"/>
  <c r="G2841" i="9"/>
  <c r="G2842" i="9"/>
  <c r="G2843" i="9"/>
  <c r="G2844" i="9"/>
  <c r="G2845" i="9"/>
  <c r="G2846" i="9"/>
  <c r="G2847" i="9"/>
  <c r="G2848" i="9"/>
  <c r="G2849" i="9"/>
  <c r="G2850" i="9"/>
  <c r="G2851" i="9"/>
  <c r="G2852" i="9"/>
  <c r="G2853" i="9"/>
  <c r="G2854" i="9"/>
  <c r="G2855" i="9"/>
  <c r="G2856" i="9"/>
  <c r="G2857" i="9"/>
  <c r="G2858" i="9"/>
  <c r="G2859" i="9"/>
  <c r="G2860" i="9"/>
  <c r="G2861" i="9"/>
  <c r="G2862" i="9"/>
  <c r="G2863" i="9"/>
  <c r="G2864" i="9"/>
  <c r="G2865" i="9"/>
  <c r="G2866" i="9"/>
  <c r="G2867" i="9"/>
  <c r="G2868" i="9"/>
  <c r="G2869" i="9"/>
  <c r="G2870" i="9"/>
  <c r="G2871" i="9"/>
  <c r="G2872" i="9"/>
  <c r="G2873" i="9"/>
  <c r="G2874" i="9"/>
  <c r="G2875" i="9"/>
  <c r="G2876" i="9"/>
  <c r="G2877" i="9"/>
  <c r="G2878" i="9"/>
  <c r="G2879" i="9"/>
  <c r="G2880" i="9"/>
  <c r="G2881" i="9"/>
  <c r="G2882" i="9"/>
  <c r="G2883" i="9"/>
  <c r="G2884" i="9"/>
  <c r="G2885" i="9"/>
  <c r="G2886" i="9"/>
  <c r="G2887" i="9"/>
  <c r="G2888" i="9"/>
  <c r="G2889" i="9"/>
  <c r="G2890" i="9"/>
  <c r="G2891" i="9"/>
  <c r="G2892" i="9"/>
  <c r="G2893" i="9"/>
  <c r="G2894" i="9"/>
  <c r="G2895" i="9"/>
  <c r="G2896" i="9"/>
  <c r="G2897" i="9"/>
  <c r="G2898" i="9"/>
  <c r="G2899" i="9"/>
  <c r="G2900" i="9"/>
  <c r="G2901" i="9"/>
  <c r="G2902" i="9"/>
  <c r="G2903" i="9"/>
  <c r="G2904" i="9"/>
  <c r="G2905" i="9"/>
  <c r="G2906" i="9"/>
  <c r="G2907" i="9"/>
  <c r="G2908" i="9"/>
  <c r="G2909" i="9"/>
  <c r="G2910" i="9"/>
  <c r="G2911" i="9"/>
  <c r="G2912" i="9"/>
  <c r="G2913" i="9"/>
  <c r="G2914" i="9"/>
  <c r="G2915" i="9"/>
  <c r="G2916" i="9"/>
  <c r="G2917" i="9"/>
  <c r="G2918" i="9"/>
  <c r="G2919" i="9"/>
  <c r="G2920" i="9"/>
  <c r="G2921" i="9"/>
  <c r="G2922" i="9"/>
  <c r="G2923" i="9"/>
  <c r="G2924" i="9"/>
  <c r="G2925" i="9"/>
  <c r="G2926" i="9"/>
  <c r="G2927" i="9"/>
  <c r="G2928" i="9"/>
  <c r="G2929" i="9"/>
  <c r="G2930" i="9"/>
  <c r="G2931" i="9"/>
  <c r="G2932" i="9"/>
  <c r="G2933" i="9"/>
  <c r="G2934" i="9"/>
  <c r="G2935" i="9"/>
  <c r="G2936" i="9"/>
  <c r="G2937" i="9"/>
  <c r="G2938" i="9"/>
  <c r="G2939" i="9"/>
  <c r="G2940" i="9"/>
  <c r="G2941" i="9"/>
  <c r="G2942" i="9"/>
  <c r="G2943" i="9"/>
  <c r="G2944" i="9"/>
  <c r="G2945" i="9"/>
  <c r="G2946" i="9"/>
  <c r="G2947" i="9"/>
  <c r="G2948" i="9"/>
  <c r="G2949" i="9"/>
  <c r="G2950" i="9"/>
  <c r="G2951" i="9"/>
  <c r="G2952" i="9"/>
  <c r="G2953" i="9"/>
  <c r="G2954" i="9"/>
  <c r="G2955" i="9"/>
  <c r="G2956" i="9"/>
  <c r="G2957" i="9"/>
  <c r="G2958" i="9"/>
  <c r="G2959" i="9"/>
  <c r="G2960" i="9"/>
  <c r="G2961" i="9"/>
  <c r="G2962" i="9"/>
  <c r="G2963" i="9"/>
  <c r="G2964" i="9"/>
  <c r="G2965" i="9"/>
  <c r="G2966" i="9"/>
  <c r="G2967" i="9"/>
  <c r="G2968" i="9"/>
  <c r="G2969" i="9"/>
  <c r="G2970" i="9"/>
  <c r="G2971" i="9"/>
  <c r="G2972" i="9"/>
  <c r="G2973" i="9"/>
  <c r="G2974" i="9"/>
  <c r="G2975" i="9"/>
  <c r="G2976" i="9"/>
  <c r="G2977" i="9"/>
  <c r="G2978" i="9"/>
  <c r="G2979" i="9"/>
  <c r="G2980" i="9"/>
  <c r="G2981" i="9"/>
  <c r="G2982" i="9"/>
  <c r="G2983" i="9"/>
  <c r="G2984" i="9"/>
  <c r="G2985" i="9"/>
  <c r="G2986" i="9"/>
  <c r="G2987" i="9"/>
  <c r="G2988" i="9"/>
  <c r="G2989" i="9"/>
  <c r="G2990" i="9"/>
  <c r="G2991" i="9"/>
  <c r="G2992" i="9"/>
  <c r="G2993" i="9"/>
  <c r="G2994" i="9"/>
  <c r="G2995" i="9"/>
  <c r="G2996" i="9"/>
  <c r="G2997" i="9"/>
  <c r="G2998" i="9"/>
  <c r="G2999" i="9"/>
  <c r="G3000" i="9"/>
  <c r="G3001" i="9"/>
  <c r="G3002" i="9"/>
  <c r="G3003" i="9"/>
  <c r="G3004" i="9"/>
  <c r="G3005" i="9"/>
  <c r="G3006" i="9"/>
  <c r="G3007" i="9"/>
  <c r="G3008" i="9"/>
  <c r="G3009" i="9"/>
  <c r="G3010" i="9"/>
  <c r="G3011" i="9"/>
  <c r="G3012" i="9"/>
  <c r="G3013" i="9"/>
  <c r="G3014" i="9"/>
  <c r="G3015" i="9"/>
  <c r="G3016" i="9"/>
  <c r="G3017" i="9"/>
  <c r="G3018" i="9"/>
  <c r="G3019" i="9"/>
  <c r="G3020" i="9"/>
  <c r="G3021" i="9"/>
  <c r="G3022" i="9"/>
  <c r="G3023" i="9"/>
  <c r="G3024" i="9"/>
  <c r="G3025" i="9"/>
  <c r="G3026" i="9"/>
  <c r="G3027" i="9"/>
  <c r="G3028" i="9"/>
  <c r="G3029" i="9"/>
  <c r="G3030" i="9"/>
  <c r="G3031" i="9"/>
  <c r="G3032" i="9"/>
  <c r="G3033" i="9"/>
  <c r="G3034" i="9"/>
  <c r="G3035" i="9"/>
  <c r="G3036" i="9"/>
  <c r="G3037" i="9"/>
  <c r="G3038" i="9"/>
  <c r="G3039" i="9"/>
  <c r="G3040" i="9"/>
  <c r="G3041" i="9"/>
  <c r="G3042" i="9"/>
  <c r="G3043" i="9"/>
  <c r="G3044" i="9"/>
  <c r="G3045" i="9"/>
  <c r="G3046" i="9"/>
  <c r="G3047" i="9"/>
  <c r="G3048" i="9"/>
  <c r="G3049" i="9"/>
  <c r="G3050" i="9"/>
  <c r="G3051" i="9"/>
  <c r="G3052" i="9"/>
  <c r="G3053" i="9"/>
  <c r="G3054" i="9"/>
  <c r="G3055" i="9"/>
  <c r="G3056" i="9"/>
  <c r="G3057" i="9"/>
  <c r="G3058" i="9"/>
  <c r="G3059" i="9"/>
  <c r="G3060" i="9"/>
  <c r="G3061" i="9"/>
  <c r="G3062" i="9"/>
  <c r="G3063" i="9"/>
  <c r="G3064" i="9"/>
  <c r="G3065" i="9"/>
  <c r="G3066" i="9"/>
  <c r="G3067" i="9"/>
  <c r="G3068" i="9"/>
  <c r="G3069" i="9"/>
  <c r="G3070" i="9"/>
  <c r="G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H2337" i="9"/>
  <c r="H2338" i="9"/>
  <c r="H2339" i="9"/>
  <c r="H2340" i="9"/>
  <c r="H2341" i="9"/>
  <c r="H2342" i="9"/>
  <c r="H2343" i="9"/>
  <c r="H2344" i="9"/>
  <c r="H2345" i="9"/>
  <c r="H2346" i="9"/>
  <c r="H2347" i="9"/>
  <c r="H2348" i="9"/>
  <c r="H2349" i="9"/>
  <c r="H2350" i="9"/>
  <c r="H2351" i="9"/>
  <c r="H2352" i="9"/>
  <c r="H2353" i="9"/>
  <c r="H2354" i="9"/>
  <c r="H2355" i="9"/>
  <c r="H2356" i="9"/>
  <c r="H2357" i="9"/>
  <c r="H2358" i="9"/>
  <c r="H2359" i="9"/>
  <c r="H2360" i="9"/>
  <c r="H2361" i="9"/>
  <c r="H2362" i="9"/>
  <c r="H2363" i="9"/>
  <c r="H2364" i="9"/>
  <c r="H2365" i="9"/>
  <c r="H2366" i="9"/>
  <c r="H2367" i="9"/>
  <c r="H2368" i="9"/>
  <c r="H2369" i="9"/>
  <c r="H2370" i="9"/>
  <c r="H2371" i="9"/>
  <c r="H2372" i="9"/>
  <c r="H2373" i="9"/>
  <c r="H2374" i="9"/>
  <c r="H2375" i="9"/>
  <c r="H2376" i="9"/>
  <c r="H2377" i="9"/>
  <c r="H2378" i="9"/>
  <c r="H2379" i="9"/>
  <c r="H2380" i="9"/>
  <c r="H2381" i="9"/>
  <c r="H2382" i="9"/>
  <c r="H2383" i="9"/>
  <c r="H2384" i="9"/>
  <c r="H2385" i="9"/>
  <c r="H2386" i="9"/>
  <c r="H2387" i="9"/>
  <c r="H2388" i="9"/>
  <c r="H2389" i="9"/>
  <c r="H2390" i="9"/>
  <c r="H2391" i="9"/>
  <c r="H2392" i="9"/>
  <c r="H2393" i="9"/>
  <c r="H2394" i="9"/>
  <c r="H2395" i="9"/>
  <c r="H2396" i="9"/>
  <c r="H2397" i="9"/>
  <c r="H2398" i="9"/>
  <c r="H2399" i="9"/>
  <c r="H2400" i="9"/>
  <c r="H2401" i="9"/>
  <c r="H2402" i="9"/>
  <c r="H2403" i="9"/>
  <c r="H2404" i="9"/>
  <c r="H2405" i="9"/>
  <c r="H2406" i="9"/>
  <c r="H2407" i="9"/>
  <c r="H2408" i="9"/>
  <c r="H2409" i="9"/>
  <c r="H2410" i="9"/>
  <c r="H2411" i="9"/>
  <c r="H2412" i="9"/>
  <c r="H2413" i="9"/>
  <c r="H2414" i="9"/>
  <c r="H2415" i="9"/>
  <c r="H2416" i="9"/>
  <c r="H2417" i="9"/>
  <c r="H2418" i="9"/>
  <c r="H2419" i="9"/>
  <c r="H2420" i="9"/>
  <c r="H2421" i="9"/>
  <c r="H2422" i="9"/>
  <c r="H2423" i="9"/>
  <c r="H2424" i="9"/>
  <c r="H2425" i="9"/>
  <c r="H2426" i="9"/>
  <c r="H2427" i="9"/>
  <c r="H2428" i="9"/>
  <c r="H2429" i="9"/>
  <c r="H2430" i="9"/>
  <c r="H2431" i="9"/>
  <c r="H2432" i="9"/>
  <c r="H2433" i="9"/>
  <c r="H2434" i="9"/>
  <c r="H2435" i="9"/>
  <c r="H2436" i="9"/>
  <c r="H2437" i="9"/>
  <c r="H2438" i="9"/>
  <c r="H2439" i="9"/>
  <c r="H2440" i="9"/>
  <c r="H2441" i="9"/>
  <c r="H2442" i="9"/>
  <c r="H2443" i="9"/>
  <c r="H2444" i="9"/>
  <c r="H2445" i="9"/>
  <c r="H2446" i="9"/>
  <c r="H2447" i="9"/>
  <c r="H2448" i="9"/>
  <c r="H2449" i="9"/>
  <c r="H2450" i="9"/>
  <c r="H2451" i="9"/>
  <c r="H2452" i="9"/>
  <c r="H2453" i="9"/>
  <c r="H2454" i="9"/>
  <c r="H2455" i="9"/>
  <c r="H2456" i="9"/>
  <c r="H2457" i="9"/>
  <c r="H2458" i="9"/>
  <c r="H2459" i="9"/>
  <c r="H2460" i="9"/>
  <c r="H2461" i="9"/>
  <c r="H2462" i="9"/>
  <c r="H2463" i="9"/>
  <c r="H2464" i="9"/>
  <c r="H2465" i="9"/>
  <c r="H2466" i="9"/>
  <c r="H2467" i="9"/>
  <c r="H2468" i="9"/>
  <c r="H2469" i="9"/>
  <c r="H2470" i="9"/>
  <c r="H2471" i="9"/>
  <c r="H2472" i="9"/>
  <c r="H2473" i="9"/>
  <c r="H2474" i="9"/>
  <c r="H2475" i="9"/>
  <c r="H2476" i="9"/>
  <c r="H2477" i="9"/>
  <c r="H2478" i="9"/>
  <c r="H2479" i="9"/>
  <c r="H2480" i="9"/>
  <c r="H2481" i="9"/>
  <c r="H2482" i="9"/>
  <c r="H2483" i="9"/>
  <c r="H2484" i="9"/>
  <c r="H2485" i="9"/>
  <c r="H2486" i="9"/>
  <c r="H2487" i="9"/>
  <c r="H2488" i="9"/>
  <c r="H2489" i="9"/>
  <c r="H2490" i="9"/>
  <c r="H2491" i="9"/>
  <c r="H2492" i="9"/>
  <c r="H2493" i="9"/>
  <c r="H2494" i="9"/>
  <c r="H2495" i="9"/>
  <c r="H2496" i="9"/>
  <c r="H2497" i="9"/>
  <c r="H2498" i="9"/>
  <c r="H2499" i="9"/>
  <c r="H2500" i="9"/>
  <c r="H2501" i="9"/>
  <c r="H2502" i="9"/>
  <c r="H2503" i="9"/>
  <c r="H2504" i="9"/>
  <c r="H2505" i="9"/>
  <c r="H2506" i="9"/>
  <c r="H2507" i="9"/>
  <c r="H2508" i="9"/>
  <c r="H2509" i="9"/>
  <c r="H2510" i="9"/>
  <c r="H2511" i="9"/>
  <c r="H2512" i="9"/>
  <c r="H2513" i="9"/>
  <c r="H2514" i="9"/>
  <c r="H2515" i="9"/>
  <c r="H2516" i="9"/>
  <c r="H2517" i="9"/>
  <c r="H2518" i="9"/>
  <c r="H2519" i="9"/>
  <c r="H2520" i="9"/>
  <c r="H2521" i="9"/>
  <c r="H2522" i="9"/>
  <c r="H2523" i="9"/>
  <c r="H2524" i="9"/>
  <c r="H2525" i="9"/>
  <c r="H2526" i="9"/>
  <c r="H2527" i="9"/>
  <c r="H2528" i="9"/>
  <c r="H2529" i="9"/>
  <c r="H2530" i="9"/>
  <c r="H2531" i="9"/>
  <c r="H2532" i="9"/>
  <c r="H2533" i="9"/>
  <c r="H2534" i="9"/>
  <c r="H2535" i="9"/>
  <c r="H2536" i="9"/>
  <c r="H2537" i="9"/>
  <c r="H2538" i="9"/>
  <c r="H2539" i="9"/>
  <c r="H2540" i="9"/>
  <c r="H2541" i="9"/>
  <c r="H2542" i="9"/>
  <c r="H2543" i="9"/>
  <c r="H2544" i="9"/>
  <c r="H2545" i="9"/>
  <c r="H2546" i="9"/>
  <c r="H2547" i="9"/>
  <c r="H2548" i="9"/>
  <c r="H2549" i="9"/>
  <c r="H2550" i="9"/>
  <c r="H2551" i="9"/>
  <c r="H2552" i="9"/>
  <c r="H2553" i="9"/>
  <c r="H2554" i="9"/>
  <c r="H2555" i="9"/>
  <c r="H2556" i="9"/>
  <c r="H2557" i="9"/>
  <c r="H2558" i="9"/>
  <c r="H2559" i="9"/>
  <c r="H2560" i="9"/>
  <c r="H2561" i="9"/>
  <c r="H2562" i="9"/>
  <c r="H2563" i="9"/>
  <c r="H2564" i="9"/>
  <c r="H2565" i="9"/>
  <c r="H2566" i="9"/>
  <c r="H2567" i="9"/>
  <c r="H2568" i="9"/>
  <c r="H2569" i="9"/>
  <c r="H2570" i="9"/>
  <c r="H2571" i="9"/>
  <c r="H2572" i="9"/>
  <c r="H2573" i="9"/>
  <c r="H2574" i="9"/>
  <c r="H2575" i="9"/>
  <c r="H2576" i="9"/>
  <c r="H2577" i="9"/>
  <c r="H2578" i="9"/>
  <c r="H2579" i="9"/>
  <c r="H2580" i="9"/>
  <c r="H2581" i="9"/>
  <c r="H2582" i="9"/>
  <c r="H2583" i="9"/>
  <c r="H2584" i="9"/>
  <c r="H2585" i="9"/>
  <c r="H2586" i="9"/>
  <c r="H2587" i="9"/>
  <c r="H2588" i="9"/>
  <c r="H2589" i="9"/>
  <c r="H2590" i="9"/>
  <c r="H2591" i="9"/>
  <c r="H2592" i="9"/>
  <c r="H2593" i="9"/>
  <c r="H2594" i="9"/>
  <c r="H2595" i="9"/>
  <c r="H2596" i="9"/>
  <c r="H2597" i="9"/>
  <c r="H2598" i="9"/>
  <c r="H2599" i="9"/>
  <c r="H2600" i="9"/>
  <c r="H2601" i="9"/>
  <c r="H2602" i="9"/>
  <c r="H2603" i="9"/>
  <c r="H2604" i="9"/>
  <c r="H2605" i="9"/>
  <c r="H2606" i="9"/>
  <c r="H2607" i="9"/>
  <c r="H2608" i="9"/>
  <c r="H2609" i="9"/>
  <c r="H2610" i="9"/>
  <c r="H2611" i="9"/>
  <c r="H2612" i="9"/>
  <c r="H2613" i="9"/>
  <c r="H2614" i="9"/>
  <c r="H2615" i="9"/>
  <c r="H2616" i="9"/>
  <c r="H2617" i="9"/>
  <c r="H2618" i="9"/>
  <c r="H2619" i="9"/>
  <c r="H2620" i="9"/>
  <c r="H2621" i="9"/>
  <c r="H2622" i="9"/>
  <c r="H2623" i="9"/>
  <c r="H2624" i="9"/>
  <c r="H2625" i="9"/>
  <c r="H2626" i="9"/>
  <c r="H2627" i="9"/>
  <c r="H2628" i="9"/>
  <c r="H2629" i="9"/>
  <c r="H2630" i="9"/>
  <c r="H2631" i="9"/>
  <c r="H2632" i="9"/>
  <c r="H2633" i="9"/>
  <c r="H2634" i="9"/>
  <c r="H2635" i="9"/>
  <c r="H2636" i="9"/>
  <c r="H2637" i="9"/>
  <c r="H2638" i="9"/>
  <c r="H2639" i="9"/>
  <c r="H2640" i="9"/>
  <c r="H2641" i="9"/>
  <c r="H2642" i="9"/>
  <c r="H2643" i="9"/>
  <c r="H2644" i="9"/>
  <c r="H2645" i="9"/>
  <c r="H2646" i="9"/>
  <c r="H2647" i="9"/>
  <c r="H2648" i="9"/>
  <c r="H2649" i="9"/>
  <c r="H2650" i="9"/>
  <c r="H2651" i="9"/>
  <c r="H2652" i="9"/>
  <c r="H2653" i="9"/>
  <c r="H2654" i="9"/>
  <c r="H2655" i="9"/>
  <c r="H2656" i="9"/>
  <c r="H2657" i="9"/>
  <c r="H2658" i="9"/>
  <c r="H2659" i="9"/>
  <c r="H2660" i="9"/>
  <c r="H2661" i="9"/>
  <c r="H2662" i="9"/>
  <c r="H2663" i="9"/>
  <c r="H2664" i="9"/>
  <c r="H2665" i="9"/>
  <c r="H2666" i="9"/>
  <c r="H2667" i="9"/>
  <c r="H2668" i="9"/>
  <c r="H2669" i="9"/>
  <c r="H2670" i="9"/>
  <c r="H2671" i="9"/>
  <c r="H2672" i="9"/>
  <c r="H2673" i="9"/>
  <c r="H2674" i="9"/>
  <c r="H2675" i="9"/>
  <c r="H2676" i="9"/>
  <c r="H2677" i="9"/>
  <c r="H2678" i="9"/>
  <c r="H2679" i="9"/>
  <c r="H2680" i="9"/>
  <c r="H2681" i="9"/>
  <c r="H2682" i="9"/>
  <c r="H2683" i="9"/>
  <c r="H2684" i="9"/>
  <c r="H2685" i="9"/>
  <c r="H2686" i="9"/>
  <c r="H2687" i="9"/>
  <c r="H2688" i="9"/>
  <c r="H2689" i="9"/>
  <c r="H2690" i="9"/>
  <c r="H2691" i="9"/>
  <c r="H2692" i="9"/>
  <c r="H2693" i="9"/>
  <c r="H2694" i="9"/>
  <c r="H2695" i="9"/>
  <c r="H2696" i="9"/>
  <c r="H2697" i="9"/>
  <c r="H2698" i="9"/>
  <c r="H2699" i="9"/>
  <c r="H2700" i="9"/>
  <c r="H2701" i="9"/>
  <c r="H2702" i="9"/>
  <c r="H2703" i="9"/>
  <c r="H2704" i="9"/>
  <c r="H2705" i="9"/>
  <c r="H2706" i="9"/>
  <c r="H2707" i="9"/>
  <c r="H2708" i="9"/>
  <c r="H2709" i="9"/>
  <c r="H2710" i="9"/>
  <c r="H2711" i="9"/>
  <c r="H2712" i="9"/>
  <c r="H2713" i="9"/>
  <c r="H2714" i="9"/>
  <c r="H2715" i="9"/>
  <c r="H2716" i="9"/>
  <c r="H2717" i="9"/>
  <c r="H2718" i="9"/>
  <c r="H2719" i="9"/>
  <c r="H2720" i="9"/>
  <c r="H2721" i="9"/>
  <c r="H2722" i="9"/>
  <c r="H2723" i="9"/>
  <c r="H2724" i="9"/>
  <c r="H2725" i="9"/>
  <c r="H2726" i="9"/>
  <c r="H2727" i="9"/>
  <c r="H2728" i="9"/>
  <c r="H2729" i="9"/>
  <c r="H2730" i="9"/>
  <c r="H2731" i="9"/>
  <c r="H2732" i="9"/>
  <c r="H2733" i="9"/>
  <c r="H2734" i="9"/>
  <c r="H2735" i="9"/>
  <c r="H2736" i="9"/>
  <c r="H2737" i="9"/>
  <c r="H2738" i="9"/>
  <c r="H2739" i="9"/>
  <c r="H2740" i="9"/>
  <c r="H2741" i="9"/>
  <c r="H2742" i="9"/>
  <c r="H2743" i="9"/>
  <c r="H2744" i="9"/>
  <c r="H2745" i="9"/>
  <c r="H2746" i="9"/>
  <c r="H2747" i="9"/>
  <c r="H2748" i="9"/>
  <c r="H2749" i="9"/>
  <c r="H2750" i="9"/>
  <c r="H2751" i="9"/>
  <c r="H2752" i="9"/>
  <c r="H2753" i="9"/>
  <c r="H2754" i="9"/>
  <c r="H2755" i="9"/>
  <c r="H2756" i="9"/>
  <c r="H2757" i="9"/>
  <c r="H2758" i="9"/>
  <c r="H2759" i="9"/>
  <c r="H2760" i="9"/>
  <c r="H2761" i="9"/>
  <c r="H2762" i="9"/>
  <c r="H2763" i="9"/>
  <c r="H2764" i="9"/>
  <c r="H2765" i="9"/>
  <c r="H2766" i="9"/>
  <c r="H2767" i="9"/>
  <c r="H2768" i="9"/>
  <c r="H2769" i="9"/>
  <c r="H2770" i="9"/>
  <c r="H2771" i="9"/>
  <c r="H2772" i="9"/>
  <c r="H2773" i="9"/>
  <c r="H2774" i="9"/>
  <c r="H2775" i="9"/>
  <c r="H2776" i="9"/>
  <c r="H2777" i="9"/>
  <c r="H2778" i="9"/>
  <c r="H2779" i="9"/>
  <c r="H2780" i="9"/>
  <c r="H2781" i="9"/>
  <c r="H2782" i="9"/>
  <c r="H2783" i="9"/>
  <c r="H2784" i="9"/>
  <c r="H2785" i="9"/>
  <c r="H2786" i="9"/>
  <c r="H2787" i="9"/>
  <c r="H2788" i="9"/>
  <c r="H2789" i="9"/>
  <c r="H2790" i="9"/>
  <c r="H2791" i="9"/>
  <c r="H2792" i="9"/>
  <c r="H2793" i="9"/>
  <c r="H2794" i="9"/>
  <c r="H2795" i="9"/>
  <c r="H2796" i="9"/>
  <c r="H2797" i="9"/>
  <c r="H2798" i="9"/>
  <c r="H2799" i="9"/>
  <c r="H2800" i="9"/>
  <c r="H2801" i="9"/>
  <c r="H2802" i="9"/>
  <c r="H2803" i="9"/>
  <c r="H2804" i="9"/>
  <c r="H2805" i="9"/>
  <c r="H2806" i="9"/>
  <c r="H2807" i="9"/>
  <c r="H2808" i="9"/>
  <c r="H2809" i="9"/>
  <c r="H2810" i="9"/>
  <c r="H2811" i="9"/>
  <c r="H2812" i="9"/>
  <c r="H2813" i="9"/>
  <c r="H2814" i="9"/>
  <c r="H2815" i="9"/>
  <c r="H2816" i="9"/>
  <c r="H2817" i="9"/>
  <c r="H2818" i="9"/>
  <c r="H2819" i="9"/>
  <c r="H2820" i="9"/>
  <c r="H2821" i="9"/>
  <c r="H2822" i="9"/>
  <c r="H2823" i="9"/>
  <c r="H2824" i="9"/>
  <c r="H2825" i="9"/>
  <c r="H2826" i="9"/>
  <c r="H2827" i="9"/>
  <c r="H2828" i="9"/>
  <c r="H2829" i="9"/>
  <c r="H2830" i="9"/>
  <c r="H2831" i="9"/>
  <c r="H2832" i="9"/>
  <c r="H2833" i="9"/>
  <c r="H2834" i="9"/>
  <c r="H2835" i="9"/>
  <c r="H2836" i="9"/>
  <c r="H2837" i="9"/>
  <c r="H2838" i="9"/>
  <c r="H2839" i="9"/>
  <c r="H2840" i="9"/>
  <c r="H2841" i="9"/>
  <c r="H2842" i="9"/>
  <c r="H2843" i="9"/>
  <c r="H2844" i="9"/>
  <c r="H2845" i="9"/>
  <c r="H2846" i="9"/>
  <c r="H2847" i="9"/>
  <c r="H2848" i="9"/>
  <c r="H2849" i="9"/>
  <c r="H2850" i="9"/>
  <c r="H2851" i="9"/>
  <c r="H2852" i="9"/>
  <c r="H2853" i="9"/>
  <c r="H2854" i="9"/>
  <c r="H2855" i="9"/>
  <c r="H2856" i="9"/>
  <c r="H2857" i="9"/>
  <c r="H2858" i="9"/>
  <c r="H2859" i="9"/>
  <c r="H2860" i="9"/>
  <c r="H2861" i="9"/>
  <c r="H2862" i="9"/>
  <c r="H2863" i="9"/>
  <c r="H2864" i="9"/>
  <c r="H2865" i="9"/>
  <c r="H2866" i="9"/>
  <c r="H2867" i="9"/>
  <c r="H2868" i="9"/>
  <c r="H2869" i="9"/>
  <c r="H2870" i="9"/>
  <c r="H2871" i="9"/>
  <c r="H2872" i="9"/>
  <c r="H2873" i="9"/>
  <c r="H2874" i="9"/>
  <c r="H2875" i="9"/>
  <c r="H2876" i="9"/>
  <c r="H2877" i="9"/>
  <c r="H2878" i="9"/>
  <c r="H2879" i="9"/>
  <c r="H2880" i="9"/>
  <c r="H2881" i="9"/>
  <c r="H2882" i="9"/>
  <c r="H2883" i="9"/>
  <c r="H2884" i="9"/>
  <c r="H2885" i="9"/>
  <c r="H2886" i="9"/>
  <c r="H2887" i="9"/>
  <c r="H2888" i="9"/>
  <c r="H2889" i="9"/>
  <c r="H2890" i="9"/>
  <c r="H2891" i="9"/>
  <c r="H2892" i="9"/>
  <c r="H2893" i="9"/>
  <c r="H2894" i="9"/>
  <c r="H2895" i="9"/>
  <c r="H2896" i="9"/>
  <c r="H2897" i="9"/>
  <c r="H2898" i="9"/>
  <c r="H2899" i="9"/>
  <c r="H2900" i="9"/>
  <c r="H2901" i="9"/>
  <c r="H2902" i="9"/>
  <c r="H2903" i="9"/>
  <c r="H2904" i="9"/>
  <c r="H2905" i="9"/>
  <c r="H2906" i="9"/>
  <c r="H2907" i="9"/>
  <c r="H2908" i="9"/>
  <c r="H2909" i="9"/>
  <c r="H2910" i="9"/>
  <c r="H2911" i="9"/>
  <c r="H2912" i="9"/>
  <c r="H2913" i="9"/>
  <c r="H2914" i="9"/>
  <c r="H2915" i="9"/>
  <c r="H2916" i="9"/>
  <c r="H2917" i="9"/>
  <c r="H2918" i="9"/>
  <c r="H2919" i="9"/>
  <c r="H2920" i="9"/>
  <c r="H2921" i="9"/>
  <c r="H2922" i="9"/>
  <c r="H2923" i="9"/>
  <c r="H2924" i="9"/>
  <c r="H2925" i="9"/>
  <c r="H2926" i="9"/>
  <c r="H2927" i="9"/>
  <c r="H2928" i="9"/>
  <c r="H2929" i="9"/>
  <c r="H2930" i="9"/>
  <c r="H2931" i="9"/>
  <c r="H2932" i="9"/>
  <c r="H2933" i="9"/>
  <c r="H2934" i="9"/>
  <c r="H2935" i="9"/>
  <c r="H2936" i="9"/>
  <c r="H2937" i="9"/>
  <c r="H2938" i="9"/>
  <c r="H2939" i="9"/>
  <c r="H2940" i="9"/>
  <c r="H2941" i="9"/>
  <c r="H2942" i="9"/>
  <c r="H2943" i="9"/>
  <c r="H2944" i="9"/>
  <c r="H2945" i="9"/>
  <c r="H2946" i="9"/>
  <c r="H2947" i="9"/>
  <c r="H2948" i="9"/>
  <c r="H2949" i="9"/>
  <c r="H2950" i="9"/>
  <c r="H2951" i="9"/>
  <c r="H2952" i="9"/>
  <c r="H2953" i="9"/>
  <c r="H2954" i="9"/>
  <c r="H2955" i="9"/>
  <c r="H2956" i="9"/>
  <c r="H2957" i="9"/>
  <c r="H2958" i="9"/>
  <c r="H2959" i="9"/>
  <c r="H2960" i="9"/>
  <c r="H2961" i="9"/>
  <c r="H2962" i="9"/>
  <c r="H2963" i="9"/>
  <c r="H2964" i="9"/>
  <c r="H2965" i="9"/>
  <c r="H2966" i="9"/>
  <c r="H2967" i="9"/>
  <c r="H2968" i="9"/>
  <c r="H2969" i="9"/>
  <c r="H2970" i="9"/>
  <c r="H2971" i="9"/>
  <c r="H2972" i="9"/>
  <c r="H2973" i="9"/>
  <c r="H2974" i="9"/>
  <c r="H2975" i="9"/>
  <c r="H2976" i="9"/>
  <c r="H2977" i="9"/>
  <c r="H2978" i="9"/>
  <c r="H2979" i="9"/>
  <c r="H2980" i="9"/>
  <c r="H2981" i="9"/>
  <c r="H2982" i="9"/>
  <c r="H2983" i="9"/>
  <c r="H2984" i="9"/>
  <c r="H2985" i="9"/>
  <c r="H2986" i="9"/>
  <c r="H2987" i="9"/>
  <c r="H2988" i="9"/>
  <c r="H2989" i="9"/>
  <c r="H2990" i="9"/>
  <c r="H2991" i="9"/>
  <c r="H2992" i="9"/>
  <c r="H2993" i="9"/>
  <c r="H2994" i="9"/>
  <c r="H2995" i="9"/>
  <c r="H2996" i="9"/>
  <c r="H2997" i="9"/>
  <c r="H2998" i="9"/>
  <c r="H2999" i="9"/>
  <c r="H3000" i="9"/>
  <c r="H3001" i="9"/>
  <c r="H3002" i="9"/>
  <c r="H3003" i="9"/>
  <c r="H3004" i="9"/>
  <c r="H3005" i="9"/>
  <c r="H3006" i="9"/>
  <c r="H3007" i="9"/>
  <c r="H3008" i="9"/>
  <c r="H3009" i="9"/>
  <c r="H3010" i="9"/>
  <c r="H3011" i="9"/>
  <c r="H3012" i="9"/>
  <c r="H3013" i="9"/>
  <c r="H3014" i="9"/>
  <c r="H3015" i="9"/>
  <c r="H3016" i="9"/>
  <c r="H3017" i="9"/>
  <c r="H3018" i="9"/>
  <c r="H3019" i="9"/>
  <c r="H3020" i="9"/>
  <c r="H3021" i="9"/>
  <c r="H3022" i="9"/>
  <c r="H3023" i="9"/>
  <c r="H3024" i="9"/>
  <c r="H3025" i="9"/>
  <c r="H3026" i="9"/>
  <c r="H3027" i="9"/>
  <c r="H3028" i="9"/>
  <c r="H3029" i="9"/>
  <c r="H3030" i="9"/>
  <c r="H3031" i="9"/>
  <c r="H3032" i="9"/>
  <c r="H3033" i="9"/>
  <c r="H3034" i="9"/>
  <c r="H3035" i="9"/>
  <c r="H3036" i="9"/>
  <c r="H3037" i="9"/>
  <c r="H3038" i="9"/>
  <c r="H3039" i="9"/>
  <c r="H3040" i="9"/>
  <c r="H3041" i="9"/>
  <c r="H3042" i="9"/>
  <c r="H3043" i="9"/>
  <c r="H3044" i="9"/>
  <c r="H3045" i="9"/>
  <c r="H3046" i="9"/>
  <c r="H3047" i="9"/>
  <c r="H3048" i="9"/>
  <c r="H3049" i="9"/>
  <c r="H3050" i="9"/>
  <c r="H3051" i="9"/>
  <c r="H3052" i="9"/>
  <c r="H3053" i="9"/>
  <c r="H3054" i="9"/>
  <c r="H3055" i="9"/>
  <c r="H3056" i="9"/>
  <c r="H3057" i="9"/>
  <c r="H3058" i="9"/>
  <c r="H3060" i="9"/>
  <c r="H3061" i="9"/>
  <c r="H3062" i="9"/>
  <c r="H3063" i="9"/>
  <c r="H3064" i="9"/>
  <c r="H3065" i="9"/>
  <c r="H3066" i="9"/>
  <c r="H3067" i="9"/>
  <c r="H3068" i="9"/>
  <c r="H3069" i="9"/>
  <c r="H3070" i="9"/>
  <c r="H2" i="9"/>
  <c r="F16" i="21" l="1"/>
  <c r="F18" i="21"/>
  <c r="E22" i="21"/>
  <c r="K2" i="9"/>
  <c r="C14" i="12"/>
  <c r="L2" i="9"/>
  <c r="B14" i="12"/>
  <c r="J2" i="9"/>
  <c r="B19" i="12"/>
  <c r="F27" i="12" l="1"/>
  <c r="M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90FC36-7AD8-4263-9E6C-A89141A556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24645FB-6A10-4E06-845B-71BBB6121916}" name="WorksheetConnection_Project 3 - subscription data.xlsx!Table1" type="102" refreshedVersion="8" minRefreshableVersion="5">
    <extLst>
      <ext xmlns:x15="http://schemas.microsoft.com/office/spreadsheetml/2010/11/main" uri="{DE250136-89BD-433C-8126-D09CA5730AF9}">
        <x15:connection id="Table1" autoDelete="1">
          <x15:rangePr sourceName="_xlcn.WorksheetConnection_Project3subscriptiondata.xlsxTable11"/>
        </x15:connection>
      </ext>
    </extLst>
  </connection>
  <connection id="3" xr16:uid="{49ACE4F2-E4F4-440D-860C-3AA1EACB0CD1}" name="WorksheetConnection_Project 3-Sol - subscription data (version 1).xlsb.xlsx!Table1[was_subscription_paid]" type="102" refreshedVersion="8" minRefreshableVersion="5">
    <extLst>
      <ext xmlns:x15="http://schemas.microsoft.com/office/spreadsheetml/2010/11/main" uri="{DE250136-89BD-433C-8126-D09CA5730AF9}">
        <x15:connection id="Table1 was_subscription_paid" autoDelete="1">
          <x15:rangePr sourceName="_xlcn.WorksheetConnection_Project3Solsubscriptiondataversion1.xlsb.xlsxTable1was_subscription_paid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<sst xmlns="http://schemas.openxmlformats.org/spreadsheetml/2006/main" count="6263" uniqueCount="91">
  <si>
    <t>customer_id</t>
  </si>
  <si>
    <t>created_date</t>
  </si>
  <si>
    <t>canceled_date</t>
  </si>
  <si>
    <t>subscription_cost</t>
  </si>
  <si>
    <t>subscription_interval</t>
  </si>
  <si>
    <t>was_subscription_paid</t>
  </si>
  <si>
    <t>month</t>
  </si>
  <si>
    <t>Yes</t>
  </si>
  <si>
    <t>No</t>
  </si>
  <si>
    <t>Indicates if payment was successfully collected for a subscription</t>
  </si>
  <si>
    <t>Measurement of time between billing occurrences for a recurring billing subscription</t>
  </si>
  <si>
    <t>Price of the subscription in USD</t>
  </si>
  <si>
    <t>Unique customer identification number representing an individual customer</t>
  </si>
  <si>
    <t>Description</t>
  </si>
  <si>
    <t>Field</t>
  </si>
  <si>
    <t>Expected Dashboard</t>
  </si>
  <si>
    <t>Date the customer subscription was created (DD/MM/YYYY).</t>
  </si>
  <si>
    <t>Date the customer subscription was canceled (DD/MM/YYYY). If value is blank then the subscription has not been canceled</t>
  </si>
  <si>
    <t>Cancellation Duration</t>
  </si>
  <si>
    <t>Subscription Weekday</t>
  </si>
  <si>
    <t>Data Analysis Tasks:</t>
  </si>
  <si>
    <t>1. Calculate the total number of subscriptions and cancellations.</t>
  </si>
  <si>
    <t>2. Determine the percentage of paid vs. unpaid subscriptions.</t>
  </si>
  <si>
    <t>3. Analyze the average subscription duration before cancellation.</t>
  </si>
  <si>
    <t>4. Identify the date with the highest number of new subscriptions.</t>
  </si>
  <si>
    <t>5. Find the proportion of subscriptions that were canceled within one day.</t>
  </si>
  <si>
    <t>No. Of Subscriptions</t>
  </si>
  <si>
    <t>No. Of Cancellations</t>
  </si>
  <si>
    <t>Paid Subscription</t>
  </si>
  <si>
    <t>Unpaid Subscription</t>
  </si>
  <si>
    <t>a</t>
  </si>
  <si>
    <t>e</t>
  </si>
  <si>
    <t>b</t>
  </si>
  <si>
    <t>c</t>
  </si>
  <si>
    <t>d</t>
  </si>
  <si>
    <t>f</t>
  </si>
  <si>
    <t>Row Labels</t>
  </si>
  <si>
    <t>Grand Total</t>
  </si>
  <si>
    <t>Count of created_date</t>
  </si>
  <si>
    <t>Count of customer_id</t>
  </si>
  <si>
    <t>Tatol no of cancelation
 of subcription</t>
  </si>
  <si>
    <t>Subcrition Cancel 
in 1 Day</t>
  </si>
  <si>
    <t>Proprtion of 1 daycancel subcription</t>
  </si>
  <si>
    <t>1. Create a bar chart showing the number of new subscriptions per month for year 2022.</t>
  </si>
  <si>
    <t>Sep</t>
  </si>
  <si>
    <t>Oct</t>
  </si>
  <si>
    <t>Nov</t>
  </si>
  <si>
    <t>Dec</t>
  </si>
  <si>
    <t>2022</t>
  </si>
  <si>
    <t>Column Labels</t>
  </si>
  <si>
    <t xml:space="preserve">Number of new subcription in month </t>
  </si>
  <si>
    <t>Title</t>
  </si>
  <si>
    <t>Paid Subscrition</t>
  </si>
  <si>
    <t>Unpaid Subscrition</t>
  </si>
  <si>
    <t>Count of was_subscription_paid</t>
  </si>
  <si>
    <t>Monday</t>
  </si>
  <si>
    <t>Tuesday</t>
  </si>
  <si>
    <t>Wednesday</t>
  </si>
  <si>
    <t>Thursday</t>
  </si>
  <si>
    <t>Friday</t>
  </si>
  <si>
    <t>Saturday</t>
  </si>
  <si>
    <t>Sunday</t>
  </si>
  <si>
    <t>2. Make it Pie chart and Determine the percentage of paid vs. unpaid subscriptions.</t>
  </si>
  <si>
    <t xml:space="preserve">Subscription by Day Pivot Table </t>
  </si>
  <si>
    <t/>
  </si>
  <si>
    <t>2023</t>
  </si>
  <si>
    <t>Subscrition over the time</t>
  </si>
  <si>
    <t>Total no of suscription</t>
  </si>
  <si>
    <t>Count of canceled_date</t>
  </si>
  <si>
    <t>Total no of subscription cancel</t>
  </si>
  <si>
    <t>paid and unpiad subscription</t>
  </si>
  <si>
    <t>Questions for Analysis:</t>
  </si>
  <si>
    <t>1. Which date had the highest number of subscriptions cancellations?</t>
  </si>
  <si>
    <t>2. How many subscriptions were canceled on the same day they were created?</t>
  </si>
  <si>
    <t>3. What is the cancellation rate within the first two days of subscription?</t>
  </si>
  <si>
    <t>4. How many subscriptions lasted more than one month?</t>
  </si>
  <si>
    <t>5. What is the most common duration before cancellation?</t>
  </si>
  <si>
    <t>6. How does the number of subscriptions vary by day?</t>
  </si>
  <si>
    <t>7. Are there any indications that unpaid subscriptions have a higher cancellation rate?</t>
  </si>
  <si>
    <t>Value</t>
  </si>
  <si>
    <t>Total Subscriptions</t>
  </si>
  <si>
    <t>Total Cancellations</t>
  </si>
  <si>
    <t>Paid Subscriptions</t>
  </si>
  <si>
    <t>Unpaid Subscriptions</t>
  </si>
  <si>
    <t>Unpaid Cancellations</t>
  </si>
  <si>
    <t>Paid Cancellation Rate</t>
  </si>
  <si>
    <t>Unpaid Cancellation Rate:</t>
  </si>
  <si>
    <t>Data</t>
  </si>
  <si>
    <t>Tatol no of cancelation
 of subcription without blank value</t>
  </si>
  <si>
    <t>Paid Cancellations - Unpaid Cancellation → Because 939 - 133 = 806)</t>
  </si>
  <si>
    <r>
      <t>Yes</t>
    </r>
    <r>
      <rPr>
        <sz val="11"/>
        <color theme="1"/>
        <rFont val="Calibri"/>
        <family val="2"/>
        <scheme val="minor"/>
      </rPr>
      <t>, unpaid subscriptions clearly have a much higher cancellation rate (92</t>
    </r>
    <r>
      <rPr>
        <b/>
        <sz val="11"/>
        <color theme="1"/>
        <rFont val="Calibri"/>
        <family val="2"/>
        <scheme val="minor"/>
      </rPr>
      <t>%</t>
    </r>
    <r>
      <rPr>
        <sz val="11"/>
        <color theme="1"/>
        <rFont val="Calibri"/>
        <family val="2"/>
        <scheme val="minor"/>
      </rPr>
      <t>) compared to paid subscriptions (</t>
    </r>
    <r>
      <rPr>
        <b/>
        <sz val="11"/>
        <color theme="1"/>
        <rFont val="Calibri"/>
        <family val="2"/>
        <scheme val="minor"/>
      </rPr>
      <t>28%</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</si>
</sst>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u/>
      <sz val="11"/>
      <color rgb="FF000000"/>
      <name val="Calibri"/>
      <family val="2"/>
      <scheme val="minor"/>
    </font>
    <font>
      <sz val="8"/>
      <name val="Calibri"/>
      <family val="2"/>
      <scheme val="minor"/>
    </font>
    <font>
      <sz val="10"/>
      <color rgb="FFFFFFFF"/>
      <name val="Arial Unicode MS"/>
    </font>
    <font>
      <sz val="10"/>
      <color rgb="FFFF0000"/>
      <name val="Calibri"/>
      <family val="2"/>
      <scheme val="minor"/>
    </font>
    <font>
      <b/>
      <sz val="11"/>
      <color rgb="FF000000"/>
      <name val="Calibri"/>
      <family val="2"/>
      <scheme val="minor"/>
    </font>
    <font>
      <sz val="11"/>
      <color rgb="FFFFFF0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39997558519241921"/>
        <bgColor indexed="64"/>
      </patternFill>
    </fill>
    <fill>
      <patternFill patternType="solid">
        <fgColor theme="8" tint="-0.499984740745262"/>
        <bgColor indexed="64"/>
      </patternFill>
    </fill>
    <fill>
      <patternFill patternType="solid">
        <fgColor theme="3" tint="0.79998168889431442"/>
        <bgColor indexed="64"/>
      </patternFill>
    </fill>
    <fill>
      <patternFill patternType="solid">
        <fgColor theme="4"/>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7">
    <xf numFmtId="0" fontId="0" fillId="0" borderId="0" xfId="0"/>
    <xf numFmtId="0" fontId="0" fillId="0" borderId="10" xfId="0" applyBorder="1"/>
    <xf numFmtId="0" fontId="16" fillId="33" borderId="10" xfId="0" applyFont="1" applyFill="1" applyBorder="1"/>
    <xf numFmtId="0" fontId="16" fillId="0" borderId="0" xfId="0" applyFont="1"/>
    <xf numFmtId="0" fontId="0" fillId="0" borderId="0" xfId="0" applyAlignment="1">
      <alignment vertical="center"/>
    </xf>
    <xf numFmtId="0" fontId="0" fillId="0" borderId="0" xfId="0" applyAlignment="1">
      <alignment horizontal="left" vertical="center" indent="5"/>
    </xf>
    <xf numFmtId="14" fontId="0" fillId="0" borderId="10" xfId="0" applyNumberFormat="1" applyBorder="1"/>
    <xf numFmtId="0" fontId="19" fillId="0" borderId="0" xfId="0" applyFont="1"/>
    <xf numFmtId="0" fontId="18" fillId="0" borderId="0" xfId="0" applyFont="1" applyAlignment="1">
      <alignment horizontal="left" vertical="center" indent="4"/>
    </xf>
    <xf numFmtId="0" fontId="0" fillId="0" borderId="11" xfId="0" applyBorder="1"/>
    <xf numFmtId="0" fontId="0" fillId="0" borderId="12" xfId="0" applyBorder="1"/>
    <xf numFmtId="0" fontId="16" fillId="0" borderId="13" xfId="0" applyFont="1" applyBorder="1"/>
    <xf numFmtId="0" fontId="16" fillId="0" borderId="14" xfId="0" applyFont="1" applyBorder="1"/>
    <xf numFmtId="0" fontId="0" fillId="0" borderId="16" xfId="0" applyBorder="1"/>
    <xf numFmtId="14" fontId="0" fillId="0" borderId="17" xfId="0" applyNumberFormat="1" applyBorder="1"/>
    <xf numFmtId="0" fontId="0" fillId="0" borderId="17" xfId="0" applyBorder="1"/>
    <xf numFmtId="0" fontId="0" fillId="0" borderId="18" xfId="0" applyBorder="1"/>
    <xf numFmtId="0" fontId="0" fillId="0" borderId="0" xfId="0" pivotButton="1"/>
    <xf numFmtId="14" fontId="0" fillId="0" borderId="0" xfId="0" applyNumberFormat="1" applyAlignment="1">
      <alignment horizontal="left"/>
    </xf>
    <xf numFmtId="0" fontId="0" fillId="0" borderId="0" xfId="0" applyAlignment="1">
      <alignment horizontal="left"/>
    </xf>
    <xf numFmtId="9" fontId="0" fillId="0" borderId="0" xfId="42" applyFont="1"/>
    <xf numFmtId="0" fontId="0" fillId="0" borderId="10" xfId="0" applyBorder="1" applyAlignment="1">
      <alignment wrapText="1"/>
    </xf>
    <xf numFmtId="10" fontId="0" fillId="0" borderId="0" xfId="0" applyNumberFormat="1"/>
    <xf numFmtId="0" fontId="21" fillId="0" borderId="0" xfId="0" applyFont="1" applyAlignment="1">
      <alignment vertical="center"/>
    </xf>
    <xf numFmtId="14" fontId="0" fillId="0" borderId="0" xfId="0" applyNumberFormat="1"/>
    <xf numFmtId="0" fontId="0" fillId="0" borderId="0" xfId="0" applyAlignment="1">
      <alignment wrapText="1"/>
    </xf>
    <xf numFmtId="9" fontId="0" fillId="34" borderId="0" xfId="42" applyFont="1" applyFill="1"/>
    <xf numFmtId="0" fontId="0" fillId="34" borderId="0" xfId="0" applyFill="1"/>
    <xf numFmtId="0" fontId="14" fillId="35" borderId="18" xfId="0" applyFont="1" applyFill="1" applyBorder="1"/>
    <xf numFmtId="0" fontId="14" fillId="35" borderId="19" xfId="0" applyFont="1" applyFill="1" applyBorder="1"/>
    <xf numFmtId="0" fontId="14" fillId="35" borderId="16" xfId="0" applyFont="1" applyFill="1" applyBorder="1"/>
    <xf numFmtId="0" fontId="14" fillId="35" borderId="20" xfId="0" applyFont="1" applyFill="1" applyBorder="1"/>
    <xf numFmtId="0" fontId="14" fillId="35" borderId="0" xfId="0" applyFont="1" applyFill="1"/>
    <xf numFmtId="0" fontId="14" fillId="35" borderId="21" xfId="0" applyFont="1" applyFill="1" applyBorder="1"/>
    <xf numFmtId="0" fontId="14" fillId="35" borderId="0" xfId="0" applyFont="1" applyFill="1" applyAlignment="1">
      <alignment horizontal="center"/>
    </xf>
    <xf numFmtId="0" fontId="22" fillId="35" borderId="0" xfId="0" applyFont="1" applyFill="1" applyAlignment="1">
      <alignment horizontal="left" vertical="top"/>
    </xf>
    <xf numFmtId="0" fontId="14" fillId="35" borderId="15" xfId="0" applyFont="1" applyFill="1" applyBorder="1"/>
    <xf numFmtId="0" fontId="14" fillId="35" borderId="22" xfId="0" applyFont="1" applyFill="1" applyBorder="1"/>
    <xf numFmtId="0" fontId="14" fillId="35" borderId="13" xfId="0" applyFont="1" applyFill="1" applyBorder="1"/>
    <xf numFmtId="0" fontId="16" fillId="0" borderId="13" xfId="0" applyFont="1" applyBorder="1" applyAlignment="1">
      <alignment wrapText="1"/>
    </xf>
    <xf numFmtId="0" fontId="16" fillId="0" borderId="14" xfId="0" applyFont="1" applyBorder="1" applyAlignment="1">
      <alignment wrapText="1"/>
    </xf>
    <xf numFmtId="0" fontId="16" fillId="0" borderId="15" xfId="0" applyFont="1" applyBorder="1"/>
    <xf numFmtId="10" fontId="0" fillId="0" borderId="18" xfId="0" applyNumberFormat="1" applyBorder="1"/>
    <xf numFmtId="0" fontId="24" fillId="0" borderId="15" xfId="0" applyFont="1" applyBorder="1"/>
    <xf numFmtId="0" fontId="0" fillId="36" borderId="10" xfId="0" applyFill="1" applyBorder="1"/>
    <xf numFmtId="0" fontId="0" fillId="36" borderId="17" xfId="0" applyFill="1" applyBorder="1"/>
    <xf numFmtId="0" fontId="0" fillId="36" borderId="0" xfId="0" applyFill="1"/>
    <xf numFmtId="0" fontId="24" fillId="37" borderId="14" xfId="0" applyFont="1" applyFill="1" applyBorder="1"/>
    <xf numFmtId="0" fontId="23" fillId="0" borderId="0" xfId="0" applyFont="1" applyAlignment="1">
      <alignment horizontal="center" vertical="center"/>
    </xf>
    <xf numFmtId="0" fontId="19" fillId="34" borderId="0" xfId="0" applyFont="1" applyFill="1" applyAlignment="1">
      <alignment horizontal="center"/>
    </xf>
    <xf numFmtId="0" fontId="23" fillId="0" borderId="0" xfId="0" applyFont="1" applyAlignment="1">
      <alignment horizontal="center" vertical="top"/>
    </xf>
    <xf numFmtId="0" fontId="0" fillId="0" borderId="10" xfId="0" applyBorder="1" applyAlignment="1">
      <alignment horizontal="center"/>
    </xf>
    <xf numFmtId="0" fontId="0" fillId="0" borderId="0" xfId="0" applyAlignment="1">
      <alignment horizontal="center"/>
    </xf>
    <xf numFmtId="0" fontId="14" fillId="35" borderId="0" xfId="0" applyFont="1" applyFill="1" applyAlignment="1">
      <alignment horizontal="center"/>
    </xf>
    <xf numFmtId="0" fontId="22" fillId="35" borderId="0" xfId="0" applyFont="1" applyFill="1" applyAlignment="1">
      <alignment horizontal="left" vertical="top" wrapText="1"/>
    </xf>
    <xf numFmtId="0" fontId="0" fillId="0" borderId="25" xfId="0" applyBorder="1" applyAlignment="1">
      <alignment horizontal="center"/>
    </xf>
    <xf numFmtId="0" fontId="0" fillId="0" borderId="28" xfId="0" applyBorder="1" applyAlignment="1">
      <alignment vertical="center" wrapText="1"/>
    </xf>
    <xf numFmtId="0" fontId="0" fillId="0" borderId="29" xfId="0" applyBorder="1" applyAlignment="1">
      <alignment horizontal="center"/>
    </xf>
    <xf numFmtId="0" fontId="0" fillId="0" borderId="30" xfId="0" applyBorder="1" applyAlignment="1">
      <alignment horizontal="center"/>
    </xf>
    <xf numFmtId="0" fontId="16" fillId="0" borderId="31" xfId="0" applyFont="1" applyBorder="1" applyAlignment="1">
      <alignment horizontal="center" vertical="center" wrapText="1"/>
    </xf>
    <xf numFmtId="0" fontId="0" fillId="0" borderId="32" xfId="0" applyBorder="1" applyAlignment="1">
      <alignment vertical="center" wrapText="1"/>
    </xf>
    <xf numFmtId="0" fontId="0" fillId="0" borderId="33" xfId="0" applyBorder="1" applyAlignment="1">
      <alignment horizontal="center"/>
    </xf>
    <xf numFmtId="9" fontId="0" fillId="0" borderId="26" xfId="42" applyFont="1" applyBorder="1"/>
    <xf numFmtId="9" fontId="0" fillId="0" borderId="27" xfId="42" applyFont="1" applyBorder="1" applyAlignment="1">
      <alignment horizontal="center"/>
    </xf>
    <xf numFmtId="9" fontId="0" fillId="0" borderId="35" xfId="42" applyFont="1" applyBorder="1" applyAlignment="1">
      <alignment horizontal="center"/>
    </xf>
    <xf numFmtId="0" fontId="0" fillId="0" borderId="36" xfId="0" applyBorder="1" applyAlignment="1">
      <alignment horizontal="center"/>
    </xf>
    <xf numFmtId="0" fontId="16" fillId="0" borderId="38"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23" xfId="0" applyFont="1" applyBorder="1"/>
    <xf numFmtId="0" fontId="16" fillId="0" borderId="24" xfId="0" applyFont="1" applyBorder="1"/>
    <xf numFmtId="0" fontId="16" fillId="0" borderId="34" xfId="0" applyFont="1" applyBorder="1"/>
    <xf numFmtId="0" fontId="0" fillId="0" borderId="38"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xf>
    <xf numFmtId="0" fontId="0" fillId="0" borderId="37" xfId="0" applyBorder="1" applyAlignment="1">
      <alignment horizontal="center"/>
    </xf>
    <xf numFmtId="0" fontId="0" fillId="0" borderId="39" xfId="0" applyBorder="1" applyAlignment="1">
      <alignment horizontal="center"/>
    </xf>
    <xf numFmtId="0" fontId="23" fillId="0" borderId="0" xfId="0" applyFont="1" applyAlignment="1">
      <alignment horizontal="left" vertical="center" indent="4"/>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
    <dxf>
      <numFmt numFmtId="14" formatCode="0.00%"/>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font>
        <strike val="0"/>
        <outline val="0"/>
        <shadow val="0"/>
        <u val="none"/>
        <vertAlign val="baseline"/>
        <sz val="11"/>
        <color theme="1"/>
        <name val="Calibri"/>
        <family val="2"/>
        <scheme val="minor"/>
      </font>
      <fill>
        <patternFill patternType="solid">
          <fgColor indexed="64"/>
          <bgColor theme="3" tint="0.79998168889431442"/>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6373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1"/>
              <c:pt idx="0">
                <c:v>1</c:v>
              </c:pt>
            </c:strLit>
          </c:cat>
          <c:val>
            <c:numLit>
              <c:formatCode>General</c:formatCode>
              <c:ptCount val="1"/>
              <c:pt idx="0">
                <c:v>3069</c:v>
              </c:pt>
            </c:numLit>
          </c:val>
          <c:extLst>
            <c:ext xmlns:c16="http://schemas.microsoft.com/office/drawing/2014/chart" uri="{C3380CC4-5D6E-409C-BE32-E72D297353CC}">
              <c16:uniqueId val="{00000000-FFB9-45AA-AA5A-E8234DCD483B}"/>
            </c:ext>
          </c:extLst>
        </c:ser>
        <c:dLbls>
          <c:showLegendKey val="0"/>
          <c:showVal val="0"/>
          <c:showCatName val="0"/>
          <c:showSerName val="0"/>
          <c:showPercent val="0"/>
          <c:showBubbleSize val="0"/>
        </c:dLbls>
        <c:gapWidth val="182"/>
        <c:axId val="1467432016"/>
        <c:axId val="1467432496"/>
      </c:barChart>
      <c:catAx>
        <c:axId val="146743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432496"/>
        <c:crosses val="autoZero"/>
        <c:auto val="1"/>
        <c:lblAlgn val="ctr"/>
        <c:lblOffset val="100"/>
        <c:noMultiLvlLbl val="0"/>
      </c:catAx>
      <c:valAx>
        <c:axId val="1467432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4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(version -Sol..xlsx]dashbord_feeder!PivotTable7</c:name>
    <c:fmtId val="4"/>
  </c:pivotSource>
  <c:chart>
    <c:title>
      <c:tx>
        <c:strRef>
          <c:f>dashbord_feeder!$D$12</c:f>
          <c:strCache>
            <c:ptCount val="1"/>
            <c:pt idx="0">
              <c:v>Number of new subcription in month  2022</c:v>
            </c:pt>
          </c:strCache>
        </c:strRef>
      </c:tx>
      <c:layout>
        <c:manualLayout>
          <c:xMode val="edge"/>
          <c:yMode val="edge"/>
          <c:x val="0.27270991548788642"/>
          <c:y val="2.5303677334944975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dashbord_feeder!$D$12</c:f>
              <c:strCache>
                <c:ptCount val="1"/>
                <c:pt idx="0">
                  <c:v>Total</c:v>
                </c:pt>
              </c:strCache>
            </c:strRef>
          </c:tx>
          <c:spPr>
            <a:solidFill>
              <a:schemeClr val="accent1"/>
            </a:solidFill>
            <a:ln>
              <a:noFill/>
            </a:ln>
            <a:effectLst/>
          </c:spPr>
          <c:invertIfNegative val="0"/>
          <c:cat>
            <c:strRef>
              <c:f>dashbord_feeder!$D$12</c:f>
              <c:strCache>
                <c:ptCount val="4"/>
                <c:pt idx="0">
                  <c:v>Sep</c:v>
                </c:pt>
                <c:pt idx="1">
                  <c:v>Oct</c:v>
                </c:pt>
                <c:pt idx="2">
                  <c:v>Nov</c:v>
                </c:pt>
                <c:pt idx="3">
                  <c:v>Dec</c:v>
                </c:pt>
              </c:strCache>
            </c:strRef>
          </c:cat>
          <c:val>
            <c:numRef>
              <c:f>dashbord_feeder!$D$12</c:f>
              <c:numCache>
                <c:formatCode>General</c:formatCode>
                <c:ptCount val="4"/>
                <c:pt idx="0">
                  <c:v>217</c:v>
                </c:pt>
                <c:pt idx="1">
                  <c:v>196</c:v>
                </c:pt>
                <c:pt idx="2">
                  <c:v>189</c:v>
                </c:pt>
                <c:pt idx="3">
                  <c:v>230</c:v>
                </c:pt>
              </c:numCache>
            </c:numRef>
          </c:val>
          <c:extLst>
            <c:ext xmlns:c16="http://schemas.microsoft.com/office/drawing/2014/chart" uri="{C3380CC4-5D6E-409C-BE32-E72D297353CC}">
              <c16:uniqueId val="{00000000-5BD8-4DAF-89D1-D1D37390BB92}"/>
            </c:ext>
          </c:extLst>
        </c:ser>
        <c:dLbls>
          <c:showLegendKey val="0"/>
          <c:showVal val="0"/>
          <c:showCatName val="0"/>
          <c:showSerName val="0"/>
          <c:showPercent val="0"/>
          <c:showBubbleSize val="0"/>
        </c:dLbls>
        <c:gapWidth val="182"/>
        <c:axId val="78866639"/>
        <c:axId val="78855119"/>
      </c:barChart>
      <c:catAx>
        <c:axId val="78866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5119"/>
        <c:crosses val="autoZero"/>
        <c:auto val="1"/>
        <c:lblAlgn val="ctr"/>
        <c:lblOffset val="100"/>
        <c:noMultiLvlLbl val="0"/>
      </c:catAx>
      <c:valAx>
        <c:axId val="78855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6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(version -Sol..xlsx]dashbord_feeder!PivotTable2</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Percentage</a:t>
            </a:r>
            <a:r>
              <a:rPr lang="en-IN" sz="1200" b="1" baseline="0">
                <a:solidFill>
                  <a:schemeClr val="tx1"/>
                </a:solidFill>
              </a:rPr>
              <a:t> of Paid vs Unpaid </a:t>
            </a:r>
          </a:p>
          <a:p>
            <a:pPr>
              <a:defRPr sz="1200"/>
            </a:pPr>
            <a:r>
              <a:rPr lang="en-IN" sz="1200" b="1" baseline="0">
                <a:solidFill>
                  <a:schemeClr val="tx1"/>
                </a:solidFill>
              </a:rPr>
              <a:t>Subscription </a:t>
            </a:r>
            <a:endParaRPr lang="en-IN" sz="1200" b="1">
              <a:solidFill>
                <a:schemeClr val="tx1"/>
              </a:solidFill>
            </a:endParaRPr>
          </a:p>
        </c:rich>
      </c:tx>
      <c:layout>
        <c:manualLayout>
          <c:xMode val="edge"/>
          <c:yMode val="edge"/>
          <c:x val="0.32847552115505946"/>
          <c:y val="3.970832337025442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2.7926071741032371E-2"/>
              <c:y val="2.09965480126161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7926071741032371E-2"/>
              <c:y val="2.09965480126161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9513677811550151E-2"/>
              <c:y val="4.56621004566207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7926071741032371E-2"/>
              <c:y val="2.09965480126161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9798482636479"/>
          <c:y val="0.22491352964441086"/>
          <c:w val="0.37385563506689318"/>
          <c:h val="0.56163700427857466"/>
        </c:manualLayout>
      </c:layout>
      <c:pieChart>
        <c:varyColors val="1"/>
        <c:ser>
          <c:idx val="0"/>
          <c:order val="0"/>
          <c:tx>
            <c:strRef>
              <c:f>dashbord_feeder!$C$28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60-4F00-9AA3-69425E38B5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60-4F00-9AA3-69425E38B546}"/>
              </c:ext>
            </c:extLst>
          </c:dPt>
          <c:dLbls>
            <c:dLbl>
              <c:idx val="0"/>
              <c:layout>
                <c:manualLayout>
                  <c:x val="3.9513677811550151E-2"/>
                  <c:y val="4.566210045662079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60-4F00-9AA3-69425E38B546}"/>
                </c:ext>
              </c:extLst>
            </c:dLbl>
            <c:dLbl>
              <c:idx val="1"/>
              <c:layout>
                <c:manualLayout>
                  <c:x val="-2.7926071741032371E-2"/>
                  <c:y val="2.0996548012616181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60-4F00-9AA3-69425E38B5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dashbord_feeder!$B$29:$B$31</c:f>
              <c:strCache>
                <c:ptCount val="2"/>
                <c:pt idx="0">
                  <c:v>No</c:v>
                </c:pt>
                <c:pt idx="1">
                  <c:v>Yes</c:v>
                </c:pt>
              </c:strCache>
            </c:strRef>
          </c:cat>
          <c:val>
            <c:numRef>
              <c:f>dashbord_feeder!$C$29:$C$31</c:f>
              <c:numCache>
                <c:formatCode>0.00%</c:formatCode>
                <c:ptCount val="2"/>
                <c:pt idx="0">
                  <c:v>4.3336591723688499E-2</c:v>
                </c:pt>
                <c:pt idx="1">
                  <c:v>0.95666340827631147</c:v>
                </c:pt>
              </c:numCache>
            </c:numRef>
          </c:val>
          <c:extLst>
            <c:ext xmlns:c16="http://schemas.microsoft.com/office/drawing/2014/chart" uri="{C3380CC4-5D6E-409C-BE32-E72D297353CC}">
              <c16:uniqueId val="{00000004-BD60-4F00-9AA3-69425E38B546}"/>
            </c:ext>
          </c:extLst>
        </c:ser>
        <c:dLbls>
          <c:showLegendKey val="0"/>
          <c:showVal val="0"/>
          <c:showCatName val="0"/>
          <c:showSerName val="0"/>
          <c:showPercent val="0"/>
          <c:showBubbleSize val="0"/>
          <c:showLeaderLines val="0"/>
        </c:dLbls>
        <c:firstSliceAng val="0"/>
      </c:pieChart>
      <c:spPr>
        <a:noFill/>
        <a:ln w="25400">
          <a:noFill/>
        </a:ln>
        <a:effectLst/>
      </c:spPr>
    </c:plotArea>
    <c:legend>
      <c:legendPos val="b"/>
      <c:layout>
        <c:manualLayout>
          <c:xMode val="edge"/>
          <c:yMode val="edge"/>
          <c:x val="0.12047812773403324"/>
          <c:y val="0.90627691469871818"/>
          <c:w val="0.74237707786526685"/>
          <c:h val="5.88495674853077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(version -Sol..xlsx]dashbord_feeder!PivotTable3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674095114768483E-2"/>
          <c:y val="0.20092644827065639"/>
          <c:w val="0.83969276718394292"/>
          <c:h val="0.62560111872998725"/>
        </c:manualLayout>
      </c:layout>
      <c:barChart>
        <c:barDir val="col"/>
        <c:grouping val="clustered"/>
        <c:varyColors val="0"/>
        <c:ser>
          <c:idx val="0"/>
          <c:order val="0"/>
          <c:tx>
            <c:strRef>
              <c:f>dashbord_feeder!$C$37</c:f>
              <c:strCache>
                <c:ptCount val="1"/>
                <c:pt idx="0">
                  <c:v>Total</c:v>
                </c:pt>
              </c:strCache>
            </c:strRef>
          </c:tx>
          <c:spPr>
            <a:solidFill>
              <a:schemeClr val="accent1"/>
            </a:solidFill>
            <a:ln>
              <a:noFill/>
            </a:ln>
            <a:effectLst/>
          </c:spPr>
          <c:invertIfNegative val="0"/>
          <c:cat>
            <c:strRef>
              <c:f>dashbord_feeder!$B$38:$B$45</c:f>
              <c:strCache>
                <c:ptCount val="7"/>
                <c:pt idx="0">
                  <c:v>Sunday</c:v>
                </c:pt>
                <c:pt idx="1">
                  <c:v>Saturday</c:v>
                </c:pt>
                <c:pt idx="2">
                  <c:v>Friday</c:v>
                </c:pt>
                <c:pt idx="3">
                  <c:v>Thursday</c:v>
                </c:pt>
                <c:pt idx="4">
                  <c:v>Wednesday</c:v>
                </c:pt>
                <c:pt idx="5">
                  <c:v>Tuesday</c:v>
                </c:pt>
                <c:pt idx="6">
                  <c:v>Monday</c:v>
                </c:pt>
              </c:strCache>
            </c:strRef>
          </c:cat>
          <c:val>
            <c:numRef>
              <c:f>dashbord_feeder!$C$38:$C$45</c:f>
              <c:numCache>
                <c:formatCode>General</c:formatCode>
                <c:ptCount val="7"/>
                <c:pt idx="0">
                  <c:v>306</c:v>
                </c:pt>
                <c:pt idx="1">
                  <c:v>308</c:v>
                </c:pt>
                <c:pt idx="2">
                  <c:v>452</c:v>
                </c:pt>
                <c:pt idx="3">
                  <c:v>505</c:v>
                </c:pt>
                <c:pt idx="4">
                  <c:v>472</c:v>
                </c:pt>
                <c:pt idx="5">
                  <c:v>487</c:v>
                </c:pt>
                <c:pt idx="6">
                  <c:v>539</c:v>
                </c:pt>
              </c:numCache>
            </c:numRef>
          </c:val>
          <c:extLst>
            <c:ext xmlns:c16="http://schemas.microsoft.com/office/drawing/2014/chart" uri="{C3380CC4-5D6E-409C-BE32-E72D297353CC}">
              <c16:uniqueId val="{00000000-39AB-4AA6-A884-3662DAB11F5B}"/>
            </c:ext>
          </c:extLst>
        </c:ser>
        <c:dLbls>
          <c:showLegendKey val="0"/>
          <c:showVal val="0"/>
          <c:showCatName val="0"/>
          <c:showSerName val="0"/>
          <c:showPercent val="0"/>
          <c:showBubbleSize val="0"/>
        </c:dLbls>
        <c:gapWidth val="219"/>
        <c:overlap val="-27"/>
        <c:axId val="1489254335"/>
        <c:axId val="1489267775"/>
      </c:barChart>
      <c:catAx>
        <c:axId val="148925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267775"/>
        <c:crosses val="autoZero"/>
        <c:auto val="1"/>
        <c:lblAlgn val="ctr"/>
        <c:lblOffset val="100"/>
        <c:noMultiLvlLbl val="0"/>
      </c:catAx>
      <c:valAx>
        <c:axId val="148926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25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(version -Sol..xlsx]dashbord_feeder!PivotTable4</c:name>
    <c:fmtId val="2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Subscription Cancellations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none"/>
        </c:marker>
      </c:pivotFmt>
    </c:pivotFmts>
    <c:plotArea>
      <c:layout>
        <c:manualLayout>
          <c:layoutTarget val="inner"/>
          <c:xMode val="edge"/>
          <c:yMode val="edge"/>
          <c:x val="9.1914260717410323E-2"/>
          <c:y val="0.21800925925925929"/>
          <c:w val="0.87753018372703417"/>
          <c:h val="0.63134648596434739"/>
        </c:manualLayout>
      </c:layout>
      <c:lineChart>
        <c:grouping val="standard"/>
        <c:varyColors val="0"/>
        <c:ser>
          <c:idx val="0"/>
          <c:order val="0"/>
          <c:tx>
            <c:strRef>
              <c:f>dashbord_feeder!$C$53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noFill/>
                <a:round/>
              </a:ln>
              <a:effectLst/>
            </c:spPr>
            <c:extLst>
              <c:ext xmlns:c16="http://schemas.microsoft.com/office/drawing/2014/chart" uri="{C3380CC4-5D6E-409C-BE32-E72D297353CC}">
                <c16:uniqueId val="{00000001-54B3-498E-B335-9B9776D6A11C}"/>
              </c:ext>
            </c:extLst>
          </c:dPt>
          <c:cat>
            <c:strRef>
              <c:f>dashbord_feeder!$B$54:$B$57</c:f>
              <c:strCache>
                <c:ptCount val="3"/>
                <c:pt idx="1">
                  <c:v>2022</c:v>
                </c:pt>
                <c:pt idx="2">
                  <c:v>2023</c:v>
                </c:pt>
              </c:strCache>
            </c:strRef>
          </c:cat>
          <c:val>
            <c:numRef>
              <c:f>dashbord_feeder!$C$54:$C$57</c:f>
              <c:numCache>
                <c:formatCode>General</c:formatCode>
                <c:ptCount val="3"/>
                <c:pt idx="0">
                  <c:v>1065</c:v>
                </c:pt>
                <c:pt idx="1">
                  <c:v>346</c:v>
                </c:pt>
                <c:pt idx="2">
                  <c:v>1658</c:v>
                </c:pt>
              </c:numCache>
            </c:numRef>
          </c:val>
          <c:smooth val="0"/>
          <c:extLst>
            <c:ext xmlns:c16="http://schemas.microsoft.com/office/drawing/2014/chart" uri="{C3380CC4-5D6E-409C-BE32-E72D297353CC}">
              <c16:uniqueId val="{00000002-54B3-498E-B335-9B9776D6A11C}"/>
            </c:ext>
          </c:extLst>
        </c:ser>
        <c:dLbls>
          <c:showLegendKey val="0"/>
          <c:showVal val="0"/>
          <c:showCatName val="0"/>
          <c:showSerName val="0"/>
          <c:showPercent val="0"/>
          <c:showBubbleSize val="0"/>
        </c:dLbls>
        <c:smooth val="0"/>
        <c:axId val="131629375"/>
        <c:axId val="131630335"/>
      </c:lineChart>
      <c:catAx>
        <c:axId val="13162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0335"/>
        <c:crosses val="autoZero"/>
        <c:auto val="1"/>
        <c:lblAlgn val="ctr"/>
        <c:lblOffset val="100"/>
        <c:noMultiLvlLbl val="0"/>
      </c:catAx>
      <c:valAx>
        <c:axId val="13163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293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182880</xdr:colOff>
      <xdr:row>1</xdr:row>
      <xdr:rowOff>0</xdr:rowOff>
    </xdr:from>
    <xdr:to>
      <xdr:col>17</xdr:col>
      <xdr:colOff>411480</xdr:colOff>
      <xdr:row>29</xdr:row>
      <xdr:rowOff>53340</xdr:rowOff>
    </xdr:to>
    <xdr:sp macro="" textlink="">
      <xdr:nvSpPr>
        <xdr:cNvPr id="2" name="TextBox 1">
          <a:extLst>
            <a:ext uri="{FF2B5EF4-FFF2-40B4-BE49-F238E27FC236}">
              <a16:creationId xmlns:a16="http://schemas.microsoft.com/office/drawing/2014/main" id="{E04B6730-2C9D-4D98-831E-73E083F0A61D}"/>
            </a:ext>
          </a:extLst>
        </xdr:cNvPr>
        <xdr:cNvSpPr txBox="1"/>
      </xdr:nvSpPr>
      <xdr:spPr>
        <a:xfrm>
          <a:off x="182880" y="182880"/>
          <a:ext cx="10591800" cy="5173980"/>
        </a:xfrm>
        <a:prstGeom prst="roundRect">
          <a:avLst>
            <a:gd name="adj" fmla="val 5868"/>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7030A0"/>
              </a:solidFill>
            </a:rPr>
            <a:t>Instructions for Students:</a:t>
          </a:r>
        </a:p>
        <a:p>
          <a:endParaRPr lang="en-IN" b="1"/>
        </a:p>
        <a:p>
          <a:r>
            <a:rPr lang="en-IN" sz="1100" b="1" u="sng">
              <a:solidFill>
                <a:schemeClr val="dk1"/>
              </a:solidFill>
              <a:latin typeface="+mn-lt"/>
              <a:ea typeface="+mn-ea"/>
              <a:cs typeface="+mn-cs"/>
            </a:rPr>
            <a:t>Data Prepration:</a:t>
          </a:r>
        </a:p>
        <a:p>
          <a:pPr lvl="1"/>
          <a:r>
            <a:rPr lang="en-IN" b="0"/>
            <a:t>1.</a:t>
          </a:r>
          <a:r>
            <a:rPr lang="en-IN" b="0" baseline="0"/>
            <a:t> Create a new column Cancellation Duration.  This will contain the difference between date created and cancelled in days.</a:t>
          </a:r>
        </a:p>
        <a:p>
          <a:pPr lvl="1"/>
          <a:r>
            <a:rPr lang="en-IN" b="0" baseline="0"/>
            <a:t>2. Create another column to show the weekday when the subscription was created.</a:t>
          </a:r>
          <a:endParaRPr lang="en-IN" b="0"/>
        </a:p>
        <a:p>
          <a:pPr lvl="1"/>
          <a:endParaRPr lang="en-IN"/>
        </a:p>
        <a:p>
          <a:r>
            <a:rPr lang="en-IN" b="1" u="sng"/>
            <a:t>Data Analysis Tasks:</a:t>
          </a:r>
          <a:endParaRPr lang="en-IN" u="sng"/>
        </a:p>
        <a:p>
          <a:pPr lvl="1"/>
          <a:r>
            <a:rPr lang="en-IN"/>
            <a:t>1.</a:t>
          </a:r>
          <a:r>
            <a:rPr lang="en-IN" baseline="0"/>
            <a:t> </a:t>
          </a:r>
          <a:r>
            <a:rPr lang="en-IN"/>
            <a:t>Calculate the total number of subscriptions and cancellations.</a:t>
          </a:r>
        </a:p>
        <a:p>
          <a:pPr lvl="1"/>
          <a:r>
            <a:rPr lang="en-IN"/>
            <a:t>2. Determine the percentage of paid vs. unpaid subscriptions.</a:t>
          </a:r>
        </a:p>
        <a:p>
          <a:pPr lvl="1"/>
          <a:r>
            <a:rPr lang="en-IN"/>
            <a:t>3. Analyze the average subscription duration before cancellation.</a:t>
          </a:r>
        </a:p>
        <a:p>
          <a:pPr lvl="1"/>
          <a:r>
            <a:rPr lang="en-IN"/>
            <a:t>4. Identify the date with the highest number of new subscriptions.</a:t>
          </a:r>
        </a:p>
        <a:p>
          <a:pPr lvl="1"/>
          <a:r>
            <a:rPr lang="en-IN"/>
            <a:t>5. Find the proportion of subscriptions that were canceled within one day.</a:t>
          </a:r>
        </a:p>
        <a:p>
          <a:pPr lvl="1"/>
          <a:endParaRPr lang="en-IN"/>
        </a:p>
        <a:p>
          <a:r>
            <a:rPr lang="en-IN" b="1" u="sng"/>
            <a:t>Visualization &amp; Reporting:</a:t>
          </a:r>
          <a:endParaRPr lang="en-IN" u="sng"/>
        </a:p>
        <a:p>
          <a:pPr lvl="1"/>
          <a:r>
            <a:rPr lang="en-IN"/>
            <a:t>1. Create a bar chart showing the number of new subscriptions per month</a:t>
          </a:r>
          <a:r>
            <a:rPr lang="en-IN" baseline="0"/>
            <a:t> for year 2022</a:t>
          </a:r>
          <a:r>
            <a:rPr lang="en-IN"/>
            <a:t>.</a:t>
          </a:r>
        </a:p>
        <a:p>
          <a:pPr lvl="1"/>
          <a:r>
            <a:rPr lang="en-IN"/>
            <a:t>2. Generate a pie chart displaying the percentage of paid vs. unpaid subscriptions.</a:t>
          </a:r>
        </a:p>
        <a:p>
          <a:pPr lvl="1"/>
          <a:r>
            <a:rPr lang="en-IN"/>
            <a:t>3. Plot a line graph of subscription cancellations over time.</a:t>
          </a:r>
        </a:p>
        <a:p>
          <a:pPr lvl="1"/>
          <a:endParaRPr lang="en-IN"/>
        </a:p>
        <a:p>
          <a:r>
            <a:rPr lang="en-IN" b="1" u="sng"/>
            <a:t>Questions for Analysis:</a:t>
          </a:r>
        </a:p>
        <a:p>
          <a:pPr lvl="1"/>
          <a:r>
            <a:rPr lang="en-IN"/>
            <a:t>1. Which date had the highest number of subscriptions cancellations?</a:t>
          </a:r>
        </a:p>
        <a:p>
          <a:pPr lvl="1"/>
          <a:r>
            <a:rPr lang="en-IN"/>
            <a:t>2. How many subscriptions were canceled on the same day they were created?</a:t>
          </a:r>
        </a:p>
        <a:p>
          <a:pPr lvl="1"/>
          <a:r>
            <a:rPr lang="en-IN"/>
            <a:t>3. What is the cancellation rate within the first two days of subscription?</a:t>
          </a:r>
        </a:p>
        <a:p>
          <a:pPr lvl="1"/>
          <a:r>
            <a:rPr lang="en-IN"/>
            <a:t>4. How many subscriptions lasted more than one month?</a:t>
          </a:r>
        </a:p>
        <a:p>
          <a:pPr lvl="1"/>
          <a:r>
            <a:rPr lang="en-IN"/>
            <a:t>5. What is the most common duration before cancellation?</a:t>
          </a:r>
        </a:p>
        <a:p>
          <a:pPr lvl="1"/>
          <a:r>
            <a:rPr lang="en-IN"/>
            <a:t>6. How does the number of subscriptions vary by day?</a:t>
          </a:r>
        </a:p>
        <a:p>
          <a:pPr lvl="1"/>
          <a:r>
            <a:rPr lang="en-IN"/>
            <a:t>7. Are there any indications that unpaid subscriptions have a higher cancellation rate?</a:t>
          </a:r>
        </a:p>
        <a:p>
          <a:endParaRPr lang="en-IN" sz="1100"/>
        </a:p>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Prepare a Dashboard based on</a:t>
          </a:r>
          <a:r>
            <a:rPr lang="en-IN" sz="1100" baseline="0">
              <a:solidFill>
                <a:schemeClr val="dk1"/>
              </a:solidFill>
              <a:effectLst/>
              <a:latin typeface="+mn-lt"/>
              <a:ea typeface="+mn-ea"/>
              <a:cs typeface="+mn-cs"/>
            </a:rPr>
            <a:t> your findings.</a:t>
          </a:r>
        </a:p>
      </xdr:txBody>
    </xdr:sp>
    <xdr:clientData/>
  </xdr:twoCellAnchor>
  <xdr:twoCellAnchor editAs="oneCell">
    <xdr:from>
      <xdr:col>0</xdr:col>
      <xdr:colOff>412750</xdr:colOff>
      <xdr:row>33</xdr:row>
      <xdr:rowOff>22860</xdr:rowOff>
    </xdr:from>
    <xdr:to>
      <xdr:col>12</xdr:col>
      <xdr:colOff>123799</xdr:colOff>
      <xdr:row>58</xdr:row>
      <xdr:rowOff>68980</xdr:rowOff>
    </xdr:to>
    <xdr:pic>
      <xdr:nvPicPr>
        <xdr:cNvPr id="3" name="Picture 2">
          <a:extLst>
            <a:ext uri="{FF2B5EF4-FFF2-40B4-BE49-F238E27FC236}">
              <a16:creationId xmlns:a16="http://schemas.microsoft.com/office/drawing/2014/main" id="{8E9CA6A7-BEFB-4D33-9B66-5A3BB8CD2C15}"/>
            </a:ext>
          </a:extLst>
        </xdr:cNvPr>
        <xdr:cNvPicPr>
          <a:picLocks noChangeAspect="1"/>
        </xdr:cNvPicPr>
      </xdr:nvPicPr>
      <xdr:blipFill>
        <a:blip xmlns:r="http://schemas.openxmlformats.org/officeDocument/2006/relationships" r:embed="rId1"/>
        <a:stretch>
          <a:fillRect/>
        </a:stretch>
      </xdr:blipFill>
      <xdr:spPr>
        <a:xfrm>
          <a:off x="412750" y="6099810"/>
          <a:ext cx="7026249" cy="46498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358</xdr:row>
      <xdr:rowOff>88900</xdr:rowOff>
    </xdr:from>
    <xdr:to>
      <xdr:col>12</xdr:col>
      <xdr:colOff>590550</xdr:colOff>
      <xdr:row>372</xdr:row>
      <xdr:rowOff>69850</xdr:rowOff>
    </xdr:to>
    <xdr:graphicFrame macro="">
      <xdr:nvGraphicFramePr>
        <xdr:cNvPr id="2" name="Chart 1">
          <a:extLst>
            <a:ext uri="{FF2B5EF4-FFF2-40B4-BE49-F238E27FC236}">
              <a16:creationId xmlns:a16="http://schemas.microsoft.com/office/drawing/2014/main" id="{CDE08718-5495-53FD-F605-0F3CA3301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12</xdr:row>
      <xdr:rowOff>0</xdr:rowOff>
    </xdr:from>
    <xdr:to>
      <xdr:col>11</xdr:col>
      <xdr:colOff>63500</xdr:colOff>
      <xdr:row>29</xdr:row>
      <xdr:rowOff>158750</xdr:rowOff>
    </xdr:to>
    <xdr:graphicFrame macro="">
      <xdr:nvGraphicFramePr>
        <xdr:cNvPr id="2" name="Chart 1">
          <a:extLst>
            <a:ext uri="{FF2B5EF4-FFF2-40B4-BE49-F238E27FC236}">
              <a16:creationId xmlns:a16="http://schemas.microsoft.com/office/drawing/2014/main" id="{80C81B4E-A2FA-41F5-BAC0-B10A9CED0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505059</xdr:colOff>
      <xdr:row>7</xdr:row>
      <xdr:rowOff>131429</xdr:rowOff>
    </xdr:from>
    <xdr:to>
      <xdr:col>20</xdr:col>
      <xdr:colOff>301625</xdr:colOff>
      <xdr:row>11</xdr:row>
      <xdr:rowOff>0</xdr:rowOff>
    </xdr:to>
    <mc:AlternateContent xmlns:mc="http://schemas.openxmlformats.org/markup-compatibility/2006" xmlns:a14="http://schemas.microsoft.com/office/drawing/2010/main">
      <mc:Choice Requires="a14">
        <xdr:graphicFrame macro="">
          <xdr:nvGraphicFramePr>
            <xdr:cNvPr id="3" name="created_date (Year) 1">
              <a:extLst>
                <a:ext uri="{FF2B5EF4-FFF2-40B4-BE49-F238E27FC236}">
                  <a16:creationId xmlns:a16="http://schemas.microsoft.com/office/drawing/2014/main" id="{3B561A65-C169-47EB-9153-81EAB359664E}"/>
                </a:ext>
              </a:extLst>
            </xdr:cNvPr>
            <xdr:cNvGraphicFramePr/>
          </xdr:nvGraphicFramePr>
          <xdr:xfrm>
            <a:off x="0" y="0"/>
            <a:ext cx="0" cy="0"/>
          </xdr:xfrm>
          <a:graphic>
            <a:graphicData uri="http://schemas.microsoft.com/office/drawing/2010/slicer">
              <sle:slicer xmlns:sle="http://schemas.microsoft.com/office/drawing/2010/slicer" name="created_date (Year) 1"/>
            </a:graphicData>
          </a:graphic>
        </xdr:graphicFrame>
      </mc:Choice>
      <mc:Fallback xmlns="">
        <xdr:sp macro="" textlink="">
          <xdr:nvSpPr>
            <xdr:cNvPr id="0" name=""/>
            <xdr:cNvSpPr>
              <a:spLocks noTextEdit="1"/>
            </xdr:cNvSpPr>
          </xdr:nvSpPr>
          <xdr:spPr>
            <a:xfrm>
              <a:off x="9805941" y="1438782"/>
              <a:ext cx="2236959" cy="615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25198</xdr:colOff>
      <xdr:row>12</xdr:row>
      <xdr:rowOff>15119</xdr:rowOff>
    </xdr:from>
    <xdr:to>
      <xdr:col>20</xdr:col>
      <xdr:colOff>603249</xdr:colOff>
      <xdr:row>29</xdr:row>
      <xdr:rowOff>148166</xdr:rowOff>
    </xdr:to>
    <xdr:graphicFrame macro="">
      <xdr:nvGraphicFramePr>
        <xdr:cNvPr id="4" name="Chart 3">
          <a:extLst>
            <a:ext uri="{FF2B5EF4-FFF2-40B4-BE49-F238E27FC236}">
              <a16:creationId xmlns:a16="http://schemas.microsoft.com/office/drawing/2014/main" id="{CC268959-C761-41F0-BD17-584DD8C9B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31</xdr:row>
      <xdr:rowOff>25399</xdr:rowOff>
    </xdr:from>
    <xdr:to>
      <xdr:col>11</xdr:col>
      <xdr:colOff>10583</xdr:colOff>
      <xdr:row>49</xdr:row>
      <xdr:rowOff>10582</xdr:rowOff>
    </xdr:to>
    <xdr:graphicFrame macro="">
      <xdr:nvGraphicFramePr>
        <xdr:cNvPr id="5" name="Chart 4">
          <a:extLst>
            <a:ext uri="{FF2B5EF4-FFF2-40B4-BE49-F238E27FC236}">
              <a16:creationId xmlns:a16="http://schemas.microsoft.com/office/drawing/2014/main" id="{A9F3CC2F-7BC7-454F-86CB-8E224A526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613831</xdr:colOff>
      <xdr:row>30</xdr:row>
      <xdr:rowOff>174626</xdr:rowOff>
    </xdr:from>
    <xdr:to>
      <xdr:col>20</xdr:col>
      <xdr:colOff>613832</xdr:colOff>
      <xdr:row>48</xdr:row>
      <xdr:rowOff>169334</xdr:rowOff>
    </xdr:to>
    <xdr:graphicFrame macro="">
      <xdr:nvGraphicFramePr>
        <xdr:cNvPr id="6" name="Chart 5">
          <a:extLst>
            <a:ext uri="{FF2B5EF4-FFF2-40B4-BE49-F238E27FC236}">
              <a16:creationId xmlns:a16="http://schemas.microsoft.com/office/drawing/2014/main" id="{D44585EE-F9DF-46A8-B0BE-0734F6579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569308</xdr:colOff>
      <xdr:row>3</xdr:row>
      <xdr:rowOff>21897</xdr:rowOff>
    </xdr:from>
    <xdr:to>
      <xdr:col>20</xdr:col>
      <xdr:colOff>602154</xdr:colOff>
      <xdr:row>5</xdr:row>
      <xdr:rowOff>164225</xdr:rowOff>
    </xdr:to>
    <xdr:sp macro="" textlink="">
      <xdr:nvSpPr>
        <xdr:cNvPr id="16" name="TextBox 15">
          <a:extLst>
            <a:ext uri="{FF2B5EF4-FFF2-40B4-BE49-F238E27FC236}">
              <a16:creationId xmlns:a16="http://schemas.microsoft.com/office/drawing/2014/main" id="{C802AA50-9AC9-6F70-2482-606A565670A1}"/>
            </a:ext>
          </a:extLst>
        </xdr:cNvPr>
        <xdr:cNvSpPr txBox="1"/>
      </xdr:nvSpPr>
      <xdr:spPr>
        <a:xfrm>
          <a:off x="569308" y="580259"/>
          <a:ext cx="12043105" cy="514569"/>
        </a:xfrm>
        <a:prstGeom prst="rect">
          <a:avLst/>
        </a:prstGeom>
        <a:solidFill>
          <a:srgbClr val="6373BA"/>
        </a:solidFill>
        <a:ln w="9525" cmpd="sng">
          <a:noFill/>
        </a:ln>
        <a:effectLst>
          <a:outerShdw blurRad="50800" dist="50800" dir="5400000" algn="ctr" rotWithShape="0">
            <a:schemeClr val="bg1">
              <a:lumMod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solidFill>
                <a:schemeClr val="tx1"/>
              </a:solidFill>
            </a:rPr>
            <a:t>Subcription</a:t>
          </a:r>
          <a:r>
            <a:rPr lang="en-IN" sz="2800" b="1" baseline="0">
              <a:solidFill>
                <a:schemeClr val="tx1"/>
              </a:solidFill>
            </a:rPr>
            <a:t> Cohort Dashboard</a:t>
          </a:r>
        </a:p>
      </xdr:txBody>
    </xdr:sp>
    <xdr:clientData/>
  </xdr:twoCellAnchor>
  <xdr:twoCellAnchor>
    <xdr:from>
      <xdr:col>1</xdr:col>
      <xdr:colOff>-1</xdr:colOff>
      <xdr:row>8</xdr:row>
      <xdr:rowOff>0</xdr:rowOff>
    </xdr:from>
    <xdr:to>
      <xdr:col>4</xdr:col>
      <xdr:colOff>64795</xdr:colOff>
      <xdr:row>11</xdr:row>
      <xdr:rowOff>0</xdr:rowOff>
    </xdr:to>
    <xdr:sp macro="" textlink="">
      <xdr:nvSpPr>
        <xdr:cNvPr id="20" name="TextBox 19">
          <a:extLst>
            <a:ext uri="{FF2B5EF4-FFF2-40B4-BE49-F238E27FC236}">
              <a16:creationId xmlns:a16="http://schemas.microsoft.com/office/drawing/2014/main" id="{672A191D-172C-49AB-B0E2-06DD1276AA1E}"/>
            </a:ext>
          </a:extLst>
        </xdr:cNvPr>
        <xdr:cNvSpPr txBox="1"/>
      </xdr:nvSpPr>
      <xdr:spPr>
        <a:xfrm>
          <a:off x="609081" y="1451429"/>
          <a:ext cx="1892041" cy="544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a:t>
          </a:r>
          <a:r>
            <a:rPr lang="en-IN" sz="1100" baseline="0"/>
            <a:t> Nunber of Subscription                                                                </a:t>
          </a:r>
          <a:r>
            <a:rPr lang="en-IN" sz="1100" b="0" i="0" u="none" strike="noStrike">
              <a:solidFill>
                <a:schemeClr val="dk1"/>
              </a:solidFill>
              <a:effectLst/>
              <a:latin typeface="+mn-lt"/>
              <a:ea typeface="+mn-ea"/>
              <a:cs typeface="+mn-cs"/>
            </a:rPr>
            <a:t>3069 </a:t>
          </a:r>
          <a:endParaRPr lang="en-IN" sz="1100"/>
        </a:p>
      </xdr:txBody>
    </xdr:sp>
    <xdr:clientData/>
  </xdr:twoCellAnchor>
  <xdr:twoCellAnchor>
    <xdr:from>
      <xdr:col>4</xdr:col>
      <xdr:colOff>362008</xdr:colOff>
      <xdr:row>8</xdr:row>
      <xdr:rowOff>0</xdr:rowOff>
    </xdr:from>
    <xdr:to>
      <xdr:col>8</xdr:col>
      <xdr:colOff>611261</xdr:colOff>
      <xdr:row>11</xdr:row>
      <xdr:rowOff>0</xdr:rowOff>
    </xdr:to>
    <xdr:sp macro="" textlink="">
      <xdr:nvSpPr>
        <xdr:cNvPr id="22" name="TextBox 21">
          <a:extLst>
            <a:ext uri="{FF2B5EF4-FFF2-40B4-BE49-F238E27FC236}">
              <a16:creationId xmlns:a16="http://schemas.microsoft.com/office/drawing/2014/main" id="{FF91F8C2-3385-416D-A88A-89646DC3E90E}"/>
            </a:ext>
          </a:extLst>
        </xdr:cNvPr>
        <xdr:cNvSpPr txBox="1"/>
      </xdr:nvSpPr>
      <xdr:spPr>
        <a:xfrm>
          <a:off x="2807055" y="1471776"/>
          <a:ext cx="2445047" cy="5519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i="0" u="none" strike="noStrike">
              <a:solidFill>
                <a:schemeClr val="dk1"/>
              </a:solidFill>
              <a:effectLst/>
              <a:latin typeface="+mn-lt"/>
              <a:ea typeface="+mn-ea"/>
              <a:cs typeface="+mn-cs"/>
            </a:rPr>
            <a:t>       Number of Subscription</a:t>
          </a:r>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Cancel</a:t>
          </a:r>
          <a:br>
            <a:rPr lang="en-IN" sz="1100" b="0" i="0" u="none" strike="noStrike">
              <a:solidFill>
                <a:schemeClr val="dk1"/>
              </a:solidFill>
              <a:effectLst/>
              <a:latin typeface="+mn-lt"/>
              <a:ea typeface="+mn-ea"/>
              <a:cs typeface="+mn-cs"/>
            </a:rPr>
          </a:br>
          <a:r>
            <a:rPr lang="en-IN" sz="1100" b="0" i="0" u="none" strike="noStrike">
              <a:solidFill>
                <a:schemeClr val="dk1"/>
              </a:solidFill>
              <a:effectLst/>
              <a:latin typeface="+mn-lt"/>
              <a:ea typeface="+mn-ea"/>
              <a:cs typeface="+mn-cs"/>
            </a:rPr>
            <a:t>                              2004</a:t>
          </a:r>
          <a:r>
            <a:rPr lang="en-IN"/>
            <a:t> </a:t>
          </a:r>
          <a:endParaRPr lang="en-IN" sz="1100"/>
        </a:p>
      </xdr:txBody>
    </xdr:sp>
    <xdr:clientData/>
  </xdr:twoCellAnchor>
  <xdr:twoCellAnchor>
    <xdr:from>
      <xdr:col>9</xdr:col>
      <xdr:colOff>599209</xdr:colOff>
      <xdr:row>8</xdr:row>
      <xdr:rowOff>0</xdr:rowOff>
    </xdr:from>
    <xdr:to>
      <xdr:col>12</xdr:col>
      <xdr:colOff>0</xdr:colOff>
      <xdr:row>10</xdr:row>
      <xdr:rowOff>177223</xdr:rowOff>
    </xdr:to>
    <xdr:sp macro="" textlink="">
      <xdr:nvSpPr>
        <xdr:cNvPr id="24" name="TextBox 23">
          <a:extLst>
            <a:ext uri="{FF2B5EF4-FFF2-40B4-BE49-F238E27FC236}">
              <a16:creationId xmlns:a16="http://schemas.microsoft.com/office/drawing/2014/main" id="{F42F8868-39A2-43E6-8AA5-A24C2E3CEB58}"/>
            </a:ext>
          </a:extLst>
        </xdr:cNvPr>
        <xdr:cNvSpPr txBox="1"/>
      </xdr:nvSpPr>
      <xdr:spPr>
        <a:xfrm>
          <a:off x="5809095" y="1500909"/>
          <a:ext cx="121920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Paid Subscription</a:t>
          </a:r>
          <a:r>
            <a:rPr lang="en-IN"/>
            <a:t> </a:t>
          </a:r>
          <a:r>
            <a:rPr lang="en-IN" sz="1100" b="0" i="0" u="none" strike="noStrike">
              <a:solidFill>
                <a:schemeClr val="dk1"/>
              </a:solidFill>
              <a:effectLst/>
              <a:latin typeface="+mn-lt"/>
              <a:ea typeface="+mn-ea"/>
              <a:cs typeface="+mn-cs"/>
            </a:rPr>
            <a:t>96%</a:t>
          </a:r>
          <a:r>
            <a:rPr lang="en-IN"/>
            <a:t> </a:t>
          </a:r>
          <a:endParaRPr lang="en-IN" sz="1100"/>
        </a:p>
      </xdr:txBody>
    </xdr:sp>
    <xdr:clientData/>
  </xdr:twoCellAnchor>
  <xdr:twoCellAnchor>
    <xdr:from>
      <xdr:col>13</xdr:col>
      <xdr:colOff>0</xdr:colOff>
      <xdr:row>8</xdr:row>
      <xdr:rowOff>-1</xdr:rowOff>
    </xdr:from>
    <xdr:to>
      <xdr:col>16</xdr:col>
      <xdr:colOff>0</xdr:colOff>
      <xdr:row>11</xdr:row>
      <xdr:rowOff>-1</xdr:rowOff>
    </xdr:to>
    <xdr:sp macro="" textlink="">
      <xdr:nvSpPr>
        <xdr:cNvPr id="25" name="TextBox 24">
          <a:extLst>
            <a:ext uri="{FF2B5EF4-FFF2-40B4-BE49-F238E27FC236}">
              <a16:creationId xmlns:a16="http://schemas.microsoft.com/office/drawing/2014/main" id="{2A8B82F0-9A9B-4262-A12B-9F13F73E3FAD}"/>
            </a:ext>
          </a:extLst>
        </xdr:cNvPr>
        <xdr:cNvSpPr txBox="1"/>
      </xdr:nvSpPr>
      <xdr:spPr>
        <a:xfrm>
          <a:off x="7417955" y="1500908"/>
          <a:ext cx="1818409" cy="5628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1100"/>
            <a:t>Unpaid </a:t>
          </a:r>
          <a:r>
            <a:rPr lang="en-US" sz="1100"/>
            <a:t>Subscription</a:t>
          </a:r>
          <a:r>
            <a:rPr lang="en-US" sz="1100" baseline="0"/>
            <a:t>                           </a:t>
          </a:r>
        </a:p>
        <a:p>
          <a:pPr lvl="0" algn="ctr"/>
          <a:r>
            <a:rPr lang="en-IN" sz="1100" b="0" i="0" u="none" strike="noStrike">
              <a:solidFill>
                <a:schemeClr val="dk1"/>
              </a:solidFill>
              <a:effectLst/>
              <a:latin typeface="+mn-lt"/>
              <a:ea typeface="+mn-ea"/>
              <a:cs typeface="+mn-cs"/>
            </a:rPr>
            <a:t>4%</a:t>
          </a:r>
          <a:r>
            <a:rPr lang="en-IN"/>
            <a:t> </a:t>
          </a:r>
          <a:r>
            <a:rPr lang="en-US" sz="1100"/>
            <a:t> </a:t>
          </a:r>
          <a:endParaRPr lang="en-IN"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0.33952</cdr:x>
      <cdr:y>0.05853</cdr:y>
    </cdr:from>
    <cdr:to>
      <cdr:x>0.66446</cdr:x>
      <cdr:y>0.14127</cdr:y>
    </cdr:to>
    <cdr:sp macro="" textlink="">
      <cdr:nvSpPr>
        <cdr:cNvPr id="2" name="TextBox 1">
          <a:extLst xmlns:a="http://schemas.openxmlformats.org/drawingml/2006/main">
            <a:ext uri="{FF2B5EF4-FFF2-40B4-BE49-F238E27FC236}">
              <a16:creationId xmlns:a16="http://schemas.microsoft.com/office/drawing/2014/main" id="{6A29BDCC-DA84-5AAE-CC35-CCBC06382829}"/>
            </a:ext>
          </a:extLst>
        </cdr:cNvPr>
        <cdr:cNvSpPr txBox="1"/>
      </cdr:nvSpPr>
      <cdr:spPr>
        <a:xfrm xmlns:a="http://schemas.openxmlformats.org/drawingml/2006/main">
          <a:off x="1625600" y="184150"/>
          <a:ext cx="1555750" cy="260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t>Subsciption by Day</a:t>
          </a:r>
        </a:p>
      </cdr:txBody>
    </cdr:sp>
  </cdr:relSizeAnchor>
</c:userShape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uji" refreshedDate="45868.443372337963" backgroundQuery="1" createdVersion="8" refreshedVersion="8" minRefreshableVersion="3" recordCount="0" supportSubquery="1" supportAdvancedDrill="1" xr:uid="{6294B95B-5592-4E9B-85A2-82442B9A95B9}">
  <cacheSource type="external" connectionId="1"/>
  <cacheFields count="2">
    <cacheField name="[Table1 was_subscription_paid].[was_subscription_paid].[was_subscription_paid]" caption="was_subscription_paid" numFmtId="0" hierarchy="15" level="1">
      <sharedItems count="2">
        <s v="No"/>
        <s v="Yes"/>
      </sharedItems>
    </cacheField>
    <cacheField name="[Measures].[Count of was_subscription_paid]" caption="Count of was_subscription_paid" numFmtId="0" hierarchy="25" level="32767"/>
  </cacheFields>
  <cacheHierarchies count="26">
    <cacheHierarchy uniqueName="[Table1].[customer_id]" caption="customer_id" attribute="1" defaultMemberUniqueName="[Table1].[customer_id].[All]" allUniqueName="[Table1].[customer_id].[All]" dimensionUniqueName="[Table1]" displayFolder="" count="0" memberValueDatatype="20" unbalanced="0"/>
    <cacheHierarchy uniqueName="[Table1].[created_date]" caption="created_date" attribute="1" time="1" defaultMemberUniqueName="[Table1].[created_date].[All]" allUniqueName="[Table1].[created_date].[All]" dimensionUniqueName="[Table1]" displayFolder="" count="0" memberValueDatatype="7" unbalanced="0"/>
    <cacheHierarchy uniqueName="[Table1].[canceled_date]" caption="canceled_date" attribute="1" time="1" defaultMemberUniqueName="[Table1].[canceled_date].[All]" allUniqueName="[Table1].[canceled_date].[All]" dimensionUniqueName="[Table1]" displayFolder="" count="0" memberValueDatatype="7" unbalanced="0"/>
    <cacheHierarchy uniqueName="[Table1].[was_subscription_paid]" caption="was_subscription_paid" attribute="1" defaultMemberUniqueName="[Table1].[was_subscription_paid].[All]" allUniqueName="[Table1].[was_subscription_paid].[All]" dimensionUniqueName="[Table1]" displayFolder="" count="0" memberValueDatatype="130" unbalanced="0"/>
    <cacheHierarchy uniqueName="[Table1].[subscription_cost]" caption="subscription_cost" attribute="1" defaultMemberUniqueName="[Table1].[subscription_cost].[All]" allUniqueName="[Table1].[subscription_cost].[All]" dimensionUniqueName="[Table1]" displayFolder="" count="0" memberValueDatatype="20" unbalanced="0"/>
    <cacheHierarchy uniqueName="[Table1].[subscription_interval]" caption="subscription_interval" attribute="1" defaultMemberUniqueName="[Table1].[subscription_interval].[All]" allUniqueName="[Table1].[subscription_interval].[All]" dimensionUniqueName="[Table1]" displayFolder="" count="0" memberValueDatatype="130" unbalanced="0"/>
    <cacheHierarchy uniqueName="[Table1].[Cancellation Duration]" caption="Cancellation Duration" attribute="1" defaultMemberUniqueName="[Table1].[Cancellation Duration].[All]" allUniqueName="[Table1].[Cancellation Duration].[All]" dimensionUniqueName="[Table1]" displayFolder="" count="0" memberValueDatatype="130" unbalanced="0"/>
    <cacheHierarchy uniqueName="[Table1].[Subscription Weekday]" caption="Subscription Weekday" attribute="1" defaultMemberUniqueName="[Table1].[Subscription Weekday].[All]" allUniqueName="[Table1].[Subscription Weekday].[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reated_date (Year)]" caption="created_date (Year)" attribute="1" defaultMemberUniqueName="[Table1].[created_date (Year)].[All]" allUniqueName="[Table1].[created_date (Year)].[All]" dimensionUniqueName="[Table1]" displayFolder="" count="0" memberValueDatatype="130" unbalanced="0"/>
    <cacheHierarchy uniqueName="[Table1].[created_date (Quarter)]" caption="created_date (Quarter)" attribute="1" defaultMemberUniqueName="[Table1].[created_date (Quarter)].[All]" allUniqueName="[Table1].[created_date (Quarter)].[All]" dimensionUniqueName="[Table1]" displayFolder="" count="0" memberValueDatatype="130" unbalanced="0"/>
    <cacheHierarchy uniqueName="[Table1].[created_date (Month)]" caption="created_date (Month)" attribute="1" defaultMemberUniqueName="[Table1].[created_date (Month)].[All]" allUniqueName="[Table1].[created_date (Month)].[All]" dimensionUniqueName="[Table1]" displayFolder="" count="0" memberValueDatatype="130" unbalanced="0"/>
    <cacheHierarchy uniqueName="[Table1].[canceled_date (Year)]" caption="canceled_date (Year)" attribute="1" defaultMemberUniqueName="[Table1].[canceled_date (Year)].[All]" allUniqueName="[Table1].[canceled_date (Year)].[All]" dimensionUniqueName="[Table1]" displayFolder="" count="0" memberValueDatatype="130" unbalanced="0"/>
    <cacheHierarchy uniqueName="[Table1].[canceled_date (Quarter)]" caption="canceled_date (Quarter)" attribute="1" defaultMemberUniqueName="[Table1].[canceled_date (Quarter)].[All]" allUniqueName="[Table1].[canceled_date (Quarter)].[All]" dimensionUniqueName="[Table1]" displayFolder="" count="0" memberValueDatatype="130" unbalanced="0"/>
    <cacheHierarchy uniqueName="[Table1].[canceled_date (Month)]" caption="canceled_date (Month)" attribute="1" defaultMemberUniqueName="[Table1].[canceled_date (Month)].[All]" allUniqueName="[Table1].[canceled_date (Month)].[All]" dimensionUniqueName="[Table1]" displayFolder="" count="0" memberValueDatatype="130" unbalanced="0"/>
    <cacheHierarchy uniqueName="[Table1 was_subscription_paid].[was_subscription_paid]" caption="was_subscription_paid" attribute="1" defaultMemberUniqueName="[Table1 was_subscription_paid].[was_subscription_paid].[All]" allUniqueName="[Table1 was_subscription_paid].[was_subscription_paid].[All]" dimensionUniqueName="[Table1 was_subscription_paid]" displayFolder="" count="2" memberValueDatatype="130" unbalanced="0">
      <fieldsUsage count="2">
        <fieldUsage x="-1"/>
        <fieldUsage x="0"/>
      </fieldsUsage>
    </cacheHierarchy>
    <cacheHierarchy uniqueName="[Table1].[canceled_date (Month Index)]" caption="canceled_date (Month Index)" attribute="1" defaultMemberUniqueName="[Table1].[canceled_date (Month Index)].[All]" allUniqueName="[Table1].[canceled_date (Month Index)].[All]" dimensionUniqueName="[Table1]" displayFolder="" count="0" memberValueDatatype="20" unbalanced="0" hidden="1"/>
    <cacheHierarchy uniqueName="[Table1].[created_date (Month Index)]" caption="created_date (Month Index)" attribute="1" defaultMemberUniqueName="[Table1].[created_date (Month Index)].[All]" allUniqueName="[Table1].[created_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 was_subscription_paid]" caption="__XL_Count Table1 was_subscription_paid" measure="1" displayFolder="" measureGroup="Table1 was_subscription_paid" count="0" hidden="1"/>
    <cacheHierarchy uniqueName="[Measures].[__No measures defined]" caption="__No measures defined" measure="1" displayFolder="" count="0" hidden="1"/>
    <cacheHierarchy uniqueName="[Measures].[Count of created_date]" caption="Count of created_date" measure="1" displayFolder="" measureGroup="Table1" count="0" hidden="1">
      <extLst>
        <ext xmlns:x15="http://schemas.microsoft.com/office/spreadsheetml/2010/11/main" uri="{B97F6D7D-B522-45F9-BDA1-12C45D357490}">
          <x15:cacheHierarchy aggregatedColumn="1"/>
        </ext>
      </extLst>
    </cacheHierarchy>
    <cacheHierarchy uniqueName="[Measures].[Count of Cancellation Duration]" caption="Count of Cancellation Duration" measure="1" displayFolder="" measureGroup="Table1"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was_subscription_paid]" caption="Count of was_subscription_paid" measure="1" displayFolder="" measureGroup="Table1 was_subscription_paid"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 was_subscription_paid" uniqueName="[Table1 was_subscription_paid]" caption="Table1 was_subscription_paid"/>
  </dimensions>
  <measureGroups count="2">
    <measureGroup name="Table1" caption="Table1"/>
    <measureGroup name="Table1 was_subscription_paid" caption="Table1 was_subscription_pai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uji" refreshedDate="45868.48752962963" backgroundQuery="1" createdVersion="8" refreshedVersion="8" minRefreshableVersion="3" recordCount="0" supportSubquery="1" supportAdvancedDrill="1" xr:uid="{64B256FF-2EFC-4F5E-AD71-3B12A06246F3}">
  <cacheSource type="external" connectionId="1"/>
  <cacheFields count="2">
    <cacheField name="[Table1].[Subscription Weekday].[Subscription Weekday]" caption="Subscription Weekday" numFmtId="0" hierarchy="7" level="1">
      <sharedItems count="7">
        <s v="Friday"/>
        <s v="Monday"/>
        <s v="Saturday"/>
        <s v="Sunday"/>
        <s v="Thursday"/>
        <s v="Tuesday"/>
        <s v="Wednesday"/>
      </sharedItems>
    </cacheField>
    <cacheField name="[Measures].[Count of customer_id]" caption="Count of customer_id" numFmtId="0" hierarchy="24" level="32767"/>
  </cacheFields>
  <cacheHierarchies count="26">
    <cacheHierarchy uniqueName="[Table1].[customer_id]" caption="customer_id" attribute="1" defaultMemberUniqueName="[Table1].[customer_id].[All]" allUniqueName="[Table1].[customer_id].[All]" dimensionUniqueName="[Table1]" displayFolder="" count="0" memberValueDatatype="20" unbalanced="0"/>
    <cacheHierarchy uniqueName="[Table1].[created_date]" caption="created_date" attribute="1" time="1" defaultMemberUniqueName="[Table1].[created_date].[All]" allUniqueName="[Table1].[created_date].[All]" dimensionUniqueName="[Table1]" displayFolder="" count="0" memberValueDatatype="7" unbalanced="0"/>
    <cacheHierarchy uniqueName="[Table1].[canceled_date]" caption="canceled_date" attribute="1" time="1" defaultMemberUniqueName="[Table1].[canceled_date].[All]" allUniqueName="[Table1].[canceled_date].[All]" dimensionUniqueName="[Table1]" displayFolder="" count="0" memberValueDatatype="7" unbalanced="0"/>
    <cacheHierarchy uniqueName="[Table1].[was_subscription_paid]" caption="was_subscription_paid" attribute="1" defaultMemberUniqueName="[Table1].[was_subscription_paid].[All]" allUniqueName="[Table1].[was_subscription_paid].[All]" dimensionUniqueName="[Table1]" displayFolder="" count="0" memberValueDatatype="130" unbalanced="0"/>
    <cacheHierarchy uniqueName="[Table1].[subscription_cost]" caption="subscription_cost" attribute="1" defaultMemberUniqueName="[Table1].[subscription_cost].[All]" allUniqueName="[Table1].[subscription_cost].[All]" dimensionUniqueName="[Table1]" displayFolder="" count="0" memberValueDatatype="20" unbalanced="0"/>
    <cacheHierarchy uniqueName="[Table1].[subscription_interval]" caption="subscription_interval" attribute="1" defaultMemberUniqueName="[Table1].[subscription_interval].[All]" allUniqueName="[Table1].[subscription_interval].[All]" dimensionUniqueName="[Table1]" displayFolder="" count="0" memberValueDatatype="130" unbalanced="0"/>
    <cacheHierarchy uniqueName="[Table1].[Cancellation Duration]" caption="Cancellation Duration" attribute="1" defaultMemberUniqueName="[Table1].[Cancellation Duration].[All]" allUniqueName="[Table1].[Cancellation Duration].[All]" dimensionUniqueName="[Table1]" displayFolder="" count="0" memberValueDatatype="130" unbalanced="0"/>
    <cacheHierarchy uniqueName="[Table1].[Subscription Weekday]" caption="Subscription Weekday" attribute="1" defaultMemberUniqueName="[Table1].[Subscription Weekday].[All]" allUniqueName="[Table1].[Subscription Weekday].[All]" dimensionUniqueName="[Table1]" displayFolder="" count="2" memberValueDatatype="130" unbalanced="0">
      <fieldsUsage count="2">
        <fieldUsage x="-1"/>
        <fieldUsage x="0"/>
      </fieldsUsage>
    </cacheHierarchy>
    <cacheHierarchy uniqueName="[Table1].[Column1]" caption="Column1" attribute="1" defaultMemberUniqueName="[Table1].[Column1].[All]" allUniqueName="[Table1].[Column1].[All]" dimensionUniqueName="[Table1]" displayFolder="" count="0" memberValueDatatype="130" unbalanced="0"/>
    <cacheHierarchy uniqueName="[Table1].[created_date (Year)]" caption="created_date (Year)" attribute="1" defaultMemberUniqueName="[Table1].[created_date (Year)].[All]" allUniqueName="[Table1].[created_date (Year)].[All]" dimensionUniqueName="[Table1]" displayFolder="" count="0" memberValueDatatype="130" unbalanced="0"/>
    <cacheHierarchy uniqueName="[Table1].[created_date (Quarter)]" caption="created_date (Quarter)" attribute="1" defaultMemberUniqueName="[Table1].[created_date (Quarter)].[All]" allUniqueName="[Table1].[created_date (Quarter)].[All]" dimensionUniqueName="[Table1]" displayFolder="" count="0" memberValueDatatype="130" unbalanced="0"/>
    <cacheHierarchy uniqueName="[Table1].[created_date (Month)]" caption="created_date (Month)" attribute="1" defaultMemberUniqueName="[Table1].[created_date (Month)].[All]" allUniqueName="[Table1].[created_date (Month)].[All]" dimensionUniqueName="[Table1]" displayFolder="" count="0" memberValueDatatype="130" unbalanced="0"/>
    <cacheHierarchy uniqueName="[Table1].[canceled_date (Year)]" caption="canceled_date (Year)" attribute="1" defaultMemberUniqueName="[Table1].[canceled_date (Year)].[All]" allUniqueName="[Table1].[canceled_date (Year)].[All]" dimensionUniqueName="[Table1]" displayFolder="" count="0" memberValueDatatype="130" unbalanced="0"/>
    <cacheHierarchy uniqueName="[Table1].[canceled_date (Quarter)]" caption="canceled_date (Quarter)" attribute="1" defaultMemberUniqueName="[Table1].[canceled_date (Quarter)].[All]" allUniqueName="[Table1].[canceled_date (Quarter)].[All]" dimensionUniqueName="[Table1]" displayFolder="" count="0" memberValueDatatype="130" unbalanced="0"/>
    <cacheHierarchy uniqueName="[Table1].[canceled_date (Month)]" caption="canceled_date (Month)" attribute="1" defaultMemberUniqueName="[Table1].[canceled_date (Month)].[All]" allUniqueName="[Table1].[canceled_date (Month)].[All]" dimensionUniqueName="[Table1]" displayFolder="" count="0" memberValueDatatype="130" unbalanced="0"/>
    <cacheHierarchy uniqueName="[Table1 was_subscription_paid].[was_subscription_paid]" caption="was_subscription_paid" attribute="1" defaultMemberUniqueName="[Table1 was_subscription_paid].[was_subscription_paid].[All]" allUniqueName="[Table1 was_subscription_paid].[was_subscription_paid].[All]" dimensionUniqueName="[Table1 was_subscription_paid]" displayFolder="" count="0" memberValueDatatype="130" unbalanced="0"/>
    <cacheHierarchy uniqueName="[Table1].[canceled_date (Month Index)]" caption="canceled_date (Month Index)" attribute="1" defaultMemberUniqueName="[Table1].[canceled_date (Month Index)].[All]" allUniqueName="[Table1].[canceled_date (Month Index)].[All]" dimensionUniqueName="[Table1]" displayFolder="" count="0" memberValueDatatype="20" unbalanced="0" hidden="1"/>
    <cacheHierarchy uniqueName="[Table1].[created_date (Month Index)]" caption="created_date (Month Index)" attribute="1" defaultMemberUniqueName="[Table1].[created_date (Month Index)].[All]" allUniqueName="[Table1].[created_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 was_subscription_paid]" caption="__XL_Count Table1 was_subscription_paid" measure="1" displayFolder="" measureGroup="Table1 was_subscription_paid" count="0" hidden="1"/>
    <cacheHierarchy uniqueName="[Measures].[__No measures defined]" caption="__No measures defined" measure="1" displayFolder="" count="0" hidden="1"/>
    <cacheHierarchy uniqueName="[Measures].[Count of created_date]" caption="Count of created_date" measure="1" displayFolder="" measureGroup="Table1" count="0" hidden="1">
      <extLst>
        <ext xmlns:x15="http://schemas.microsoft.com/office/spreadsheetml/2010/11/main" uri="{B97F6D7D-B522-45F9-BDA1-12C45D357490}">
          <x15:cacheHierarchy aggregatedColumn="1"/>
        </ext>
      </extLst>
    </cacheHierarchy>
    <cacheHierarchy uniqueName="[Measures].[Count of Cancellation Duration]" caption="Count of Cancellation Duration" measure="1" displayFolder="" measureGroup="Table1"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was_subscription_paid]" caption="Count of was_subscription_paid" measure="1" displayFolder="" measureGroup="Table1 was_subscription_paid"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 was_subscription_paid" uniqueName="[Table1 was_subscription_paid]" caption="Table1 was_subscription_paid"/>
  </dimensions>
  <measureGroups count="2">
    <measureGroup name="Table1" caption="Table1"/>
    <measureGroup name="Table1 was_subscription_paid" caption="Table1 was_subscription_pai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uji" refreshedDate="45868.487530671293" backgroundQuery="1" createdVersion="8" refreshedVersion="8" minRefreshableVersion="3" recordCount="0" supportSubquery="1" supportAdvancedDrill="1" xr:uid="{E4F09376-F32D-42CE-B996-96AEEEB08CBC}">
  <cacheSource type="external" connectionId="1"/>
  <cacheFields count="2">
    <cacheField name="[Table1].[created_date].[created_date]" caption="created_date" numFmtId="0" hierarchy="1" level="1">
      <sharedItems containsSemiMixedTypes="0" containsNonDate="0" containsDate="1" containsString="0" minDate="2022-11-14T00:00:00" maxDate="2022-11-15T00:00:00" count="1">
        <d v="2022-11-14T00:00:00"/>
      </sharedItems>
    </cacheField>
    <cacheField name="[Measures].[Count of created_date]" caption="Count of created_date" numFmtId="0" hierarchy="21" level="32767"/>
  </cacheFields>
  <cacheHierarchies count="26">
    <cacheHierarchy uniqueName="[Table1].[customer_id]" caption="customer_id" attribute="1" defaultMemberUniqueName="[Table1].[customer_id].[All]" allUniqueName="[Table1].[customer_id].[All]" dimensionUniqueName="[Table1]" displayFolder="" count="0" memberValueDatatype="20" unbalanced="0"/>
    <cacheHierarchy uniqueName="[Table1].[created_date]" caption="created_date" attribute="1" time="1" defaultMemberUniqueName="[Table1].[created_date].[All]" allUniqueName="[Table1].[created_date].[All]" dimensionUniqueName="[Table1]" displayFolder="" count="2" memberValueDatatype="7" unbalanced="0">
      <fieldsUsage count="2">
        <fieldUsage x="-1"/>
        <fieldUsage x="0"/>
      </fieldsUsage>
    </cacheHierarchy>
    <cacheHierarchy uniqueName="[Table1].[canceled_date]" caption="canceled_date" attribute="1" time="1" defaultMemberUniqueName="[Table1].[canceled_date].[All]" allUniqueName="[Table1].[canceled_date].[All]" dimensionUniqueName="[Table1]" displayFolder="" count="0" memberValueDatatype="7" unbalanced="0"/>
    <cacheHierarchy uniqueName="[Table1].[was_subscription_paid]" caption="was_subscription_paid" attribute="1" defaultMemberUniqueName="[Table1].[was_subscription_paid].[All]" allUniqueName="[Table1].[was_subscription_paid].[All]" dimensionUniqueName="[Table1]" displayFolder="" count="0" memberValueDatatype="130" unbalanced="0"/>
    <cacheHierarchy uniqueName="[Table1].[subscription_cost]" caption="subscription_cost" attribute="1" defaultMemberUniqueName="[Table1].[subscription_cost].[All]" allUniqueName="[Table1].[subscription_cost].[All]" dimensionUniqueName="[Table1]" displayFolder="" count="0" memberValueDatatype="20" unbalanced="0"/>
    <cacheHierarchy uniqueName="[Table1].[subscription_interval]" caption="subscription_interval" attribute="1" defaultMemberUniqueName="[Table1].[subscription_interval].[All]" allUniqueName="[Table1].[subscription_interval].[All]" dimensionUniqueName="[Table1]" displayFolder="" count="0" memberValueDatatype="130" unbalanced="0"/>
    <cacheHierarchy uniqueName="[Table1].[Cancellation Duration]" caption="Cancellation Duration" attribute="1" defaultMemberUniqueName="[Table1].[Cancellation Duration].[All]" allUniqueName="[Table1].[Cancellation Duration].[All]" dimensionUniqueName="[Table1]" displayFolder="" count="0" memberValueDatatype="130" unbalanced="0"/>
    <cacheHierarchy uniqueName="[Table1].[Subscription Weekday]" caption="Subscription Weekday" attribute="1" defaultMemberUniqueName="[Table1].[Subscription Weekday].[All]" allUniqueName="[Table1].[Subscription Weekday].[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reated_date (Year)]" caption="created_date (Year)" attribute="1" defaultMemberUniqueName="[Table1].[created_date (Year)].[All]" allUniqueName="[Table1].[created_date (Year)].[All]" dimensionUniqueName="[Table1]" displayFolder="" count="0" memberValueDatatype="130" unbalanced="0"/>
    <cacheHierarchy uniqueName="[Table1].[created_date (Quarter)]" caption="created_date (Quarter)" attribute="1" defaultMemberUniqueName="[Table1].[created_date (Quarter)].[All]" allUniqueName="[Table1].[created_date (Quarter)].[All]" dimensionUniqueName="[Table1]" displayFolder="" count="0" memberValueDatatype="130" unbalanced="0"/>
    <cacheHierarchy uniqueName="[Table1].[created_date (Month)]" caption="created_date (Month)" attribute="1" defaultMemberUniqueName="[Table1].[created_date (Month)].[All]" allUniqueName="[Table1].[created_date (Month)].[All]" dimensionUniqueName="[Table1]" displayFolder="" count="0" memberValueDatatype="130" unbalanced="0"/>
    <cacheHierarchy uniqueName="[Table1].[canceled_date (Year)]" caption="canceled_date (Year)" attribute="1" defaultMemberUniqueName="[Table1].[canceled_date (Year)].[All]" allUniqueName="[Table1].[canceled_date (Year)].[All]" dimensionUniqueName="[Table1]" displayFolder="" count="0" memberValueDatatype="130" unbalanced="0"/>
    <cacheHierarchy uniqueName="[Table1].[canceled_date (Quarter)]" caption="canceled_date (Quarter)" attribute="1" defaultMemberUniqueName="[Table1].[canceled_date (Quarter)].[All]" allUniqueName="[Table1].[canceled_date (Quarter)].[All]" dimensionUniqueName="[Table1]" displayFolder="" count="0" memberValueDatatype="130" unbalanced="0"/>
    <cacheHierarchy uniqueName="[Table1].[canceled_date (Month)]" caption="canceled_date (Month)" attribute="1" defaultMemberUniqueName="[Table1].[canceled_date (Month)].[All]" allUniqueName="[Table1].[canceled_date (Month)].[All]" dimensionUniqueName="[Table1]" displayFolder="" count="0" memberValueDatatype="130" unbalanced="0"/>
    <cacheHierarchy uniqueName="[Table1 was_subscription_paid].[was_subscription_paid]" caption="was_subscription_paid" attribute="1" defaultMemberUniqueName="[Table1 was_subscription_paid].[was_subscription_paid].[All]" allUniqueName="[Table1 was_subscription_paid].[was_subscription_paid].[All]" dimensionUniqueName="[Table1 was_subscription_paid]" displayFolder="" count="0" memberValueDatatype="130" unbalanced="0"/>
    <cacheHierarchy uniqueName="[Table1].[canceled_date (Month Index)]" caption="canceled_date (Month Index)" attribute="1" defaultMemberUniqueName="[Table1].[canceled_date (Month Index)].[All]" allUniqueName="[Table1].[canceled_date (Month Index)].[All]" dimensionUniqueName="[Table1]" displayFolder="" count="0" memberValueDatatype="20" unbalanced="0" hidden="1"/>
    <cacheHierarchy uniqueName="[Table1].[created_date (Month Index)]" caption="created_date (Month Index)" attribute="1" defaultMemberUniqueName="[Table1].[created_date (Month Index)].[All]" allUniqueName="[Table1].[created_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 was_subscription_paid]" caption="__XL_Count Table1 was_subscription_paid" measure="1" displayFolder="" measureGroup="Table1 was_subscription_paid" count="0" hidden="1"/>
    <cacheHierarchy uniqueName="[Measures].[__No measures defined]" caption="__No measures defined" measure="1" displayFolder="" count="0" hidden="1"/>
    <cacheHierarchy uniqueName="[Measures].[Count of created_date]" caption="Count of created_dat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ancellation Duration]" caption="Count of Cancellation Duration" measure="1" displayFolder="" measureGroup="Table1"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was_subscription_paid]" caption="Count of was_subscription_paid" measure="1" displayFolder="" measureGroup="Table1 was_subscription_paid"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 was_subscription_paid" uniqueName="[Table1 was_subscription_paid]" caption="Table1 was_subscription_paid"/>
  </dimensions>
  <measureGroups count="2">
    <measureGroup name="Table1" caption="Table1"/>
    <measureGroup name="Table1 was_subscription_paid" caption="Table1 was_subscription_pai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uji" refreshedDate="45868.488114351851" backgroundQuery="1" createdVersion="8" refreshedVersion="8" minRefreshableVersion="3" recordCount="0" supportSubquery="1" supportAdvancedDrill="1" xr:uid="{12C33E9C-5463-4D31-8B2D-385FE7B40D3D}">
  <cacheSource type="external" connectionId="1"/>
  <cacheFields count="5">
    <cacheField name="[Table1].[canceled_date].[canceled_date]" caption="canceled_date" numFmtId="0" hierarchy="2" level="1">
      <sharedItems containsNonDate="0" containsDate="1" containsString="0" containsBlank="1" minDate="2022-09-02T00:00:00" maxDate="2023-09-09T00:00:00" count="361">
        <m/>
        <d v="2022-09-02T00:00:00"/>
        <d v="2022-09-04T00:00:00"/>
        <d v="2022-09-05T00:00:00"/>
        <d v="2022-09-06T00:00:00"/>
        <d v="2022-09-09T00:00:00"/>
        <d v="2022-09-11T00:00:00"/>
        <d v="2022-09-12T00:00:00"/>
        <d v="2022-09-13T00:00:00"/>
        <d v="2022-09-14T00:00:00"/>
        <d v="2022-09-15T00:00:00"/>
        <d v="2022-09-17T00:00:00"/>
        <d v="2022-09-19T00:00:00"/>
        <d v="2022-09-22T00:00:00"/>
        <d v="2022-09-23T00:00:00"/>
        <d v="2022-09-25T00:00:00"/>
        <d v="2022-09-26T00:00:00"/>
        <d v="2022-09-27T00:00:00"/>
        <d v="2022-09-28T00:00:00"/>
        <d v="2022-09-29T00:00:00"/>
        <d v="2022-09-30T00:00:00"/>
        <d v="2022-10-01T00:00:00"/>
        <d v="2022-10-02T00:00:00"/>
        <d v="2022-10-03T00:00:00"/>
        <d v="2022-10-04T00:00:00"/>
        <d v="2022-10-05T00:00:00"/>
        <d v="2022-10-06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sharedItems>
    </cacheField>
    <cacheField name="[Table1].[canceled_date (Month)].[canceled_date (Month)]" caption="canceled_date (Month)" numFmtId="0" hierarchy="14" level="1">
      <sharedItems count="1">
        <s v="Sep"/>
      </sharedItems>
    </cacheField>
    <cacheField name="[Table1].[canceled_date (Quarter)].[canceled_date (Quarter)]" caption="canceled_date (Quarter)" numFmtId="0" hierarchy="13" level="1">
      <sharedItems count="2">
        <s v="Qtr3"/>
        <s v="Qtr4"/>
      </sharedItems>
    </cacheField>
    <cacheField name="[Table1].[canceled_date (Year)].[canceled_date (Year)]" caption="canceled_date (Year)" numFmtId="0" hierarchy="12" level="1">
      <sharedItems count="3">
        <s v=""/>
        <s v="2022"/>
        <s v="2023"/>
      </sharedItems>
    </cacheField>
    <cacheField name="[Measures].[Count of customer_id]" caption="Count of customer_id" numFmtId="0" hierarchy="24" level="32767"/>
  </cacheFields>
  <cacheHierarchies count="26">
    <cacheHierarchy uniqueName="[Table1].[customer_id]" caption="customer_id" attribute="1" defaultMemberUniqueName="[Table1].[customer_id].[All]" allUniqueName="[Table1].[customer_id].[All]" dimensionUniqueName="[Table1]" displayFolder="" count="0" memberValueDatatype="20" unbalanced="0"/>
    <cacheHierarchy uniqueName="[Table1].[created_date]" caption="created_date" attribute="1" time="1" defaultMemberUniqueName="[Table1].[created_date].[All]" allUniqueName="[Table1].[created_date].[All]" dimensionUniqueName="[Table1]" displayFolder="" count="0" memberValueDatatype="7" unbalanced="0"/>
    <cacheHierarchy uniqueName="[Table1].[canceled_date]" caption="canceled_date" attribute="1" time="1" defaultMemberUniqueName="[Table1].[canceled_date].[All]" allUniqueName="[Table1].[canceled_date].[All]" dimensionUniqueName="[Table1]" displayFolder="" count="2" memberValueDatatype="7" unbalanced="0">
      <fieldsUsage count="2">
        <fieldUsage x="-1"/>
        <fieldUsage x="0"/>
      </fieldsUsage>
    </cacheHierarchy>
    <cacheHierarchy uniqueName="[Table1].[was_subscription_paid]" caption="was_subscription_paid" attribute="1" defaultMemberUniqueName="[Table1].[was_subscription_paid].[All]" allUniqueName="[Table1].[was_subscription_paid].[All]" dimensionUniqueName="[Table1]" displayFolder="" count="0" memberValueDatatype="130" unbalanced="0"/>
    <cacheHierarchy uniqueName="[Table1].[subscription_cost]" caption="subscription_cost" attribute="1" defaultMemberUniqueName="[Table1].[subscription_cost].[All]" allUniqueName="[Table1].[subscription_cost].[All]" dimensionUniqueName="[Table1]" displayFolder="" count="0" memberValueDatatype="20" unbalanced="0"/>
    <cacheHierarchy uniqueName="[Table1].[subscription_interval]" caption="subscription_interval" attribute="1" defaultMemberUniqueName="[Table1].[subscription_interval].[All]" allUniqueName="[Table1].[subscription_interval].[All]" dimensionUniqueName="[Table1]" displayFolder="" count="0" memberValueDatatype="130" unbalanced="0"/>
    <cacheHierarchy uniqueName="[Table1].[Cancellation Duration]" caption="Cancellation Duration" attribute="1" defaultMemberUniqueName="[Table1].[Cancellation Duration].[All]" allUniqueName="[Table1].[Cancellation Duration].[All]" dimensionUniqueName="[Table1]" displayFolder="" count="0" memberValueDatatype="130" unbalanced="0"/>
    <cacheHierarchy uniqueName="[Table1].[Subscription Weekday]" caption="Subscription Weekday" attribute="1" defaultMemberUniqueName="[Table1].[Subscription Weekday].[All]" allUniqueName="[Table1].[Subscription Weekday].[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reated_date (Year)]" caption="created_date (Year)" attribute="1" defaultMemberUniqueName="[Table1].[created_date (Year)].[All]" allUniqueName="[Table1].[created_date (Year)].[All]" dimensionUniqueName="[Table1]" displayFolder="" count="0" memberValueDatatype="130" unbalanced="0"/>
    <cacheHierarchy uniqueName="[Table1].[created_date (Quarter)]" caption="created_date (Quarter)" attribute="1" defaultMemberUniqueName="[Table1].[created_date (Quarter)].[All]" allUniqueName="[Table1].[created_date (Quarter)].[All]" dimensionUniqueName="[Table1]" displayFolder="" count="0" memberValueDatatype="130" unbalanced="0"/>
    <cacheHierarchy uniqueName="[Table1].[created_date (Month)]" caption="created_date (Month)" attribute="1" defaultMemberUniqueName="[Table1].[created_date (Month)].[All]" allUniqueName="[Table1].[created_date (Month)].[All]" dimensionUniqueName="[Table1]" displayFolder="" count="0" memberValueDatatype="130" unbalanced="0"/>
    <cacheHierarchy uniqueName="[Table1].[canceled_date (Year)]" caption="canceled_date (Year)" attribute="1" defaultMemberUniqueName="[Table1].[canceled_date (Year)].[All]" allUniqueName="[Table1].[canceled_date (Year)].[All]" dimensionUniqueName="[Table1]" displayFolder="" count="2" memberValueDatatype="130" unbalanced="0">
      <fieldsUsage count="2">
        <fieldUsage x="-1"/>
        <fieldUsage x="3"/>
      </fieldsUsage>
    </cacheHierarchy>
    <cacheHierarchy uniqueName="[Table1].[canceled_date (Quarter)]" caption="canceled_date (Quarter)" attribute="1" defaultMemberUniqueName="[Table1].[canceled_date (Quarter)].[All]" allUniqueName="[Table1].[canceled_date (Quarter)].[All]" dimensionUniqueName="[Table1]" displayFolder="" count="2" memberValueDatatype="130" unbalanced="0">
      <fieldsUsage count="2">
        <fieldUsage x="-1"/>
        <fieldUsage x="2"/>
      </fieldsUsage>
    </cacheHierarchy>
    <cacheHierarchy uniqueName="[Table1].[canceled_date (Month)]" caption="canceled_date (Month)" attribute="1" defaultMemberUniqueName="[Table1].[canceled_date (Month)].[All]" allUniqueName="[Table1].[canceled_date (Month)].[All]" dimensionUniqueName="[Table1]" displayFolder="" count="2" memberValueDatatype="130" unbalanced="0">
      <fieldsUsage count="2">
        <fieldUsage x="-1"/>
        <fieldUsage x="1"/>
      </fieldsUsage>
    </cacheHierarchy>
    <cacheHierarchy uniqueName="[Table1 was_subscription_paid].[was_subscription_paid]" caption="was_subscription_paid" attribute="1" defaultMemberUniqueName="[Table1 was_subscription_paid].[was_subscription_paid].[All]" allUniqueName="[Table1 was_subscription_paid].[was_subscription_paid].[All]" dimensionUniqueName="[Table1 was_subscription_paid]" displayFolder="" count="0" memberValueDatatype="130" unbalanced="0"/>
    <cacheHierarchy uniqueName="[Table1].[canceled_date (Month Index)]" caption="canceled_date (Month Index)" attribute="1" defaultMemberUniqueName="[Table1].[canceled_date (Month Index)].[All]" allUniqueName="[Table1].[canceled_date (Month Index)].[All]" dimensionUniqueName="[Table1]" displayFolder="" count="0" memberValueDatatype="20" unbalanced="0" hidden="1"/>
    <cacheHierarchy uniqueName="[Table1].[created_date (Month Index)]" caption="created_date (Month Index)" attribute="1" defaultMemberUniqueName="[Table1].[created_date (Month Index)].[All]" allUniqueName="[Table1].[created_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 was_subscription_paid]" caption="__XL_Count Table1 was_subscription_paid" measure="1" displayFolder="" measureGroup="Table1 was_subscription_paid" count="0" hidden="1"/>
    <cacheHierarchy uniqueName="[Measures].[__No measures defined]" caption="__No measures defined" measure="1" displayFolder="" count="0" hidden="1"/>
    <cacheHierarchy uniqueName="[Measures].[Count of created_date]" caption="Count of created_date" measure="1" displayFolder="" measureGroup="Table1" count="0" hidden="1">
      <extLst>
        <ext xmlns:x15="http://schemas.microsoft.com/office/spreadsheetml/2010/11/main" uri="{B97F6D7D-B522-45F9-BDA1-12C45D357490}">
          <x15:cacheHierarchy aggregatedColumn="1"/>
        </ext>
      </extLst>
    </cacheHierarchy>
    <cacheHierarchy uniqueName="[Measures].[Count of Cancellation Duration]" caption="Count of Cancellation Duration" measure="1" displayFolder="" measureGroup="Table1"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1" count="0" oneField="1" hidden="1">
      <fieldsUsage count="1">
        <fieldUsage x="4"/>
      </fieldsUsage>
      <extLst>
        <ext xmlns:x15="http://schemas.microsoft.com/office/spreadsheetml/2010/11/main" uri="{B97F6D7D-B522-45F9-BDA1-12C45D357490}">
          <x15:cacheHierarchy aggregatedColumn="0"/>
        </ext>
      </extLst>
    </cacheHierarchy>
    <cacheHierarchy uniqueName="[Measures].[Count of was_subscription_paid]" caption="Count of was_subscription_paid" measure="1" displayFolder="" measureGroup="Table1 was_subscription_paid"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 was_subscription_paid" uniqueName="[Table1 was_subscription_paid]" caption="Table1 was_subscription_paid"/>
  </dimensions>
  <measureGroups count="2">
    <measureGroup name="Table1" caption="Table1"/>
    <measureGroup name="Table1 was_subscription_paid" caption="Table1 was_subscription_pai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uji" refreshedDate="45868.545215393518" backgroundQuery="1" createdVersion="8" refreshedVersion="8" minRefreshableVersion="3" recordCount="0" supportSubquery="1" supportAdvancedDrill="1" xr:uid="{A9149077-A3FC-4C57-8526-62402F20FCA5}">
  <cacheSource type="external" connectionId="1"/>
  <cacheFields count="5">
    <cacheField name="[Table1].[created_date].[created_date]" caption="created_date" numFmtId="0" hierarchy="1" level="1">
      <sharedItems containsSemiMixedTypes="0" containsNonDate="0" containsDate="1" containsString="0" minDate="2022-09-01T00:00:00" maxDate="2023-09-09T00:00:00" count="37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sharedItems>
    </cacheField>
    <cacheField name="[Table1].[created_date (Month)].[created_date (Month)]" caption="created_date (Month)" numFmtId="0" hierarchy="11" level="1">
      <sharedItems count="12">
        <s v="Sep"/>
        <s v="Oct"/>
        <s v="Nov"/>
        <s v="Dec"/>
        <s v="Jan"/>
        <s v="Feb"/>
        <s v="Mar"/>
        <s v="Apr"/>
        <s v="May"/>
        <s v="Jun"/>
        <s v="Jul"/>
        <s v="Aug"/>
      </sharedItems>
    </cacheField>
    <cacheField name="[Table1].[created_date (Quarter)].[created_date (Quarter)]" caption="created_date (Quarter)" numFmtId="0" hierarchy="10" level="1">
      <sharedItems count="4">
        <s v="Qtr3"/>
        <s v="Qtr4"/>
        <s v="Qtr1"/>
        <s v="Qtr2"/>
      </sharedItems>
    </cacheField>
    <cacheField name="[Table1].[created_date (Year)].[created_date (Year)]" caption="created_date (Year)" numFmtId="0" hierarchy="9" level="1">
      <sharedItems count="2">
        <s v="2022"/>
        <s v="2023"/>
      </sharedItems>
    </cacheField>
    <cacheField name="[Measures].[Count of customer_id]" caption="Count of customer_id" numFmtId="0" hierarchy="24" level="32767"/>
  </cacheFields>
  <cacheHierarchies count="26">
    <cacheHierarchy uniqueName="[Table1].[customer_id]" caption="customer_id" attribute="1" defaultMemberUniqueName="[Table1].[customer_id].[All]" allUniqueName="[Table1].[customer_id].[All]" dimensionUniqueName="[Table1]" displayFolder="" count="0" memberValueDatatype="20" unbalanced="0"/>
    <cacheHierarchy uniqueName="[Table1].[created_date]" caption="created_date" attribute="1" time="1" defaultMemberUniqueName="[Table1].[created_date].[All]" allUniqueName="[Table1].[created_date].[All]" dimensionUniqueName="[Table1]" displayFolder="" count="2" memberValueDatatype="7" unbalanced="0">
      <fieldsUsage count="2">
        <fieldUsage x="-1"/>
        <fieldUsage x="0"/>
      </fieldsUsage>
    </cacheHierarchy>
    <cacheHierarchy uniqueName="[Table1].[canceled_date]" caption="canceled_date" attribute="1" time="1" defaultMemberUniqueName="[Table1].[canceled_date].[All]" allUniqueName="[Table1].[canceled_date].[All]" dimensionUniqueName="[Table1]" displayFolder="" count="0" memberValueDatatype="7" unbalanced="0"/>
    <cacheHierarchy uniqueName="[Table1].[was_subscription_paid]" caption="was_subscription_paid" attribute="1" defaultMemberUniqueName="[Table1].[was_subscription_paid].[All]" allUniqueName="[Table1].[was_subscription_paid].[All]" dimensionUniqueName="[Table1]" displayFolder="" count="0" memberValueDatatype="130" unbalanced="0"/>
    <cacheHierarchy uniqueName="[Table1].[subscription_cost]" caption="subscription_cost" attribute="1" defaultMemberUniqueName="[Table1].[subscription_cost].[All]" allUniqueName="[Table1].[subscription_cost].[All]" dimensionUniqueName="[Table1]" displayFolder="" count="0" memberValueDatatype="20" unbalanced="0"/>
    <cacheHierarchy uniqueName="[Table1].[subscription_interval]" caption="subscription_interval" attribute="1" defaultMemberUniqueName="[Table1].[subscription_interval].[All]" allUniqueName="[Table1].[subscription_interval].[All]" dimensionUniqueName="[Table1]" displayFolder="" count="0" memberValueDatatype="130" unbalanced="0"/>
    <cacheHierarchy uniqueName="[Table1].[Cancellation Duration]" caption="Cancellation Duration" attribute="1" defaultMemberUniqueName="[Table1].[Cancellation Duration].[All]" allUniqueName="[Table1].[Cancellation Duration].[All]" dimensionUniqueName="[Table1]" displayFolder="" count="0" memberValueDatatype="130" unbalanced="0"/>
    <cacheHierarchy uniqueName="[Table1].[Subscription Weekday]" caption="Subscription Weekday" attribute="1" defaultMemberUniqueName="[Table1].[Subscription Weekday].[All]" allUniqueName="[Table1].[Subscription Weekday].[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reated_date (Year)]" caption="created_date (Year)" attribute="1" defaultMemberUniqueName="[Table1].[created_date (Year)].[All]" allUniqueName="[Table1].[created_date (Year)].[All]" dimensionUniqueName="[Table1]" displayFolder="" count="2" memberValueDatatype="130" unbalanced="0">
      <fieldsUsage count="2">
        <fieldUsage x="-1"/>
        <fieldUsage x="3"/>
      </fieldsUsage>
    </cacheHierarchy>
    <cacheHierarchy uniqueName="[Table1].[created_date (Quarter)]" caption="created_date (Quarter)" attribute="1" defaultMemberUniqueName="[Table1].[created_date (Quarter)].[All]" allUniqueName="[Table1].[created_date (Quarter)].[All]" dimensionUniqueName="[Table1]" displayFolder="" count="2" memberValueDatatype="130" unbalanced="0">
      <fieldsUsage count="2">
        <fieldUsage x="-1"/>
        <fieldUsage x="2"/>
      </fieldsUsage>
    </cacheHierarchy>
    <cacheHierarchy uniqueName="[Table1].[created_date (Month)]" caption="created_date (Month)" attribute="1" defaultMemberUniqueName="[Table1].[created_date (Month)].[All]" allUniqueName="[Table1].[created_date (Month)].[All]" dimensionUniqueName="[Table1]" displayFolder="" count="2" memberValueDatatype="130" unbalanced="0">
      <fieldsUsage count="2">
        <fieldUsage x="-1"/>
        <fieldUsage x="1"/>
      </fieldsUsage>
    </cacheHierarchy>
    <cacheHierarchy uniqueName="[Table1].[canceled_date (Year)]" caption="canceled_date (Year)" attribute="1" defaultMemberUniqueName="[Table1].[canceled_date (Year)].[All]" allUniqueName="[Table1].[canceled_date (Year)].[All]" dimensionUniqueName="[Table1]" displayFolder="" count="0" memberValueDatatype="130" unbalanced="0"/>
    <cacheHierarchy uniqueName="[Table1].[canceled_date (Quarter)]" caption="canceled_date (Quarter)" attribute="1" defaultMemberUniqueName="[Table1].[canceled_date (Quarter)].[All]" allUniqueName="[Table1].[canceled_date (Quarter)].[All]" dimensionUniqueName="[Table1]" displayFolder="" count="0" memberValueDatatype="130" unbalanced="0"/>
    <cacheHierarchy uniqueName="[Table1].[canceled_date (Month)]" caption="canceled_date (Month)" attribute="1" defaultMemberUniqueName="[Table1].[canceled_date (Month)].[All]" allUniqueName="[Table1].[canceled_date (Month)].[All]" dimensionUniqueName="[Table1]" displayFolder="" count="0" memberValueDatatype="130" unbalanced="0"/>
    <cacheHierarchy uniqueName="[Table1 was_subscription_paid].[was_subscription_paid]" caption="was_subscription_paid" attribute="1" defaultMemberUniqueName="[Table1 was_subscription_paid].[was_subscription_paid].[All]" allUniqueName="[Table1 was_subscription_paid].[was_subscription_paid].[All]" dimensionUniqueName="[Table1 was_subscription_paid]" displayFolder="" count="0" memberValueDatatype="130" unbalanced="0"/>
    <cacheHierarchy uniqueName="[Table1].[canceled_date (Month Index)]" caption="canceled_date (Month Index)" attribute="1" defaultMemberUniqueName="[Table1].[canceled_date (Month Index)].[All]" allUniqueName="[Table1].[canceled_date (Month Index)].[All]" dimensionUniqueName="[Table1]" displayFolder="" count="0" memberValueDatatype="20" unbalanced="0" hidden="1"/>
    <cacheHierarchy uniqueName="[Table1].[created_date (Month Index)]" caption="created_date (Month Index)" attribute="1" defaultMemberUniqueName="[Table1].[created_date (Month Index)].[All]" allUniqueName="[Table1].[created_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 was_subscription_paid]" caption="__XL_Count Table1 was_subscription_paid" measure="1" displayFolder="" measureGroup="Table1 was_subscription_paid" count="0" hidden="1"/>
    <cacheHierarchy uniqueName="[Measures].[__No measures defined]" caption="__No measures defined" measure="1" displayFolder="" count="0" hidden="1"/>
    <cacheHierarchy uniqueName="[Measures].[Count of created_date]" caption="Count of created_date" measure="1" displayFolder="" measureGroup="Table1" count="0" hidden="1">
      <extLst>
        <ext xmlns:x15="http://schemas.microsoft.com/office/spreadsheetml/2010/11/main" uri="{B97F6D7D-B522-45F9-BDA1-12C45D357490}">
          <x15:cacheHierarchy aggregatedColumn="1"/>
        </ext>
      </extLst>
    </cacheHierarchy>
    <cacheHierarchy uniqueName="[Measures].[Count of Cancellation Duration]" caption="Count of Cancellation Duration" measure="1" displayFolder="" measureGroup="Table1"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1" count="0" oneField="1" hidden="1">
      <fieldsUsage count="1">
        <fieldUsage x="4"/>
      </fieldsUsage>
      <extLst>
        <ext xmlns:x15="http://schemas.microsoft.com/office/spreadsheetml/2010/11/main" uri="{B97F6D7D-B522-45F9-BDA1-12C45D357490}">
          <x15:cacheHierarchy aggregatedColumn="0"/>
        </ext>
      </extLst>
    </cacheHierarchy>
    <cacheHierarchy uniqueName="[Measures].[Count of was_subscription_paid]" caption="Count of was_subscription_paid" measure="1" displayFolder="" measureGroup="Table1 was_subscription_paid"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 was_subscription_paid" uniqueName="[Table1 was_subscription_paid]" caption="Table1 was_subscription_paid"/>
  </dimensions>
  <measureGroups count="2">
    <measureGroup name="Table1" caption="Table1"/>
    <measureGroup name="Table1 was_subscription_paid" caption="Table1 was_subscription_pai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uji" refreshedDate="45868.613018171294" createdVersion="8" refreshedVersion="8" minRefreshableVersion="3" recordCount="3069" xr:uid="{D551DEF1-F186-4353-8456-F81634B4501E}">
  <cacheSource type="worksheet">
    <worksheetSource name="Table1"/>
  </cacheSource>
  <cacheFields count="8">
    <cacheField name="customer_id" numFmtId="0">
      <sharedItems containsSemiMixedTypes="0" containsString="0" containsNumber="1" containsInteger="1" minValue="111394466" maxValue="221189604" count="2877">
        <n v="154536156"/>
        <n v="149713408"/>
        <n v="153756284"/>
        <n v="121253113"/>
        <n v="154467210"/>
        <n v="154510811"/>
        <n v="154494346"/>
        <n v="148671505"/>
        <n v="154568379"/>
        <n v="154428434"/>
        <n v="154601651"/>
        <n v="122824692"/>
        <n v="152925600"/>
        <n v="151154171"/>
        <n v="154640950"/>
        <n v="154617329"/>
        <n v="154089211"/>
        <n v="154653820"/>
        <n v="154131290"/>
        <n v="154434009"/>
        <n v="136108848"/>
        <n v="135185873"/>
        <n v="154592664"/>
        <n v="119436804"/>
        <n v="152929657"/>
        <n v="154708974"/>
        <n v="154567722"/>
        <n v="154719788"/>
        <n v="154809306"/>
        <n v="140391539"/>
        <n v="153194806"/>
        <n v="144402204"/>
        <n v="154747678"/>
        <n v="130939158"/>
        <n v="150912359"/>
        <n v="154132592"/>
        <n v="153368891"/>
        <n v="154225450"/>
        <n v="154904040"/>
        <n v="127604200"/>
        <n v="154913576"/>
        <n v="154910432"/>
        <n v="154911229"/>
        <n v="154518837"/>
        <n v="154910009"/>
        <n v="154911693"/>
        <n v="154894177"/>
        <n v="154494026"/>
        <n v="154245189"/>
        <n v="154604182"/>
        <n v="154711552"/>
        <n v="154827564"/>
        <n v="143581543"/>
        <n v="154867798"/>
        <n v="154863996"/>
        <n v="154923423"/>
        <n v="134664128"/>
        <n v="154828806"/>
        <n v="154934030"/>
        <n v="153671424"/>
        <n v="154693818"/>
        <n v="154110938"/>
        <n v="154537244"/>
        <n v="154163218"/>
        <n v="129467426"/>
        <n v="152498330"/>
        <n v="125335731"/>
        <n v="155113805"/>
        <n v="148864769"/>
        <n v="123850281"/>
        <n v="155167073"/>
        <n v="153684891"/>
        <n v="131277340"/>
        <n v="152027172"/>
        <n v="155212612"/>
        <n v="155188498"/>
        <n v="155145336"/>
        <n v="152506474"/>
        <n v="118029150"/>
        <n v="155245796"/>
        <n v="155326259"/>
        <n v="155311918"/>
        <n v="154391473"/>
        <n v="155283495"/>
        <n v="154597373"/>
        <n v="155370310"/>
        <n v="155289120"/>
        <n v="155351408"/>
        <n v="155336773"/>
        <n v="155017581"/>
        <n v="154401329"/>
        <n v="155334828"/>
        <n v="154815431"/>
        <n v="155343938"/>
        <n v="152436458"/>
        <n v="154689541"/>
        <n v="155425695"/>
        <n v="152698255"/>
        <n v="155406449"/>
        <n v="137338480"/>
        <n v="155508519"/>
        <n v="155463846"/>
        <n v="122335220"/>
        <n v="155460904"/>
        <n v="155534484"/>
        <n v="155465332"/>
        <n v="155562517"/>
        <n v="153577096"/>
        <n v="154937101"/>
        <n v="144968444"/>
        <n v="155270889"/>
        <n v="155601465"/>
        <n v="154045370"/>
        <n v="155612742"/>
        <n v="155621162"/>
        <n v="150810434"/>
        <n v="150825802"/>
        <n v="151907203"/>
        <n v="149595273"/>
        <n v="155596960"/>
        <n v="155192606"/>
        <n v="129111644"/>
        <n v="155426674"/>
        <n v="154389303"/>
        <n v="155671632"/>
        <n v="155663101"/>
        <n v="152084572"/>
        <n v="155783230"/>
        <n v="155714315"/>
        <n v="155774393"/>
        <n v="152901090"/>
        <n v="147029752"/>
        <n v="155809043"/>
        <n v="155180991"/>
        <n v="155713732"/>
        <n v="155204060"/>
        <n v="136817161"/>
        <n v="126212861"/>
        <n v="155265877"/>
        <n v="155916753"/>
        <n v="155927984"/>
        <n v="155876104"/>
        <n v="155733164"/>
        <n v="153832728"/>
        <n v="155876188"/>
        <n v="150687940"/>
        <n v="155967446"/>
        <n v="155687378"/>
        <n v="156020667"/>
        <n v="155869412"/>
        <n v="156042204"/>
        <n v="153568990"/>
        <n v="155327111"/>
        <n v="155270521"/>
        <n v="155991618"/>
        <n v="156045144"/>
        <n v="155439932"/>
        <n v="152674430"/>
        <n v="156135106"/>
        <n v="156185490"/>
        <n v="156180312"/>
        <n v="151263484"/>
        <n v="156008989"/>
        <n v="147687218"/>
        <n v="156235650"/>
        <n v="131128612"/>
        <n v="156198840"/>
        <n v="144166296"/>
        <n v="156225482"/>
        <n v="156209360"/>
        <n v="153492199"/>
        <n v="156127439"/>
        <n v="156197748"/>
        <n v="156292980"/>
        <n v="129284681"/>
        <n v="156249750"/>
        <n v="155143974"/>
        <n v="151354965"/>
        <n v="156178486"/>
        <n v="132314522"/>
        <n v="152505897"/>
        <n v="151086770"/>
        <n v="148713821"/>
        <n v="146422602"/>
        <n v="156460574"/>
        <n v="156364063"/>
        <n v="149139298"/>
        <n v="156371514"/>
        <n v="156423167"/>
        <n v="155199164"/>
        <n v="156373191"/>
        <n v="156517374"/>
        <n v="156032089"/>
        <n v="154563706"/>
        <n v="124481723"/>
        <n v="146861757"/>
        <n v="152476124"/>
        <n v="156192628"/>
        <n v="152109538"/>
        <n v="156659071"/>
        <n v="156717075"/>
        <n v="156715443"/>
        <n v="147656952"/>
        <n v="152918862"/>
        <n v="146866890"/>
        <n v="151735444"/>
        <n v="155608371"/>
        <n v="156809544"/>
        <n v="156813288"/>
        <n v="156817946"/>
        <n v="156194905"/>
        <n v="148568942"/>
        <n v="122921842"/>
        <n v="156754286"/>
        <n v="144160302"/>
        <n v="155045053"/>
        <n v="133869989"/>
        <n v="156863940"/>
        <n v="156884323"/>
        <n v="156365410"/>
        <n v="153957162"/>
        <n v="152436949"/>
        <n v="156403612"/>
        <n v="154198756"/>
        <n v="156917754"/>
        <n v="134975906"/>
        <n v="156955735"/>
        <n v="156982750"/>
        <n v="156953312"/>
        <n v="124642102"/>
        <n v="156940530"/>
        <n v="155602780"/>
        <n v="149635726"/>
        <n v="152660102"/>
        <n v="153620734"/>
        <n v="156940254"/>
        <n v="156940060"/>
        <n v="156938938"/>
        <n v="156955272"/>
        <n v="156941638"/>
        <n v="157154624"/>
        <n v="151677119"/>
        <n v="139465940"/>
        <n v="156895692"/>
        <n v="153587226"/>
        <n v="157295262"/>
        <n v="157284386"/>
        <n v="148762867"/>
        <n v="150433978"/>
        <n v="157272487"/>
        <n v="153776370"/>
        <n v="157371444"/>
        <n v="157095464"/>
        <n v="153554190"/>
        <n v="157411994"/>
        <n v="157374056"/>
        <n v="157397941"/>
        <n v="157234944"/>
        <n v="157490039"/>
        <n v="157484010"/>
        <n v="125038257"/>
        <n v="157400730"/>
        <n v="157450645"/>
        <n v="156943008"/>
        <n v="127328047"/>
        <n v="157506842"/>
        <n v="150924853"/>
        <n v="156996568"/>
        <n v="157627904"/>
        <n v="157058101"/>
        <n v="157394598"/>
        <n v="157765918"/>
        <n v="157746458"/>
        <n v="157590918"/>
        <n v="157290992"/>
        <n v="156895701"/>
        <n v="155926313"/>
        <n v="156110000"/>
        <n v="157851493"/>
        <n v="157792408"/>
        <n v="157868778"/>
        <n v="157833252"/>
        <n v="149662340"/>
        <n v="126918448"/>
        <n v="136897370"/>
        <n v="157921307"/>
        <n v="157905868"/>
        <n v="152377785"/>
        <n v="157567612"/>
        <n v="157993772"/>
        <n v="148769034"/>
        <n v="158050283"/>
        <n v="157436507"/>
        <n v="123808301"/>
        <n v="158033452"/>
        <n v="156796659"/>
        <n v="158093021"/>
        <n v="157900412"/>
        <n v="152892719"/>
        <n v="158009130"/>
        <n v="157904656"/>
        <n v="157838980"/>
        <n v="123402996"/>
        <n v="158112356"/>
        <n v="152410420"/>
        <n v="158164441"/>
        <n v="153956466"/>
        <n v="158100990"/>
        <n v="158096894"/>
        <n v="158066376"/>
        <n v="158220808"/>
        <n v="131779624"/>
        <n v="158267390"/>
        <n v="152354478"/>
        <n v="146376235"/>
        <n v="153953296"/>
        <n v="154659594"/>
        <n v="157998778"/>
        <n v="150668840"/>
        <n v="158184958"/>
        <n v="158362440"/>
        <n v="158477370"/>
        <n v="158047538"/>
        <n v="157910445"/>
        <n v="154091460"/>
        <n v="158532103"/>
        <n v="158591698"/>
        <n v="158533909"/>
        <n v="156372496"/>
        <n v="158620475"/>
        <n v="158539824"/>
        <n v="158499042"/>
        <n v="158755464"/>
        <n v="149112756"/>
        <n v="149065622"/>
        <n v="158656065"/>
        <n v="158756090"/>
        <n v="158447710"/>
        <n v="157568391"/>
        <n v="157505106"/>
        <n v="158761363"/>
        <n v="144858980"/>
        <n v="151000288"/>
        <n v="136276852"/>
        <n v="158767852"/>
        <n v="158849640"/>
        <n v="151491892"/>
        <n v="157474087"/>
        <n v="157997679"/>
        <n v="158566772"/>
        <n v="157788656"/>
        <n v="158832658"/>
        <n v="130837976"/>
        <n v="159095030"/>
        <n v="159028041"/>
        <n v="159018168"/>
        <n v="157981870"/>
        <n v="153061698"/>
        <n v="159204523"/>
        <n v="159236268"/>
        <n v="159256553"/>
        <n v="159211568"/>
        <n v="154778395"/>
        <n v="157961180"/>
        <n v="159281338"/>
        <n v="159364232"/>
        <n v="159276280"/>
        <n v="159326830"/>
        <n v="158144924"/>
        <n v="159239867"/>
        <n v="159108970"/>
        <n v="158644133"/>
        <n v="153830193"/>
        <n v="159664292"/>
        <n v="152937944"/>
        <n v="159446393"/>
        <n v="156837717"/>
        <n v="149000400"/>
        <n v="157923615"/>
        <n v="159699736"/>
        <n v="150816815"/>
        <n v="159634168"/>
        <n v="158114418"/>
        <n v="159706104"/>
        <n v="150704581"/>
        <n v="159733207"/>
        <n v="159775056"/>
        <n v="144328609"/>
        <n v="153172687"/>
        <n v="159861170"/>
        <n v="133474642"/>
        <n v="159817608"/>
        <n v="159867686"/>
        <n v="158484064"/>
        <n v="159829834"/>
        <n v="159875790"/>
        <n v="155520280"/>
        <n v="159783942"/>
        <n v="149696432"/>
        <n v="159979372"/>
        <n v="153814649"/>
        <n v="159931469"/>
        <n v="138061210"/>
        <n v="141403460"/>
        <n v="159991922"/>
        <n v="159241648"/>
        <n v="150703411"/>
        <n v="159773641"/>
        <n v="128002797"/>
        <n v="155807489"/>
        <n v="143077712"/>
        <n v="159745646"/>
        <n v="139004918"/>
        <n v="153255183"/>
        <n v="157708746"/>
        <n v="155652993"/>
        <n v="159977918"/>
        <n v="160108159"/>
        <n v="160051910"/>
        <n v="146169043"/>
        <n v="159927090"/>
        <n v="149188028"/>
        <n v="138535334"/>
        <n v="159901871"/>
        <n v="159620660"/>
        <n v="160199525"/>
        <n v="160183686"/>
        <n v="152504354"/>
        <n v="143164854"/>
        <n v="160366020"/>
        <n v="160298168"/>
        <n v="160243008"/>
        <n v="150878120"/>
        <n v="160208723"/>
        <n v="153539322"/>
        <n v="160164472"/>
        <n v="160193644"/>
        <n v="156294098"/>
        <n v="146625866"/>
        <n v="157663870"/>
        <n v="159679042"/>
        <n v="160558904"/>
        <n v="127836197"/>
        <n v="155334332"/>
        <n v="160523170"/>
        <n v="156907890"/>
        <n v="160608516"/>
        <n v="113181220"/>
        <n v="159790393"/>
        <n v="147813476"/>
        <n v="156078158"/>
        <n v="154879898"/>
        <n v="136157937"/>
        <n v="160176868"/>
        <n v="160622888"/>
        <n v="158736659"/>
        <n v="160813660"/>
        <n v="158524240"/>
        <n v="160702738"/>
        <n v="138919619"/>
        <n v="121571816"/>
        <n v="160623955"/>
        <n v="160010850"/>
        <n v="160823268"/>
        <n v="158992873"/>
        <n v="159878556"/>
        <n v="160833652"/>
        <n v="160615413"/>
        <n v="156207052"/>
        <n v="160103792"/>
        <n v="160969302"/>
        <n v="149648746"/>
        <n v="155643390"/>
        <n v="119294384"/>
        <n v="160171541"/>
        <n v="150569213"/>
        <n v="156710028"/>
        <n v="157670310"/>
        <n v="157091067"/>
        <n v="159639128"/>
        <n v="149728468"/>
        <n v="160714172"/>
        <n v="161464205"/>
        <n v="141084753"/>
        <n v="161768948"/>
        <n v="161692109"/>
        <n v="161424706"/>
        <n v="153186137"/>
        <n v="158906669"/>
        <n v="154085972"/>
        <n v="162409676"/>
        <n v="157438261"/>
        <n v="132579012"/>
        <n v="129140042"/>
        <n v="147100996"/>
        <n v="158437198"/>
        <n v="162343403"/>
        <n v="162218672"/>
        <n v="120738319"/>
        <n v="162147786"/>
        <n v="153165084"/>
        <n v="161815335"/>
        <n v="162294529"/>
        <n v="162176080"/>
        <n v="162412232"/>
        <n v="158575772"/>
        <n v="162247173"/>
        <n v="153630282"/>
        <n v="156699431"/>
        <n v="148018000"/>
        <n v="161623906"/>
        <n v="145664226"/>
        <n v="162529715"/>
        <n v="162581284"/>
        <n v="152655443"/>
        <n v="162443327"/>
        <n v="148348600"/>
        <n v="162992590"/>
        <n v="156633222"/>
        <n v="133595094"/>
        <n v="147770763"/>
        <n v="155370139"/>
        <n v="151890876"/>
        <n v="162920304"/>
        <n v="148838269"/>
        <n v="162913792"/>
        <n v="152316740"/>
        <n v="135480868"/>
        <n v="136315690"/>
        <n v="163224262"/>
        <n v="163330072"/>
        <n v="134646164"/>
        <n v="163282336"/>
        <n v="162490128"/>
        <n v="147122277"/>
        <n v="163623375"/>
        <n v="132918654"/>
        <n v="160601062"/>
        <n v="144573808"/>
        <n v="114435366"/>
        <n v="163399934"/>
        <n v="133599090"/>
        <n v="154767246"/>
        <n v="164085988"/>
        <n v="164255751"/>
        <n v="150663530"/>
        <n v="155333508"/>
        <n v="163178244"/>
        <n v="130245484"/>
        <n v="164578320"/>
        <n v="164542692"/>
        <n v="164087136"/>
        <n v="155414052"/>
        <n v="152253972"/>
        <n v="152754329"/>
        <n v="159724071"/>
        <n v="165164673"/>
        <n v="165529460"/>
        <n v="163362190"/>
        <n v="155810350"/>
        <n v="161793136"/>
        <n v="159255776"/>
        <n v="165807144"/>
        <n v="165788743"/>
        <n v="162513776"/>
        <n v="161841028"/>
        <n v="160597612"/>
        <n v="165937140"/>
        <n v="165613975"/>
        <n v="164662173"/>
        <n v="162411394"/>
        <n v="121439836"/>
        <n v="157353623"/>
        <n v="165953219"/>
        <n v="154710805"/>
        <n v="164084318"/>
        <n v="160043327"/>
        <n v="131166579"/>
        <n v="166109726"/>
        <n v="155446081"/>
        <n v="166342075"/>
        <n v="154063985"/>
        <n v="164141888"/>
        <n v="165244044"/>
        <n v="136149379"/>
        <n v="158227426"/>
        <n v="166366125"/>
        <n v="166753946"/>
        <n v="157883110"/>
        <n v="138475621"/>
        <n v="166529240"/>
        <n v="125828506"/>
        <n v="148869381"/>
        <n v="134825962"/>
        <n v="151163143"/>
        <n v="156111982"/>
        <n v="166546201"/>
        <n v="162126074"/>
        <n v="162640429"/>
        <n v="164413682"/>
        <n v="162850052"/>
        <n v="162177746"/>
        <n v="135587508"/>
        <n v="161428649"/>
        <n v="166977144"/>
        <n v="161640666"/>
        <n v="165932696"/>
        <n v="165204032"/>
        <n v="162469903"/>
        <n v="166515564"/>
        <n v="139323228"/>
        <n v="162569750"/>
        <n v="165959602"/>
        <n v="160968524"/>
        <n v="163258260"/>
        <n v="167051046"/>
        <n v="161182367"/>
        <n v="167292985"/>
        <n v="166183014"/>
        <n v="165143920"/>
        <n v="165958089"/>
        <n v="165431576"/>
        <n v="163708513"/>
        <n v="164521419"/>
        <n v="166257164"/>
        <n v="121348156"/>
        <n v="167280894"/>
        <n v="160980795"/>
        <n v="167544686"/>
        <n v="161968719"/>
        <n v="159070152"/>
        <n v="167445788"/>
        <n v="167441263"/>
        <n v="167586100"/>
        <n v="139789436"/>
        <n v="116319450"/>
        <n v="162939264"/>
        <n v="167711417"/>
        <n v="157381517"/>
        <n v="162912102"/>
        <n v="167833210"/>
        <n v="165676999"/>
        <n v="167253106"/>
        <n v="168022972"/>
        <n v="167315920"/>
        <n v="167928962"/>
        <n v="166211741"/>
        <n v="161450418"/>
        <n v="144961802"/>
        <n v="168137404"/>
        <n v="153441732"/>
        <n v="167649041"/>
        <n v="168089746"/>
        <n v="158177274"/>
        <n v="168061628"/>
        <n v="168436401"/>
        <n v="126770376"/>
        <n v="153468957"/>
        <n v="168336474"/>
        <n v="166929423"/>
        <n v="163990458"/>
        <n v="166411463"/>
        <n v="168433088"/>
        <n v="155426075"/>
        <n v="168555694"/>
        <n v="168471192"/>
        <n v="168825734"/>
        <n v="163852568"/>
        <n v="168460834"/>
        <n v="169085351"/>
        <n v="168456070"/>
        <n v="168900021"/>
        <n v="169113748"/>
        <n v="162193491"/>
        <n v="167761722"/>
        <n v="169244937"/>
        <n v="167923504"/>
        <n v="167459469"/>
        <n v="123169152"/>
        <n v="153157541"/>
        <n v="169133180"/>
        <n v="129447970"/>
        <n v="169388365"/>
        <n v="130872019"/>
        <n v="167674086"/>
        <n v="169590994"/>
        <n v="166199181"/>
        <n v="169895510"/>
        <n v="169837410"/>
        <n v="169854397"/>
        <n v="145987169"/>
        <n v="169915574"/>
        <n v="164632485"/>
        <n v="169830063"/>
        <n v="162624984"/>
        <n v="169020452"/>
        <n v="170037760"/>
        <n v="116060198"/>
        <n v="129798657"/>
        <n v="170426615"/>
        <n v="161574018"/>
        <n v="160272364"/>
        <n v="144938943"/>
        <n v="170004555"/>
        <n v="167673987"/>
        <n v="154448870"/>
        <n v="153508650"/>
        <n v="156521981"/>
        <n v="170897520"/>
        <n v="167076396"/>
        <n v="170968987"/>
        <n v="170154956"/>
        <n v="170976924"/>
        <n v="171090027"/>
        <n v="167135160"/>
        <n v="171339244"/>
        <n v="169285280"/>
        <n v="137315832"/>
        <n v="171286538"/>
        <n v="154531106"/>
        <n v="169998988"/>
        <n v="171860036"/>
        <n v="169906376"/>
        <n v="171681744"/>
        <n v="171375108"/>
        <n v="166358674"/>
        <n v="168696864"/>
        <n v="149303812"/>
        <n v="145969392"/>
        <n v="169399624"/>
        <n v="162423643"/>
        <n v="171131528"/>
        <n v="172370430"/>
        <n v="122646091"/>
        <n v="171688728"/>
        <n v="173037778"/>
        <n v="139247241"/>
        <n v="138235674"/>
        <n v="173832314"/>
        <n v="170752898"/>
        <n v="172517999"/>
        <n v="150779000"/>
        <n v="171304646"/>
        <n v="174268714"/>
        <n v="147022677"/>
        <n v="156864062"/>
        <n v="123065349"/>
        <n v="174258180"/>
        <n v="174269667"/>
        <n v="171889946"/>
        <n v="171613468"/>
        <n v="122922737"/>
        <n v="174646924"/>
        <n v="174264280"/>
        <n v="174609120"/>
        <n v="174158995"/>
        <n v="174484311"/>
        <n v="169556175"/>
        <n v="153122282"/>
        <n v="174576654"/>
        <n v="154711077"/>
        <n v="163619032"/>
        <n v="171001864"/>
        <n v="151890014"/>
        <n v="164462665"/>
        <n v="121830768"/>
        <n v="174605216"/>
        <n v="174655316"/>
        <n v="174622570"/>
        <n v="174720005"/>
        <n v="174696512"/>
        <n v="175314293"/>
        <n v="175451863"/>
        <n v="174752844"/>
        <n v="175431141"/>
        <n v="132228678"/>
        <n v="161151062"/>
        <n v="167653319"/>
        <n v="171659515"/>
        <n v="175720159"/>
        <n v="170593141"/>
        <n v="173981170"/>
        <n v="175166391"/>
        <n v="161175048"/>
        <n v="164254865"/>
        <n v="143248615"/>
        <n v="176032070"/>
        <n v="174132333"/>
        <n v="177051147"/>
        <n v="176571319"/>
        <n v="166932902"/>
        <n v="175851244"/>
        <n v="155613371"/>
        <n v="167678290"/>
        <n v="176995917"/>
        <n v="161187523"/>
        <n v="175884318"/>
        <n v="173911972"/>
        <n v="177696301"/>
        <n v="165744582"/>
        <n v="177323966"/>
        <n v="178355844"/>
        <n v="176989743"/>
        <n v="177971827"/>
        <n v="131147038"/>
        <n v="152142457"/>
        <n v="174293226"/>
        <n v="177963240"/>
        <n v="176639972"/>
        <n v="175818000"/>
        <n v="117856836"/>
        <n v="177266058"/>
        <n v="174203866"/>
        <n v="174991614"/>
        <n v="175354348"/>
        <n v="176573512"/>
        <n v="178379352"/>
        <n v="152980676"/>
        <n v="179551652"/>
        <n v="175899028"/>
        <n v="148427368"/>
        <n v="149335749"/>
        <n v="179395204"/>
        <n v="150870576"/>
        <n v="176200716"/>
        <n v="178097351"/>
        <n v="177238262"/>
        <n v="173131478"/>
        <n v="180123121"/>
        <n v="139136640"/>
        <n v="172951272"/>
        <n v="175473611"/>
        <n v="170776130"/>
        <n v="180558466"/>
        <n v="171398636"/>
        <n v="180424776"/>
        <n v="180198528"/>
        <n v="124634385"/>
        <n v="180740092"/>
        <n v="144385898"/>
        <n v="175138132"/>
        <n v="180968287"/>
        <n v="180959934"/>
        <n v="176445635"/>
        <n v="180798046"/>
        <n v="180718702"/>
        <n v="181052392"/>
        <n v="181717508"/>
        <n v="163103592"/>
        <n v="146860806"/>
        <n v="160532210"/>
        <n v="181003342"/>
        <n v="178661698"/>
        <n v="178928897"/>
        <n v="181840814"/>
        <n v="166930287"/>
        <n v="155956314"/>
        <n v="182408564"/>
        <n v="182295766"/>
        <n v="155881023"/>
        <n v="152750569"/>
        <n v="178345451"/>
        <n v="179758181"/>
        <n v="167266048"/>
        <n v="182719870"/>
        <n v="182408430"/>
        <n v="181072524"/>
        <n v="182747824"/>
        <n v="182700534"/>
        <n v="182727349"/>
        <n v="182636324"/>
        <n v="170485769"/>
        <n v="182627508"/>
        <n v="182834016"/>
        <n v="163535855"/>
        <n v="183002853"/>
        <n v="148338824"/>
        <n v="181712692"/>
        <n v="181770777"/>
        <n v="161269602"/>
        <n v="145799416"/>
        <n v="182753953"/>
        <n v="162944728"/>
        <n v="161249852"/>
        <n v="183916833"/>
        <n v="169141612"/>
        <n v="128768010"/>
        <n v="138520918"/>
        <n v="162946328"/>
        <n v="182929556"/>
        <n v="153704184"/>
        <n v="136326172"/>
        <n v="182505210"/>
        <n v="184370857"/>
        <n v="184310344"/>
        <n v="183346055"/>
        <n v="178952278"/>
        <n v="184345202"/>
        <n v="182837162"/>
        <n v="182927038"/>
        <n v="181739784"/>
        <n v="178605410"/>
        <n v="184334484"/>
        <n v="181576265"/>
        <n v="183645116"/>
        <n v="184812094"/>
        <n v="152089648"/>
        <n v="148710968"/>
        <n v="183197132"/>
        <n v="156239744"/>
        <n v="184481262"/>
        <n v="185374268"/>
        <n v="185367349"/>
        <n v="150793080"/>
        <n v="183406772"/>
        <n v="175760281"/>
        <n v="162095012"/>
        <n v="179356036"/>
        <n v="184567432"/>
        <n v="185503171"/>
        <n v="171922477"/>
        <n v="144830936"/>
        <n v="182350116"/>
        <n v="132867770"/>
        <n v="185561880"/>
        <n v="168884196"/>
        <n v="185729058"/>
        <n v="182527446"/>
        <n v="151217806"/>
        <n v="181789030"/>
        <n v="167939138"/>
        <n v="168531226"/>
        <n v="183965840"/>
        <n v="185522938"/>
        <n v="186413122"/>
        <n v="186481916"/>
        <n v="186177212"/>
        <n v="184809175"/>
        <n v="186690790"/>
        <n v="185711685"/>
        <n v="179509273"/>
        <n v="186770408"/>
        <n v="181025165"/>
        <n v="157919304"/>
        <n v="187051266"/>
        <n v="179713052"/>
        <n v="185431487"/>
        <n v="157929345"/>
        <n v="154087095"/>
        <n v="186674235"/>
        <n v="182656156"/>
        <n v="170319875"/>
        <n v="188226033"/>
        <n v="188137320"/>
        <n v="163220556"/>
        <n v="182960960"/>
        <n v="188175982"/>
        <n v="169729060"/>
        <n v="186841270"/>
        <n v="154563993"/>
        <n v="159767828"/>
        <n v="183186612"/>
        <n v="128603349"/>
        <n v="183736457"/>
        <n v="188115641"/>
        <n v="188460699"/>
        <n v="138228332"/>
        <n v="184143564"/>
        <n v="179508142"/>
        <n v="188269607"/>
        <n v="181890100"/>
        <n v="185642830"/>
        <n v="152223051"/>
        <n v="156067850"/>
        <n v="188701816"/>
        <n v="188133192"/>
        <n v="183936068"/>
        <n v="188119778"/>
        <n v="189410056"/>
        <n v="184970659"/>
        <n v="148476648"/>
        <n v="189289885"/>
        <n v="150442182"/>
        <n v="184826230"/>
        <n v="184786342"/>
        <n v="181565760"/>
        <n v="189278478"/>
        <n v="184066428"/>
        <n v="135771077"/>
        <n v="184831280"/>
        <n v="188828652"/>
        <n v="188666673"/>
        <n v="189880452"/>
        <n v="160986271"/>
        <n v="187895888"/>
        <n v="190871376"/>
        <n v="166750222"/>
        <n v="189360536"/>
        <n v="188197564"/>
        <n v="191034251"/>
        <n v="182972593"/>
        <n v="182958960"/>
        <n v="191730833"/>
        <n v="189680563"/>
        <n v="190666110"/>
        <n v="180622613"/>
        <n v="188827172"/>
        <n v="188068965"/>
        <n v="191999674"/>
        <n v="183451114"/>
        <n v="191807491"/>
        <n v="188162430"/>
        <n v="190733249"/>
        <n v="192539054"/>
        <n v="193572822"/>
        <n v="141399368"/>
        <n v="193285633"/>
        <n v="193891378"/>
        <n v="153628260"/>
        <n v="194719566"/>
        <n v="176559401"/>
        <n v="150178354"/>
        <n v="192395073"/>
        <n v="152690237"/>
        <n v="151572886"/>
        <n v="193869975"/>
        <n v="175077871"/>
        <n v="193229869"/>
        <n v="189257579"/>
        <n v="184333409"/>
        <n v="144719454"/>
        <n v="195759475"/>
        <n v="167602454"/>
        <n v="195938394"/>
        <n v="194091086"/>
        <n v="181456580"/>
        <n v="169302100"/>
        <n v="180997025"/>
        <n v="196091620"/>
        <n v="189277140"/>
        <n v="195279352"/>
        <n v="191113428"/>
        <n v="193802414"/>
        <n v="115735280"/>
        <n v="153026024"/>
        <n v="196069557"/>
        <n v="193666586"/>
        <n v="192550222"/>
        <n v="196022560"/>
        <n v="196715854"/>
        <n v="196969212"/>
        <n v="196308725"/>
        <n v="196245690"/>
        <n v="195988242"/>
        <n v="192068317"/>
        <n v="195039185"/>
        <n v="188563149"/>
        <n v="188748439"/>
        <n v="160873880"/>
        <n v="160379194"/>
        <n v="194169961"/>
        <n v="184209232"/>
        <n v="195198228"/>
        <n v="153657568"/>
        <n v="127697219"/>
        <n v="198448283"/>
        <n v="159483118"/>
        <n v="152433647"/>
        <n v="154790198"/>
        <n v="191896242"/>
        <n v="136407072"/>
        <n v="199439964"/>
        <n v="199255574"/>
        <n v="167938302"/>
        <n v="154173057"/>
        <n v="153199550"/>
        <n v="199302158"/>
        <n v="187482966"/>
        <n v="168436547"/>
        <n v="195007481"/>
        <n v="181830574"/>
        <n v="198691553"/>
        <n v="200001674"/>
        <n v="200252155"/>
        <n v="188206991"/>
        <n v="184330352"/>
        <n v="198701510"/>
        <n v="164909402"/>
        <n v="126737063"/>
        <n v="194472898"/>
        <n v="200962065"/>
        <n v="196821289"/>
        <n v="200867442"/>
        <n v="187855576"/>
        <n v="198475060"/>
        <n v="137201021"/>
        <n v="192942271"/>
        <n v="155088727"/>
        <n v="145416349"/>
        <n v="154064672"/>
        <n v="174670793"/>
        <n v="200600365"/>
        <n v="196253752"/>
        <n v="148710722"/>
        <n v="201015936"/>
        <n v="200766423"/>
        <n v="188152753"/>
        <n v="194406214"/>
        <n v="199388324"/>
        <n v="202030516"/>
        <n v="196926212"/>
        <n v="199374328"/>
        <n v="201313318"/>
        <n v="200960179"/>
        <n v="180890046"/>
        <n v="159227956"/>
        <n v="182325407"/>
        <n v="194828965"/>
        <n v="202139613"/>
        <n v="202137510"/>
        <n v="201182176"/>
        <n v="202010803"/>
        <n v="131734107"/>
        <n v="202277130"/>
        <n v="137196428"/>
        <n v="153568282"/>
        <n v="199895190"/>
        <n v="200894076"/>
        <n v="201162862"/>
        <n v="198748705"/>
        <n v="202308735"/>
        <n v="202276540"/>
        <n v="202401357"/>
        <n v="184539258"/>
        <n v="202349754"/>
        <n v="202410436"/>
        <n v="197151544"/>
        <n v="202305934"/>
        <n v="202304812"/>
        <n v="160030890"/>
        <n v="202524608"/>
        <n v="198447368"/>
        <n v="202458624"/>
        <n v="132256211"/>
        <n v="202504135"/>
        <n v="192182455"/>
        <n v="202505276"/>
        <n v="152050632"/>
        <n v="201313284"/>
        <n v="202118292"/>
        <n v="202298964"/>
        <n v="202496216"/>
        <n v="200490112"/>
        <n v="131310280"/>
        <n v="154161250"/>
        <n v="150521180"/>
        <n v="195280988"/>
        <n v="201231494"/>
        <n v="199554496"/>
        <n v="125747106"/>
        <n v="195345030"/>
        <n v="202269874"/>
        <n v="191036527"/>
        <n v="202633556"/>
        <n v="202750328"/>
        <n v="192781688"/>
        <n v="196859472"/>
        <n v="200333728"/>
        <n v="129896329"/>
        <n v="168202891"/>
        <n v="202924219"/>
        <n v="202863670"/>
        <n v="202398629"/>
        <n v="188448878"/>
        <n v="203254948"/>
        <n v="203120229"/>
        <n v="203225874"/>
        <n v="203107308"/>
        <n v="156558244"/>
        <n v="194306726"/>
        <n v="202410948"/>
        <n v="203166018"/>
        <n v="203116697"/>
        <n v="202982608"/>
        <n v="198167700"/>
        <n v="190567582"/>
        <n v="202699972"/>
        <n v="203242766"/>
        <n v="203398103"/>
        <n v="203243685"/>
        <n v="203370322"/>
        <n v="138689458"/>
        <n v="203315186"/>
        <n v="203292575"/>
        <n v="168980588"/>
        <n v="136832520"/>
        <n v="202103959"/>
        <n v="148764147"/>
        <n v="182748610"/>
        <n v="197883626"/>
        <n v="195893842"/>
        <n v="169081778"/>
        <n v="150422738"/>
        <n v="190839721"/>
        <n v="152193617"/>
        <n v="186843516"/>
        <n v="138913080"/>
        <n v="134879280"/>
        <n v="160878134"/>
        <n v="144423338"/>
        <n v="136218542"/>
        <n v="204121686"/>
        <n v="204114138"/>
        <n v="152197442"/>
        <n v="151695881"/>
        <n v="204378294"/>
        <n v="204376665"/>
        <n v="204270637"/>
        <n v="204380751"/>
        <n v="204402989"/>
        <n v="203403136"/>
        <n v="198453918"/>
        <n v="133514912"/>
        <n v="203414698"/>
        <n v="190400854"/>
        <n v="204114797"/>
        <n v="202377942"/>
        <n v="204555612"/>
        <n v="204556376"/>
        <n v="204515997"/>
        <n v="153342734"/>
        <n v="204650391"/>
        <n v="150906486"/>
        <n v="153961940"/>
        <n v="154175766"/>
        <n v="204631298"/>
        <n v="195534585"/>
        <n v="176421166"/>
        <n v="204679416"/>
        <n v="204448721"/>
        <n v="151908347"/>
        <n v="150652956"/>
        <n v="183321644"/>
        <n v="204740476"/>
        <n v="204439086"/>
        <n v="204685109"/>
        <n v="175211528"/>
        <n v="204646698"/>
        <n v="204728203"/>
        <n v="166674547"/>
        <n v="202459470"/>
        <n v="155508761"/>
        <n v="168484421"/>
        <n v="130864124"/>
        <n v="204752959"/>
        <n v="204761235"/>
        <n v="159142615"/>
        <n v="204753316"/>
        <n v="195188483"/>
        <n v="204773056"/>
        <n v="204814698"/>
        <n v="204732463"/>
        <n v="204772360"/>
        <n v="204812582"/>
        <n v="204662556"/>
        <n v="163781430"/>
        <n v="143963064"/>
        <n v="204797166"/>
        <n v="204774421"/>
        <n v="204801675"/>
        <n v="204518099"/>
        <n v="204814320"/>
        <n v="126851221"/>
        <n v="204845935"/>
        <n v="122215146"/>
        <n v="147300748"/>
        <n v="162596645"/>
        <n v="177666771"/>
        <n v="204884248"/>
        <n v="204826054"/>
        <n v="145096572"/>
        <n v="158472404"/>
        <n v="204907118"/>
        <n v="204602410"/>
        <n v="204853460"/>
        <n v="194310997"/>
        <n v="204902258"/>
        <n v="162865034"/>
        <n v="204467695"/>
        <n v="204774193"/>
        <n v="189046085"/>
        <n v="188082436"/>
        <n v="204947361"/>
        <n v="158852962"/>
        <n v="204742960"/>
        <n v="204726042"/>
        <n v="204997225"/>
        <n v="126103612"/>
        <n v="204934860"/>
        <n v="197086298"/>
        <n v="204732760"/>
        <n v="204985175"/>
        <n v="189387698"/>
        <n v="195774465"/>
        <n v="204890622"/>
        <n v="204206841"/>
        <n v="204955216"/>
        <n v="204992891"/>
        <n v="139152786"/>
        <n v="204753108"/>
        <n v="136703646"/>
        <n v="204294672"/>
        <n v="189505981"/>
        <n v="115899168"/>
        <n v="200117920"/>
        <n v="205057455"/>
        <n v="205028691"/>
        <n v="204857146"/>
        <n v="134131772"/>
        <n v="148942254"/>
        <n v="204512235"/>
        <n v="204977028"/>
        <n v="205122220"/>
        <n v="179578904"/>
        <n v="205120086"/>
        <n v="158097854"/>
        <n v="204760569"/>
        <n v="204982432"/>
        <n v="158351648"/>
        <n v="195325206"/>
        <n v="205102955"/>
        <n v="188092110"/>
        <n v="147615998"/>
        <n v="164751472"/>
        <n v="205215538"/>
        <n v="162962849"/>
        <n v="154229833"/>
        <n v="205338718"/>
        <n v="135298992"/>
        <n v="153141802"/>
        <n v="189149014"/>
        <n v="180438277"/>
        <n v="205471532"/>
        <n v="188065488"/>
        <n v="205387672"/>
        <n v="196251908"/>
        <n v="157884031"/>
        <n v="204571386"/>
        <n v="162909529"/>
        <n v="152043244"/>
        <n v="204567111"/>
        <n v="205487880"/>
        <n v="205489808"/>
        <n v="154701159"/>
        <n v="204865394"/>
        <n v="205044276"/>
        <n v="194873337"/>
        <n v="205492734"/>
        <n v="205548739"/>
        <n v="202228372"/>
        <n v="205034931"/>
        <n v="205129178"/>
        <n v="160114911"/>
        <n v="168200039"/>
        <n v="190622411"/>
        <n v="204528713"/>
        <n v="205573796"/>
        <n v="182009986"/>
        <n v="205606022"/>
        <n v="205580089"/>
        <n v="192949504"/>
        <n v="205658636"/>
        <n v="205615727"/>
        <n v="205448424"/>
        <n v="196009696"/>
        <n v="205026372"/>
        <n v="167165752"/>
        <n v="205664425"/>
        <n v="199179611"/>
        <n v="205660933"/>
        <n v="205660195"/>
        <n v="168598418"/>
        <n v="190657026"/>
        <n v="205700946"/>
        <n v="125635419"/>
        <n v="205707486"/>
        <n v="150663700"/>
        <n v="149157588"/>
        <n v="205686881"/>
        <n v="138347540"/>
        <n v="154344817"/>
        <n v="205530810"/>
        <n v="205731473"/>
        <n v="205692510"/>
        <n v="191670525"/>
        <n v="205492489"/>
        <n v="205026942"/>
        <n v="205768824"/>
        <n v="160824884"/>
        <n v="205742224"/>
        <n v="205804144"/>
        <n v="205703512"/>
        <n v="131181843"/>
        <n v="205713052"/>
        <n v="138121122"/>
        <n v="191326286"/>
        <n v="178838732"/>
        <n v="205871342"/>
        <n v="202160641"/>
        <n v="205786362"/>
        <n v="159798906"/>
        <n v="166276152"/>
        <n v="156353738"/>
        <n v="205864612"/>
        <n v="142757196"/>
        <n v="205971108"/>
        <n v="206001231"/>
        <n v="205878686"/>
        <n v="206052140"/>
        <n v="154082747"/>
        <n v="206017161"/>
        <n v="203152686"/>
        <n v="203320717"/>
        <n v="206076518"/>
        <n v="205881578"/>
        <n v="152513944"/>
        <n v="132371176"/>
        <n v="135092264"/>
        <n v="151297084"/>
        <n v="167010855"/>
        <n v="206122788"/>
        <n v="158439764"/>
        <n v="136723151"/>
        <n v="205875358"/>
        <n v="206082900"/>
        <n v="206139451"/>
        <n v="206196328"/>
        <n v="201122030"/>
        <n v="156218152"/>
        <n v="162718092"/>
        <n v="174606946"/>
        <n v="206159331"/>
        <n v="206272716"/>
        <n v="138104184"/>
        <n v="168264884"/>
        <n v="153200640"/>
        <n v="206251362"/>
        <n v="192386902"/>
        <n v="205851263"/>
        <n v="197873706"/>
        <n v="206284048"/>
        <n v="149761545"/>
        <n v="155010717"/>
        <n v="151407531"/>
        <n v="206407796"/>
        <n v="206247835"/>
        <n v="206382927"/>
        <n v="206147500"/>
        <n v="206330714"/>
        <n v="206121650"/>
        <n v="182504578"/>
        <n v="204362311"/>
        <n v="206504573"/>
        <n v="206490851"/>
        <n v="206468868"/>
        <n v="206316124"/>
        <n v="203404034"/>
        <n v="206284545"/>
        <n v="206470657"/>
        <n v="206458744"/>
        <n v="206122814"/>
        <n v="206549666"/>
        <n v="133623621"/>
        <n v="130982816"/>
        <n v="143776119"/>
        <n v="206542743"/>
        <n v="206158603"/>
        <n v="206548046"/>
        <n v="168464004"/>
        <n v="146330379"/>
        <n v="206006946"/>
        <n v="206531388"/>
        <n v="206512820"/>
        <n v="206501414"/>
        <n v="181175226"/>
        <n v="148758550"/>
        <n v="206682036"/>
        <n v="206149654"/>
        <n v="206653056"/>
        <n v="198466025"/>
        <n v="206685935"/>
        <n v="206659390"/>
        <n v="206550926"/>
        <n v="206673590"/>
        <n v="205593462"/>
        <n v="205889926"/>
        <n v="151713121"/>
        <n v="206759898"/>
        <n v="206750792"/>
        <n v="206742592"/>
        <n v="206700008"/>
        <n v="156170916"/>
        <n v="206607664"/>
        <n v="183332399"/>
        <n v="176705210"/>
        <n v="154901722"/>
        <n v="153438676"/>
        <n v="123768696"/>
        <n v="142976081"/>
        <n v="206865174"/>
        <n v="143327052"/>
        <n v="202270426"/>
        <n v="185602413"/>
        <n v="206679618"/>
        <n v="127561439"/>
        <n v="206693452"/>
        <n v="193499084"/>
        <n v="206995576"/>
        <n v="154783053"/>
        <n v="158349405"/>
        <n v="205554002"/>
        <n v="207045565"/>
        <n v="205483607"/>
        <n v="147662374"/>
        <n v="206527656"/>
        <n v="207041353"/>
        <n v="204448911"/>
        <n v="206951785"/>
        <n v="206892555"/>
        <n v="207051401"/>
        <n v="206904848"/>
        <n v="204598188"/>
        <n v="206447228"/>
        <n v="206190599"/>
        <n v="207014740"/>
        <n v="156762690"/>
        <n v="207116463"/>
        <n v="206555111"/>
        <n v="169543155"/>
        <n v="207005361"/>
        <n v="206105763"/>
        <n v="198968224"/>
        <n v="205342230"/>
        <n v="207224044"/>
        <n v="174232231"/>
        <n v="207017124"/>
        <n v="194006146"/>
        <n v="150509580"/>
        <n v="207120479"/>
        <n v="162069198"/>
        <n v="206742272"/>
        <n v="207433836"/>
        <n v="207382183"/>
        <n v="205051942"/>
        <n v="132631414"/>
        <n v="207529664"/>
        <n v="207022940"/>
        <n v="207388337"/>
        <n v="205883858"/>
        <n v="173711359"/>
        <n v="207078726"/>
        <n v="207415911"/>
        <n v="207391012"/>
        <n v="207699946"/>
        <n v="207665488"/>
        <n v="207742153"/>
        <n v="207288677"/>
        <n v="208151007"/>
        <n v="207218336"/>
        <n v="208105889"/>
        <n v="152221925"/>
        <n v="207090754"/>
        <n v="128283235"/>
        <n v="206686106"/>
        <n v="208090380"/>
        <n v="153281230"/>
        <n v="205049710"/>
        <n v="208618235"/>
        <n v="167713351"/>
        <n v="149975492"/>
        <n v="208286745"/>
        <n v="208473540"/>
        <n v="137721176"/>
        <n v="140062581"/>
        <n v="208488674"/>
        <n v="162752410"/>
        <n v="208598415"/>
        <n v="143427096"/>
        <n v="208480650"/>
        <n v="147000442"/>
        <n v="207062508"/>
        <n v="206862916"/>
        <n v="208706866"/>
        <n v="134719816"/>
        <n v="138548670"/>
        <n v="208745476"/>
        <n v="182584521"/>
        <n v="206463427"/>
        <n v="158947936"/>
        <n v="182737296"/>
        <n v="156550538"/>
        <n v="208897557"/>
        <n v="146450388"/>
        <n v="208610366"/>
        <n v="208913022"/>
        <n v="205813846"/>
        <n v="208762353"/>
        <n v="153099249"/>
        <n v="208734252"/>
        <n v="208320510"/>
        <n v="207229509"/>
        <n v="208492287"/>
        <n v="195047202"/>
        <n v="208890352"/>
        <n v="151282537"/>
        <n v="206625246"/>
        <n v="208748964"/>
        <n v="151904783"/>
        <n v="160351988"/>
        <n v="145622106"/>
        <n v="192475408"/>
        <n v="208597905"/>
        <n v="209469556"/>
        <n v="207183892"/>
        <n v="125980506"/>
        <n v="162635107"/>
        <n v="154655775"/>
        <n v="206812076"/>
        <n v="208490747"/>
        <n v="131761056"/>
        <n v="208115534"/>
        <n v="202126471"/>
        <n v="209738836"/>
        <n v="209470128"/>
        <n v="209745334"/>
        <n v="209751690"/>
        <n v="209730490"/>
        <n v="208115648"/>
        <n v="210087900"/>
        <n v="208890316"/>
        <n v="143706140"/>
        <n v="209950443"/>
        <n v="208892072"/>
        <n v="205767174"/>
        <n v="206676416"/>
        <n v="160676837"/>
        <n v="204274153"/>
        <n v="210327236"/>
        <n v="210326352"/>
        <n v="124155104"/>
        <n v="209517408"/>
        <n v="210432450"/>
        <n v="210138564"/>
        <n v="210617010"/>
        <n v="134894187"/>
        <n v="150643785"/>
        <n v="149986782"/>
        <n v="205463099"/>
        <n v="210565466"/>
        <n v="209072132"/>
        <n v="210388772"/>
        <n v="210694562"/>
        <n v="134833306"/>
        <n v="211220014"/>
        <n v="211216060"/>
        <n v="211114276"/>
        <n v="211224883"/>
        <n v="211212313"/>
        <n v="210135815"/>
        <n v="211381659"/>
        <n v="183363812"/>
        <n v="211289909"/>
        <n v="211266858"/>
        <n v="153163612"/>
        <n v="209505551"/>
        <n v="211389716"/>
        <n v="211636708"/>
        <n v="176884824"/>
        <n v="211352758"/>
        <n v="210814163"/>
        <n v="210893245"/>
        <n v="130967112"/>
        <n v="199116000"/>
        <n v="161182706"/>
        <n v="211576047"/>
        <n v="211897884"/>
        <n v="211661733"/>
        <n v="211561665"/>
        <n v="211911280"/>
        <n v="123946316"/>
        <n v="144469362"/>
        <n v="187268085"/>
        <n v="210088359"/>
        <n v="211906202"/>
        <n v="126391978"/>
        <n v="154753462"/>
        <n v="212049757"/>
        <n v="147015210"/>
        <n v="212057431"/>
        <n v="205734465"/>
        <n v="208772540"/>
        <n v="182357706"/>
        <n v="211333348"/>
        <n v="211334702"/>
        <n v="212129575"/>
        <n v="209733088"/>
        <n v="152792045"/>
        <n v="212163568"/>
        <n v="212260363"/>
        <n v="212164158"/>
        <n v="155604779"/>
        <n v="150421022"/>
        <n v="122616012"/>
        <n v="209356278"/>
        <n v="212604642"/>
        <n v="210730447"/>
        <n v="212388726"/>
        <n v="127793951"/>
        <n v="189715793"/>
        <n v="148369126"/>
        <n v="157503290"/>
        <n v="212712986"/>
        <n v="204512028"/>
        <n v="147066240"/>
        <n v="212759443"/>
        <n v="212042832"/>
        <n v="212113682"/>
        <n v="201817514"/>
        <n v="168698174"/>
        <n v="170512298"/>
        <n v="213181546"/>
        <n v="154535908"/>
        <n v="151540809"/>
        <n v="212334937"/>
        <n v="204766175"/>
        <n v="212055738"/>
        <n v="211907956"/>
        <n v="213182327"/>
        <n v="213442067"/>
        <n v="213427247"/>
        <n v="172476368"/>
        <n v="148900262"/>
        <n v="213450505"/>
        <n v="168261038"/>
        <n v="207018786"/>
        <n v="213781045"/>
        <n v="213785402"/>
        <n v="213689187"/>
        <n v="213413298"/>
        <n v="184458429"/>
        <n v="212190070"/>
        <n v="212737739"/>
        <n v="211904660"/>
        <n v="112792926"/>
        <n v="213914942"/>
        <n v="189220435"/>
        <n v="203237584"/>
        <n v="213179140"/>
        <n v="211629536"/>
        <n v="204953211"/>
        <n v="111394466"/>
        <n v="214107134"/>
        <n v="214105034"/>
        <n v="214124745"/>
        <n v="214107426"/>
        <n v="213980322"/>
        <n v="213434919"/>
        <n v="214129448"/>
        <n v="213944536"/>
        <n v="214052531"/>
        <n v="214196608"/>
        <n v="125299295"/>
        <n v="214199386"/>
        <n v="214191851"/>
        <n v="214174478"/>
        <n v="214264465"/>
        <n v="214261616"/>
        <n v="214178644"/>
        <n v="214202809"/>
        <n v="214220188"/>
        <n v="212113435"/>
        <n v="213431638"/>
        <n v="214102994"/>
        <n v="214312843"/>
        <n v="156245288"/>
        <n v="148869972"/>
        <n v="156186115"/>
        <n v="207235755"/>
        <n v="169235213"/>
        <n v="213692152"/>
        <n v="214352003"/>
        <n v="139691790"/>
        <n v="210646453"/>
        <n v="206891005"/>
        <n v="212293354"/>
        <n v="214464069"/>
        <n v="214446543"/>
        <n v="212376935"/>
        <n v="173118928"/>
        <n v="214410106"/>
        <n v="214093520"/>
        <n v="214441521"/>
        <n v="214519787"/>
        <n v="213177724"/>
        <n v="213421956"/>
        <n v="151094649"/>
        <n v="160056180"/>
        <n v="166480898"/>
        <n v="182085396"/>
        <n v="214519010"/>
        <n v="148657735"/>
        <n v="214555461"/>
        <n v="148042512"/>
        <n v="214534717"/>
        <n v="211223610"/>
        <n v="214444866"/>
        <n v="206477826"/>
        <n v="214589440"/>
        <n v="214516527"/>
        <n v="158980862"/>
        <n v="144769275"/>
        <n v="214508205"/>
        <n v="214584458"/>
        <n v="181935574"/>
        <n v="153006404"/>
        <n v="214423891"/>
        <n v="214510838"/>
        <n v="211383216"/>
        <n v="214641741"/>
        <n v="214643362"/>
        <n v="214419772"/>
        <n v="213227787"/>
        <n v="214666572"/>
        <n v="126780716"/>
        <n v="214682826"/>
        <n v="212392663"/>
        <n v="147118133"/>
        <n v="157031617"/>
        <n v="211958379"/>
        <n v="152310842"/>
        <n v="214711907"/>
        <n v="150342446"/>
        <n v="214741130"/>
        <n v="214734037"/>
        <n v="214500293"/>
        <n v="214587827"/>
        <n v="214739055"/>
        <n v="163103693"/>
        <n v="214483378"/>
        <n v="132424181"/>
        <n v="214805206"/>
        <n v="214641940"/>
        <n v="206112289"/>
        <n v="214781323"/>
        <n v="214767936"/>
        <n v="182023209"/>
        <n v="148513036"/>
        <n v="213810773"/>
        <n v="154820233"/>
        <n v="214248197"/>
        <n v="214818730"/>
        <n v="186667733"/>
        <n v="214901781"/>
        <n v="214884589"/>
        <n v="210344586"/>
        <n v="214813191"/>
        <n v="214880602"/>
        <n v="186140999"/>
        <n v="214860336"/>
        <n v="138725699"/>
        <n v="132315255"/>
        <n v="208202304"/>
        <n v="214869362"/>
        <n v="207118054"/>
        <n v="214856586"/>
        <n v="201945254"/>
        <n v="134531651"/>
        <n v="125591366"/>
        <n v="214839844"/>
        <n v="214939612"/>
        <n v="204670100"/>
        <n v="214830539"/>
        <n v="185952990"/>
        <n v="214936311"/>
        <n v="214620392"/>
        <n v="157935884"/>
        <n v="214945706"/>
        <n v="214999374"/>
        <n v="214986467"/>
        <n v="214984741"/>
        <n v="214993166"/>
        <n v="214906741"/>
        <n v="128977818"/>
        <n v="209743418"/>
        <n v="130868671"/>
        <n v="146963394"/>
        <n v="214960770"/>
        <n v="207344872"/>
        <n v="202925989"/>
        <n v="214991976"/>
        <n v="211917633"/>
        <n v="214623264"/>
        <n v="205339362"/>
        <n v="214956352"/>
        <n v="196061402"/>
        <n v="215019022"/>
        <n v="185517087"/>
        <n v="151513254"/>
        <n v="214952558"/>
        <n v="139339380"/>
        <n v="208188866"/>
        <n v="188748372"/>
        <n v="215034356"/>
        <n v="145013444"/>
        <n v="164548755"/>
        <n v="193315330"/>
        <n v="147592201"/>
        <n v="214396083"/>
        <n v="214698924"/>
        <n v="153402484"/>
        <n v="214809412"/>
        <n v="215062365"/>
        <n v="144898968"/>
        <n v="214973231"/>
        <n v="214971897"/>
        <n v="134919488"/>
        <n v="214912916"/>
        <n v="215138344"/>
        <n v="215132378"/>
        <n v="206145911"/>
        <n v="215146368"/>
        <n v="133199506"/>
        <n v="202763494"/>
        <n v="215113205"/>
        <n v="147097108"/>
        <n v="186692270"/>
        <n v="215169444"/>
        <n v="114992353"/>
        <n v="212339137"/>
        <n v="175564124"/>
        <n v="174646950"/>
        <n v="215075697"/>
        <n v="215149530"/>
        <n v="215226464"/>
        <n v="215221354"/>
        <n v="215031638"/>
        <n v="182019861"/>
        <n v="210072231"/>
        <n v="127328847"/>
        <n v="155566052"/>
        <n v="152236400"/>
        <n v="215030324"/>
        <n v="206087650"/>
        <n v="136252657"/>
        <n v="134753801"/>
        <n v="155245092"/>
        <n v="214905500"/>
        <n v="215152504"/>
        <n v="215336639"/>
        <n v="215220026"/>
        <n v="202395800"/>
        <n v="215289431"/>
        <n v="182102820"/>
        <n v="215322558"/>
        <n v="215347417"/>
        <n v="215203944"/>
        <n v="215350747"/>
        <n v="215254830"/>
        <n v="192908537"/>
        <n v="123007965"/>
        <n v="151711223"/>
        <n v="130751382"/>
        <n v="126037254"/>
        <n v="133469770"/>
        <n v="133565657"/>
        <n v="215307979"/>
        <n v="174289942"/>
        <n v="215366550"/>
        <n v="210361390"/>
        <n v="214122861"/>
        <n v="214793162"/>
        <n v="215420480"/>
        <n v="215415792"/>
        <n v="152705871"/>
        <n v="168265029"/>
        <n v="215428908"/>
        <n v="215189952"/>
        <n v="208168256"/>
        <n v="163193072"/>
        <n v="153449481"/>
        <n v="215384745"/>
        <n v="160904253"/>
        <n v="215476119"/>
        <n v="214624328"/>
        <n v="215463105"/>
        <n v="187368519"/>
        <n v="206139986"/>
        <n v="215473481"/>
        <n v="214967111"/>
        <n v="215472324"/>
        <n v="146557284"/>
        <n v="215486098"/>
        <n v="127100688"/>
        <n v="134524378"/>
        <n v="134652589"/>
        <n v="214134251"/>
        <n v="215565049"/>
        <n v="215606026"/>
        <n v="215678881"/>
        <n v="212356610"/>
        <n v="215336118"/>
        <n v="215664306"/>
        <n v="215643802"/>
        <n v="206177720"/>
        <n v="215691994"/>
        <n v="215653406"/>
        <n v="215534470"/>
        <n v="150751482"/>
        <n v="208601341"/>
        <n v="215473479"/>
        <n v="215646044"/>
        <n v="215686983"/>
        <n v="215704655"/>
        <n v="131984682"/>
        <n v="183886863"/>
        <n v="215869320"/>
        <n v="215616284"/>
        <n v="215896078"/>
        <n v="215910170"/>
        <n v="211754109"/>
        <n v="205682690"/>
        <n v="151412112"/>
        <n v="154467458"/>
        <n v="215894271"/>
        <n v="215908442"/>
        <n v="136032360"/>
        <n v="215956542"/>
        <n v="215947247"/>
        <n v="122830574"/>
        <n v="206904025"/>
        <n v="153396366"/>
        <n v="200304509"/>
        <n v="215867874"/>
        <n v="215869887"/>
        <n v="215759517"/>
        <n v="152004313"/>
        <n v="215931788"/>
        <n v="215792692"/>
        <n v="205507364"/>
        <n v="130016916"/>
        <n v="118197872"/>
        <n v="215906516"/>
        <n v="116197941"/>
        <n v="215973039"/>
        <n v="147761700"/>
        <n v="215943650"/>
        <n v="157259062"/>
        <n v="216001506"/>
        <n v="199306900"/>
        <n v="211904765"/>
        <n v="215832805"/>
        <n v="216062001"/>
        <n v="216083936"/>
        <n v="215568210"/>
        <n v="181480437"/>
        <n v="147197398"/>
        <n v="212051648"/>
        <n v="216141502"/>
        <n v="216136975"/>
        <n v="213240907"/>
        <n v="204739496"/>
        <n v="203366396"/>
        <n v="216136446"/>
        <n v="216139586"/>
        <n v="216126416"/>
        <n v="216181144"/>
        <n v="216100714"/>
        <n v="216155144"/>
        <n v="190978347"/>
        <n v="215653713"/>
        <n v="215185569"/>
        <n v="215488799"/>
        <n v="216170130"/>
        <n v="215723337"/>
        <n v="215102456"/>
        <n v="216017581"/>
        <n v="213190132"/>
        <n v="216218992"/>
        <n v="216210442"/>
        <n v="216221115"/>
        <n v="215911675"/>
        <n v="215908254"/>
        <n v="214610994"/>
        <n v="143272167"/>
        <n v="216340651"/>
        <n v="153573832"/>
        <n v="138312982"/>
        <n v="216365777"/>
        <n v="216272792"/>
        <n v="167174814"/>
        <n v="216329176"/>
        <n v="147320092"/>
        <n v="157974600"/>
        <n v="200955808"/>
        <n v="216332850"/>
        <n v="149986818"/>
        <n v="155529346"/>
        <n v="153085868"/>
        <n v="156702204"/>
        <n v="158177676"/>
        <n v="216423972"/>
        <n v="216533259"/>
        <n v="216674420"/>
        <n v="148225450"/>
        <n v="216720172"/>
        <n v="204750804"/>
        <n v="147798395"/>
        <n v="216560949"/>
        <n v="216743053"/>
        <n v="149040748"/>
        <n v="206939746"/>
        <n v="216845223"/>
        <n v="124876382"/>
        <n v="168485609"/>
        <n v="216888206"/>
        <n v="216957502"/>
        <n v="215840282"/>
        <n v="216311456"/>
        <n v="216925191"/>
        <n v="216924741"/>
        <n v="194347007"/>
        <n v="217067696"/>
        <n v="217012406"/>
        <n v="216345770"/>
        <n v="215654770"/>
        <n v="217044528"/>
        <n v="217031352"/>
        <n v="153374748"/>
        <n v="217065874"/>
        <n v="216622895"/>
        <n v="216907852"/>
        <n v="217054126"/>
        <n v="216925136"/>
        <n v="217094352"/>
        <n v="206891818"/>
        <n v="217084888"/>
        <n v="216624401"/>
        <n v="216795282"/>
        <n v="217123644"/>
        <n v="217104490"/>
        <n v="153349708"/>
        <n v="153876204"/>
        <n v="132442956"/>
        <n v="130331160"/>
        <n v="216225148"/>
        <n v="161187748"/>
        <n v="217137211"/>
        <n v="180796559"/>
        <n v="217110396"/>
        <n v="217159016"/>
        <n v="217215106"/>
        <n v="129819604"/>
        <n v="217208086"/>
        <n v="217277033"/>
        <n v="136199071"/>
        <n v="217102618"/>
        <n v="217252136"/>
        <n v="215856743"/>
        <n v="217260184"/>
        <n v="140371292"/>
        <n v="164903790"/>
        <n v="217206158"/>
        <n v="215180470"/>
        <n v="217246611"/>
        <n v="217080066"/>
        <n v="217241338"/>
        <n v="215447681"/>
        <n v="214746385"/>
        <n v="217279595"/>
        <n v="199464176"/>
        <n v="217269788"/>
        <n v="217210206"/>
        <n v="217276264"/>
        <n v="217242854"/>
        <n v="217340338"/>
        <n v="157435806"/>
        <n v="217358299"/>
        <n v="217330046"/>
        <n v="216945894"/>
        <n v="153942818"/>
        <n v="150728848"/>
        <n v="217207926"/>
        <n v="217370233"/>
        <n v="205464540"/>
        <n v="167403892"/>
        <n v="217326821"/>
        <n v="214918906"/>
        <n v="216983668"/>
        <n v="217454204"/>
        <n v="206049284"/>
        <n v="132852439"/>
        <n v="217233198"/>
        <n v="146952862"/>
        <n v="152846561"/>
        <n v="206370330"/>
        <n v="217438230"/>
        <n v="217426939"/>
        <n v="205785520"/>
        <n v="154284527"/>
        <n v="214105912"/>
        <n v="200909190"/>
        <n v="151633468"/>
        <n v="207010976"/>
        <n v="217487776"/>
        <n v="217484551"/>
        <n v="217498202"/>
        <n v="217234603"/>
        <n v="217264148"/>
        <n v="217513366"/>
        <n v="217503737"/>
        <n v="217526421"/>
        <n v="217418580"/>
        <n v="217426015"/>
        <n v="217557584"/>
        <n v="217406489"/>
        <n v="217536534"/>
        <n v="217557082"/>
        <n v="176024207"/>
        <n v="160598122"/>
        <n v="217378430"/>
        <n v="193680187"/>
        <n v="180424442"/>
        <n v="217612796"/>
        <n v="217601263"/>
        <n v="217594148"/>
        <n v="217598396"/>
        <n v="206647130"/>
        <n v="207099222"/>
        <n v="207079318"/>
        <n v="217580362"/>
        <n v="217438678"/>
        <n v="215963364"/>
        <n v="153828803"/>
        <n v="217595865"/>
        <n v="216158153"/>
        <n v="217548173"/>
        <n v="217533118"/>
        <n v="205128906"/>
        <n v="205812132"/>
        <n v="216907554"/>
        <n v="215113542"/>
        <n v="204772797"/>
        <n v="217627630"/>
        <n v="217635272"/>
        <n v="217543308"/>
        <n v="217626870"/>
        <n v="217246912"/>
        <n v="217223132"/>
        <n v="217650160"/>
        <n v="149856123"/>
        <n v="217657148"/>
        <n v="217386658"/>
        <n v="202563999"/>
        <n v="137195650"/>
        <n v="138372112"/>
        <n v="217692419"/>
        <n v="217610905"/>
        <n v="217618558"/>
        <n v="190490555"/>
        <n v="122169020"/>
        <n v="217628239"/>
        <n v="148062219"/>
        <n v="131505988"/>
        <n v="215489398"/>
        <n v="195285936"/>
        <n v="217725764"/>
        <n v="217730944"/>
        <n v="205548571"/>
        <n v="188085249"/>
        <n v="206697535"/>
        <n v="216139584"/>
        <n v="127716285"/>
        <n v="205869717"/>
        <n v="204985013"/>
        <n v="217763600"/>
        <n v="217808731"/>
        <n v="217822232"/>
        <n v="217718093"/>
        <n v="217555660"/>
        <n v="217554744"/>
        <n v="217877324"/>
        <n v="147765298"/>
        <n v="217901196"/>
        <n v="217266939"/>
        <n v="204908076"/>
        <n v="217698784"/>
        <n v="217909024"/>
        <n v="201498671"/>
        <n v="217902650"/>
        <n v="217896282"/>
        <n v="217337901"/>
        <n v="217477535"/>
        <n v="217885621"/>
        <n v="217714764"/>
        <n v="217335548"/>
        <n v="129747676"/>
        <n v="217846698"/>
        <n v="217965791"/>
        <n v="217851124"/>
        <n v="217861903"/>
        <n v="217660423"/>
        <n v="217814342"/>
        <n v="157548765"/>
        <n v="217934288"/>
        <n v="217855786"/>
        <n v="131753677"/>
        <n v="217971206"/>
        <n v="217943053"/>
        <n v="218004764"/>
        <n v="217768772"/>
        <n v="216775344"/>
        <n v="135364787"/>
        <n v="148107179"/>
        <n v="215904194"/>
        <n v="217988577"/>
        <n v="146124679"/>
        <n v="217819772"/>
        <n v="217996629"/>
        <n v="152621756"/>
        <n v="218006807"/>
        <n v="218045202"/>
        <n v="218003864"/>
        <n v="218088770"/>
        <n v="217856893"/>
        <n v="156054912"/>
        <n v="218059054"/>
        <n v="218074245"/>
        <n v="204774586"/>
        <n v="215941440"/>
        <n v="205547323"/>
        <n v="217932519"/>
        <n v="217982048"/>
        <n v="218066467"/>
        <n v="218046034"/>
        <n v="217697744"/>
        <n v="217942738"/>
        <n v="218133628"/>
        <n v="118508852"/>
        <n v="218120267"/>
        <n v="218095541"/>
        <n v="217626801"/>
        <n v="151555660"/>
        <n v="217110820"/>
        <n v="218164848"/>
        <n v="217526484"/>
        <n v="214940948"/>
        <n v="218144586"/>
        <n v="217863596"/>
        <n v="218098580"/>
        <n v="215602271"/>
        <n v="218202086"/>
        <n v="217927897"/>
        <n v="217856402"/>
        <n v="217588559"/>
        <n v="212136438"/>
        <n v="171893540"/>
        <n v="202412363"/>
        <n v="218129311"/>
        <n v="218092565"/>
        <n v="150436862"/>
        <n v="218211840"/>
        <n v="218235209"/>
        <n v="218254260"/>
        <n v="218095604"/>
        <n v="147845964"/>
        <n v="218242871"/>
        <n v="218238016"/>
        <n v="217387951"/>
        <n v="218236754"/>
        <n v="218307564"/>
        <n v="135240372"/>
        <n v="218275834"/>
        <n v="218028076"/>
        <n v="218274904"/>
        <n v="218233516"/>
        <n v="218261606"/>
        <n v="218289472"/>
        <n v="215946425"/>
        <n v="218284850"/>
        <n v="202151053"/>
        <n v="112301350"/>
        <n v="218300918"/>
        <n v="205452800"/>
        <n v="218278300"/>
        <n v="216920844"/>
        <n v="218345379"/>
        <n v="183507186"/>
        <n v="218133430"/>
        <n v="218375754"/>
        <n v="216000482"/>
        <n v="161549477"/>
        <n v="133444654"/>
        <n v="217883594"/>
        <n v="197752733"/>
        <n v="218413958"/>
        <n v="218434925"/>
        <n v="218427268"/>
        <n v="217499098"/>
        <n v="215723331"/>
        <n v="122616074"/>
        <n v="218367490"/>
        <n v="218415420"/>
        <n v="135785962"/>
        <n v="218129819"/>
        <n v="217766676"/>
        <n v="216886336"/>
        <n v="217991032"/>
        <n v="145797162"/>
        <n v="217581606"/>
        <n v="218459038"/>
        <n v="218526124"/>
        <n v="216335430"/>
        <n v="218519862"/>
        <n v="218496811"/>
        <n v="218490122"/>
        <n v="216337502"/>
        <n v="143111905"/>
        <n v="217709772"/>
        <n v="214924190"/>
        <n v="217914198"/>
        <n v="217773501"/>
        <n v="215311765"/>
        <n v="218554220"/>
        <n v="218553244"/>
        <n v="218548492"/>
        <n v="217958138"/>
        <n v="218365623"/>
        <n v="218512642"/>
        <n v="218569099"/>
        <n v="218304590"/>
        <n v="215390636"/>
        <n v="218538760"/>
        <n v="218544489"/>
        <n v="180161087"/>
        <n v="218484551"/>
        <n v="218570737"/>
        <n v="218526607"/>
        <n v="211011508"/>
        <n v="218610100"/>
        <n v="206055148"/>
        <n v="150509877"/>
        <n v="218498112"/>
        <n v="218624538"/>
        <n v="218467300"/>
        <n v="218509554"/>
        <n v="218257588"/>
        <n v="218114325"/>
        <n v="218325441"/>
        <n v="218235047"/>
        <n v="218598866"/>
        <n v="218644881"/>
        <n v="218509727"/>
        <n v="150623785"/>
        <n v="218586552"/>
        <n v="218514844"/>
        <n v="218694806"/>
        <n v="218678174"/>
        <n v="218695487"/>
        <n v="218678790"/>
        <n v="217976753"/>
        <n v="199359226"/>
        <n v="121814098"/>
        <n v="215605718"/>
        <n v="218325705"/>
        <n v="208598253"/>
        <n v="218655628"/>
        <n v="218017402"/>
        <n v="218792880"/>
        <n v="218761808"/>
        <n v="216144261"/>
        <n v="215976742"/>
        <n v="218617631"/>
        <n v="218770458"/>
        <n v="218720472"/>
        <n v="218846909"/>
        <n v="214714278"/>
        <n v="218529158"/>
        <n v="218837719"/>
        <n v="194367477"/>
        <n v="218300066"/>
        <n v="218553583"/>
        <n v="149657162"/>
        <n v="125920876"/>
        <n v="217403566"/>
        <n v="218677370"/>
        <n v="218598875"/>
        <n v="203116529"/>
        <n v="218808831"/>
        <n v="218844240"/>
        <n v="218863419"/>
        <n v="218445704"/>
        <n v="149411976"/>
        <n v="218862674"/>
        <n v="218851122"/>
        <n v="218848831"/>
        <n v="214638700"/>
        <n v="218850789"/>
        <n v="155510287"/>
        <n v="218677703"/>
        <n v="218878930"/>
        <n v="218935022"/>
        <n v="218925198"/>
        <n v="218927120"/>
        <n v="218930176"/>
        <n v="216185482"/>
        <n v="218814342"/>
        <n v="218764310"/>
        <n v="218814328"/>
        <n v="149144586"/>
        <n v="217635511"/>
        <n v="218924256"/>
        <n v="218898552"/>
        <n v="218581958"/>
        <n v="214943384"/>
        <n v="147832373"/>
        <n v="218942852"/>
        <n v="218715020"/>
        <n v="218701308"/>
        <n v="218979443"/>
        <n v="218543315"/>
        <n v="218281726"/>
        <n v="144972422"/>
        <n v="219017513"/>
        <n v="218096762"/>
        <n v="134289850"/>
        <n v="205210815"/>
        <n v="218684970"/>
        <n v="219045318"/>
        <n v="218428977"/>
        <n v="156587706"/>
        <n v="219034826"/>
        <n v="215315438"/>
        <n v="213774184"/>
        <n v="219059958"/>
        <n v="204639997"/>
        <n v="219065931"/>
        <n v="143627373"/>
        <n v="218675428"/>
        <n v="219057820"/>
        <n v="219115854"/>
        <n v="219072554"/>
        <n v="219088631"/>
        <n v="218861750"/>
        <n v="217513777"/>
        <n v="218805370"/>
        <n v="219128709"/>
        <n v="217998036"/>
        <n v="219100886"/>
        <n v="214586480"/>
        <n v="219110064"/>
        <n v="219058076"/>
        <n v="218011483"/>
        <n v="216543186"/>
        <n v="151239214"/>
        <n v="152760748"/>
        <n v="215005163"/>
        <n v="219136846"/>
        <n v="218795222"/>
        <n v="208706876"/>
        <n v="219136623"/>
        <n v="219153922"/>
        <n v="218715792"/>
        <n v="218985028"/>
        <n v="218986352"/>
        <n v="219152822"/>
        <n v="219084587"/>
        <n v="219200064"/>
        <n v="219224963"/>
        <n v="219172302"/>
        <n v="219244336"/>
        <n v="210432172"/>
        <n v="145614180"/>
        <n v="218318466"/>
        <n v="219243156"/>
        <n v="219301778"/>
        <n v="153004062"/>
        <n v="151015350"/>
        <n v="147696294"/>
        <n v="218255956"/>
        <n v="218510841"/>
        <n v="219194059"/>
        <n v="219254134"/>
        <n v="215881016"/>
        <n v="217361520"/>
        <n v="219265654"/>
        <n v="175491846"/>
        <n v="212603850"/>
        <n v="219307145"/>
        <n v="212937420"/>
        <n v="219318511"/>
        <n v="218513479"/>
        <n v="219301764"/>
        <n v="217813451"/>
        <n v="162859352"/>
        <n v="146923161"/>
        <n v="206699284"/>
        <n v="219330169"/>
        <n v="219404710"/>
        <n v="219402896"/>
        <n v="219218929"/>
        <n v="219385880"/>
        <n v="219368039"/>
        <n v="219328313"/>
        <n v="219185386"/>
        <n v="183712256"/>
        <n v="217624207"/>
        <n v="218938921"/>
        <n v="147145693"/>
        <n v="219395734"/>
        <n v="219413956"/>
        <n v="218562434"/>
        <n v="135521927"/>
        <n v="157035378"/>
        <n v="219382434"/>
        <n v="218346336"/>
        <n v="219226230"/>
        <n v="219369515"/>
        <n v="212977568"/>
        <n v="217981717"/>
        <n v="219459089"/>
        <n v="193483420"/>
        <n v="219496362"/>
        <n v="219398902"/>
        <n v="219497152"/>
        <n v="188426619"/>
        <n v="219470485"/>
        <n v="219460783"/>
        <n v="219512722"/>
        <n v="199393176"/>
        <n v="217368686"/>
        <n v="218247056"/>
        <n v="219439239"/>
        <n v="218706730"/>
        <n v="219512680"/>
        <n v="218414156"/>
        <n v="206455504"/>
        <n v="202589094"/>
        <n v="219511614"/>
        <n v="219491158"/>
        <n v="218790626"/>
        <n v="219476808"/>
        <n v="218585706"/>
        <n v="219316901"/>
        <n v="217724278"/>
        <n v="164535832"/>
        <n v="219388064"/>
        <n v="218884048"/>
        <n v="219603078"/>
        <n v="219146842"/>
        <n v="219615770"/>
        <n v="219630379"/>
        <n v="144005898"/>
        <n v="215189020"/>
        <n v="188354637"/>
        <n v="219668475"/>
        <n v="219495361"/>
        <n v="219672587"/>
        <n v="218556897"/>
        <n v="219467082"/>
        <n v="139353407"/>
        <n v="219734945"/>
        <n v="219735949"/>
        <n v="219688361"/>
        <n v="219447968"/>
        <n v="219583682"/>
        <n v="217638566"/>
        <n v="219716268"/>
        <n v="219713718"/>
        <n v="219707178"/>
        <n v="219747148"/>
        <n v="219710700"/>
        <n v="160883429"/>
        <n v="219779586"/>
        <n v="219437804"/>
        <n v="206402783"/>
        <n v="178419414"/>
        <n v="219719416"/>
        <n v="219761422"/>
        <n v="218594597"/>
        <n v="219734107"/>
        <n v="219836911"/>
        <n v="215179190"/>
        <n v="219817702"/>
        <n v="150065982"/>
        <n v="219891350"/>
        <n v="219744473"/>
        <n v="219851822"/>
        <n v="219876215"/>
        <n v="219834528"/>
        <n v="202844600"/>
        <n v="188347490"/>
        <n v="219947831"/>
        <n v="214775412"/>
        <n v="219955434"/>
        <n v="219951440"/>
        <n v="219808428"/>
        <n v="220023196"/>
        <n v="220028812"/>
        <n v="220012044"/>
        <n v="219981231"/>
        <n v="169692209"/>
        <n v="116156335"/>
        <n v="153393340"/>
        <n v="219974920"/>
        <n v="219690296"/>
        <n v="220056524"/>
        <n v="219081046"/>
        <n v="219569143"/>
        <n v="219653068"/>
        <n v="220120740"/>
        <n v="186200901"/>
        <n v="220116966"/>
        <n v="219996796"/>
        <n v="218296652"/>
        <n v="220080560"/>
        <n v="219899496"/>
        <n v="219000322"/>
        <n v="220181992"/>
        <n v="220196419"/>
        <n v="220155197"/>
        <n v="220144619"/>
        <n v="220184550"/>
        <n v="152209352"/>
        <n v="220178530"/>
        <n v="219498470"/>
        <n v="153705354"/>
        <n v="219280628"/>
        <n v="220171290"/>
        <n v="219553060"/>
        <n v="220244827"/>
        <n v="219612883"/>
        <n v="217914279"/>
        <n v="220171851"/>
        <n v="157008330"/>
        <n v="206063908"/>
        <n v="220182716"/>
        <n v="218757796"/>
        <n v="220272556"/>
        <n v="219493644"/>
        <n v="148996798"/>
        <n v="218947678"/>
        <n v="119465934"/>
        <n v="219195061"/>
        <n v="219637590"/>
        <n v="134622358"/>
        <n v="219237524"/>
        <n v="219953886"/>
        <n v="207013932"/>
        <n v="205274562"/>
        <n v="209361492"/>
        <n v="220343801"/>
        <n v="150441222"/>
        <n v="214640803"/>
        <n v="219569853"/>
        <n v="220197494"/>
        <n v="220323698"/>
        <n v="220414820"/>
        <n v="220402308"/>
        <n v="220205806"/>
        <n v="220381016"/>
        <n v="220385078"/>
        <n v="220414853"/>
        <n v="220366524"/>
        <n v="220407436"/>
        <n v="219439597"/>
        <n v="219576812"/>
        <n v="123297208"/>
        <n v="213194584"/>
        <n v="220455205"/>
        <n v="220425056"/>
        <n v="219685108"/>
        <n v="220531090"/>
        <n v="220510482"/>
        <n v="217506938"/>
        <n v="189403535"/>
        <n v="132318451"/>
        <n v="220495479"/>
        <n v="220371835"/>
        <n v="125932988"/>
        <n v="117300170"/>
        <n v="220551506"/>
        <n v="220562110"/>
        <n v="220589305"/>
        <n v="220496139"/>
        <n v="219211334"/>
        <n v="220582817"/>
        <n v="220576148"/>
        <n v="219294264"/>
        <n v="220617197"/>
        <n v="220227691"/>
        <n v="220672607"/>
        <n v="218608353"/>
        <n v="135128238"/>
        <n v="220285147"/>
        <n v="218645057"/>
        <n v="128199550"/>
        <n v="220747618"/>
        <n v="207386830"/>
        <n v="205109812"/>
        <n v="218596318"/>
        <n v="220699520"/>
        <n v="218307579"/>
        <n v="188622328"/>
        <n v="220790640"/>
        <n v="220675005"/>
        <n v="220411940"/>
        <n v="220546810"/>
        <n v="215202566"/>
        <n v="220854418"/>
        <n v="220851140"/>
        <n v="220843911"/>
        <n v="216137022"/>
        <n v="148085880"/>
        <n v="182061738"/>
        <n v="220860582"/>
        <n v="218315334"/>
        <n v="217246008"/>
        <n v="220835326"/>
        <n v="182153913"/>
        <n v="219643599"/>
        <n v="152851458"/>
        <n v="219657672"/>
        <n v="220973656"/>
        <n v="159717680"/>
        <n v="220420126"/>
        <n v="220965750"/>
        <n v="220707034"/>
        <n v="220875396"/>
        <n v="134054676"/>
        <n v="183702574"/>
        <n v="220997288"/>
        <n v="220952702"/>
        <n v="221012872"/>
        <n v="220845656"/>
        <n v="220989516"/>
        <n v="135317128"/>
        <n v="220984730"/>
        <n v="220984628"/>
        <n v="220989226"/>
        <n v="220988969"/>
        <n v="220988022"/>
        <n v="220984390"/>
        <n v="125219153"/>
        <n v="221073196"/>
        <n v="153733292"/>
        <n v="152692003"/>
        <n v="220528931"/>
        <n v="221052611"/>
        <n v="220665801"/>
        <n v="221028388"/>
        <n v="178531928"/>
        <n v="220994271"/>
        <n v="218900441"/>
        <n v="221123938"/>
        <n v="221100604"/>
        <n v="220703723"/>
        <n v="220815627"/>
        <n v="214764106"/>
        <n v="158763940"/>
        <n v="220065316"/>
        <n v="217662862"/>
        <n v="220328388"/>
        <n v="219521019"/>
        <n v="221145374"/>
        <n v="221130434"/>
        <n v="221189604"/>
        <n v="215174643"/>
      </sharedItems>
    </cacheField>
    <cacheField name="created_date" numFmtId="14">
      <sharedItems containsSemiMixedTypes="0" containsNonDate="0" containsDate="1" containsString="0" minDate="2022-09-01T00:00:00" maxDate="2023-09-09T00:00:00"/>
    </cacheField>
    <cacheField name="canceled_date" numFmtId="0">
      <sharedItems containsNonDate="0" containsDate="1" containsString="0" containsBlank="1" minDate="2022-09-02T00:00:00" maxDate="2023-09-09T00:00:00"/>
    </cacheField>
    <cacheField name="was_subscription_paid" numFmtId="0">
      <sharedItems count="2">
        <s v="Yes"/>
        <s v="No"/>
      </sharedItems>
    </cacheField>
    <cacheField name="subscription_cost" numFmtId="0">
      <sharedItems containsSemiMixedTypes="0" containsString="0" containsNumber="1" containsInteger="1" minValue="39" maxValue="39"/>
    </cacheField>
    <cacheField name="subscription_interval" numFmtId="0">
      <sharedItems/>
    </cacheField>
    <cacheField name="Cancellation Duration" numFmtId="0">
      <sharedItems containsMixedTypes="1" containsNumber="1" containsInteger="1" minValue="0" maxValue="348"/>
    </cacheField>
    <cacheField name="Subscription Weekday"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uji" refreshedDate="45868.443372337963" backgroundQuery="1" createdVersion="8" refreshedVersion="8" minRefreshableVersion="3" recordCount="0" supportSubquery="1" supportAdvancedDrill="1" xr:uid="{2DE22CF9-8552-4ED3-8E20-C402B9960B6E}">
  <cacheSource type="external" connectionId="1"/>
  <cacheFields count="2">
    <cacheField name="[Table1 was_subscription_paid].[was_subscription_paid].[was_subscription_paid]" caption="was_subscription_paid" numFmtId="0" hierarchy="15" level="1">
      <sharedItems count="2">
        <s v="No"/>
        <s v="Yes"/>
      </sharedItems>
    </cacheField>
    <cacheField name="[Measures].[Count of was_subscription_paid]" caption="Count of was_subscription_paid" numFmtId="0" hierarchy="25" level="32767"/>
  </cacheFields>
  <cacheHierarchies count="26">
    <cacheHierarchy uniqueName="[Table1].[customer_id]" caption="customer_id" attribute="1" defaultMemberUniqueName="[Table1].[customer_id].[All]" allUniqueName="[Table1].[customer_id].[All]" dimensionUniqueName="[Table1]" displayFolder="" count="0" memberValueDatatype="20" unbalanced="0"/>
    <cacheHierarchy uniqueName="[Table1].[created_date]" caption="created_date" attribute="1" time="1" defaultMemberUniqueName="[Table1].[created_date].[All]" allUniqueName="[Table1].[created_date].[All]" dimensionUniqueName="[Table1]" displayFolder="" count="0" memberValueDatatype="7" unbalanced="0"/>
    <cacheHierarchy uniqueName="[Table1].[canceled_date]" caption="canceled_date" attribute="1" time="1" defaultMemberUniqueName="[Table1].[canceled_date].[All]" allUniqueName="[Table1].[canceled_date].[All]" dimensionUniqueName="[Table1]" displayFolder="" count="0" memberValueDatatype="7" unbalanced="0"/>
    <cacheHierarchy uniqueName="[Table1].[was_subscription_paid]" caption="was_subscription_paid" attribute="1" defaultMemberUniqueName="[Table1].[was_subscription_paid].[All]" allUniqueName="[Table1].[was_subscription_paid].[All]" dimensionUniqueName="[Table1]" displayFolder="" count="0" memberValueDatatype="130" unbalanced="0"/>
    <cacheHierarchy uniqueName="[Table1].[subscription_cost]" caption="subscription_cost" attribute="1" defaultMemberUniqueName="[Table1].[subscription_cost].[All]" allUniqueName="[Table1].[subscription_cost].[All]" dimensionUniqueName="[Table1]" displayFolder="" count="0" memberValueDatatype="20" unbalanced="0"/>
    <cacheHierarchy uniqueName="[Table1].[subscription_interval]" caption="subscription_interval" attribute="1" defaultMemberUniqueName="[Table1].[subscription_interval].[All]" allUniqueName="[Table1].[subscription_interval].[All]" dimensionUniqueName="[Table1]" displayFolder="" count="0" memberValueDatatype="130" unbalanced="0"/>
    <cacheHierarchy uniqueName="[Table1].[Cancellation Duration]" caption="Cancellation Duration" attribute="1" defaultMemberUniqueName="[Table1].[Cancellation Duration].[All]" allUniqueName="[Table1].[Cancellation Duration].[All]" dimensionUniqueName="[Table1]" displayFolder="" count="0" memberValueDatatype="130" unbalanced="0"/>
    <cacheHierarchy uniqueName="[Table1].[Subscription Weekday]" caption="Subscription Weekday" attribute="1" defaultMemberUniqueName="[Table1].[Subscription Weekday].[All]" allUniqueName="[Table1].[Subscription Weekday].[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reated_date (Year)]" caption="created_date (Year)" attribute="1" defaultMemberUniqueName="[Table1].[created_date (Year)].[All]" allUniqueName="[Table1].[created_date (Year)].[All]" dimensionUniqueName="[Table1]" displayFolder="" count="0" memberValueDatatype="130" unbalanced="0"/>
    <cacheHierarchy uniqueName="[Table1].[created_date (Quarter)]" caption="created_date (Quarter)" attribute="1" defaultMemberUniqueName="[Table1].[created_date (Quarter)].[All]" allUniqueName="[Table1].[created_date (Quarter)].[All]" dimensionUniqueName="[Table1]" displayFolder="" count="0" memberValueDatatype="130" unbalanced="0"/>
    <cacheHierarchy uniqueName="[Table1].[created_date (Month)]" caption="created_date (Month)" attribute="1" defaultMemberUniqueName="[Table1].[created_date (Month)].[All]" allUniqueName="[Table1].[created_date (Month)].[All]" dimensionUniqueName="[Table1]" displayFolder="" count="0" memberValueDatatype="130" unbalanced="0"/>
    <cacheHierarchy uniqueName="[Table1].[canceled_date (Year)]" caption="canceled_date (Year)" attribute="1" defaultMemberUniqueName="[Table1].[canceled_date (Year)].[All]" allUniqueName="[Table1].[canceled_date (Year)].[All]" dimensionUniqueName="[Table1]" displayFolder="" count="0" memberValueDatatype="130" unbalanced="0"/>
    <cacheHierarchy uniqueName="[Table1].[canceled_date (Quarter)]" caption="canceled_date (Quarter)" attribute="1" defaultMemberUniqueName="[Table1].[canceled_date (Quarter)].[All]" allUniqueName="[Table1].[canceled_date (Quarter)].[All]" dimensionUniqueName="[Table1]" displayFolder="" count="0" memberValueDatatype="130" unbalanced="0"/>
    <cacheHierarchy uniqueName="[Table1].[canceled_date (Month)]" caption="canceled_date (Month)" attribute="1" defaultMemberUniqueName="[Table1].[canceled_date (Month)].[All]" allUniqueName="[Table1].[canceled_date (Month)].[All]" dimensionUniqueName="[Table1]" displayFolder="" count="0" memberValueDatatype="130" unbalanced="0"/>
    <cacheHierarchy uniqueName="[Table1 was_subscription_paid].[was_subscription_paid]" caption="was_subscription_paid" attribute="1" defaultMemberUniqueName="[Table1 was_subscription_paid].[was_subscription_paid].[All]" allUniqueName="[Table1 was_subscription_paid].[was_subscription_paid].[All]" dimensionUniqueName="[Table1 was_subscription_paid]" displayFolder="" count="2" memberValueDatatype="130" unbalanced="0">
      <fieldsUsage count="2">
        <fieldUsage x="-1"/>
        <fieldUsage x="0"/>
      </fieldsUsage>
    </cacheHierarchy>
    <cacheHierarchy uniqueName="[Table1].[canceled_date (Month Index)]" caption="canceled_date (Month Index)" attribute="1" defaultMemberUniqueName="[Table1].[canceled_date (Month Index)].[All]" allUniqueName="[Table1].[canceled_date (Month Index)].[All]" dimensionUniqueName="[Table1]" displayFolder="" count="0" memberValueDatatype="20" unbalanced="0" hidden="1"/>
    <cacheHierarchy uniqueName="[Table1].[created_date (Month Index)]" caption="created_date (Month Index)" attribute="1" defaultMemberUniqueName="[Table1].[created_date (Month Index)].[All]" allUniqueName="[Table1].[created_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 was_subscription_paid]" caption="__XL_Count Table1 was_subscription_paid" measure="1" displayFolder="" measureGroup="Table1 was_subscription_paid" count="0" hidden="1"/>
    <cacheHierarchy uniqueName="[Measures].[__No measures defined]" caption="__No measures defined" measure="1" displayFolder="" count="0" hidden="1"/>
    <cacheHierarchy uniqueName="[Measures].[Count of created_date]" caption="Count of created_date" measure="1" displayFolder="" measureGroup="Table1" count="0" hidden="1">
      <extLst>
        <ext xmlns:x15="http://schemas.microsoft.com/office/spreadsheetml/2010/11/main" uri="{B97F6D7D-B522-45F9-BDA1-12C45D357490}">
          <x15:cacheHierarchy aggregatedColumn="1"/>
        </ext>
      </extLst>
    </cacheHierarchy>
    <cacheHierarchy uniqueName="[Measures].[Count of Cancellation Duration]" caption="Count of Cancellation Duration" measure="1" displayFolder="" measureGroup="Table1"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was_subscription_paid]" caption="Count of was_subscription_paid" measure="1" displayFolder="" measureGroup="Table1 was_subscription_paid"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 was_subscription_paid" uniqueName="[Table1 was_subscription_paid]" caption="Table1 was_subscription_paid"/>
  </dimensions>
  <measureGroups count="2">
    <measureGroup name="Table1" caption="Table1"/>
    <measureGroup name="Table1 was_subscription_paid" caption="Table1 was_subscription_pai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uji" refreshedDate="45868.694353472223" backgroundQuery="1" createdVersion="8" refreshedVersion="8" minRefreshableVersion="3" recordCount="0" supportSubquery="1" supportAdvancedDrill="1" xr:uid="{C71ABD59-651A-4A2F-B0E2-7AFA42F2766B}">
  <cacheSource type="external" connectionId="1"/>
  <cacheFields count="4">
    <cacheField name="[Table1].[created_date].[created_date]" caption="created_date" numFmtId="0" hierarchy="1" level="1">
      <sharedItems containsSemiMixedTypes="0" containsNonDate="0" containsDate="1" containsString="0" minDate="2023-01-01T00:00:00" maxDate="2023-09-09T00:00:00" count="25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sharedItems>
    </cacheField>
    <cacheField name="[Table1].[created_date (Year)].[created_date (Year)]" caption="created_date (Year)" numFmtId="0" hierarchy="9" level="1">
      <sharedItems containsSemiMixedTypes="0" containsNonDate="0" containsString="0"/>
    </cacheField>
    <cacheField name="[Measures].[Count of customer_id]" caption="Count of customer_id" numFmtId="0" hierarchy="24" level="32767"/>
    <cacheField name="[Table1].[created_date (Month)].[created_date (Month)]" caption="created_date (Month)" numFmtId="0" hierarchy="11" level="1">
      <sharedItems count="4">
        <s v="Sep"/>
        <s v="Oct"/>
        <s v="Nov"/>
        <s v="Dec"/>
      </sharedItems>
    </cacheField>
  </cacheFields>
  <cacheHierarchies count="26">
    <cacheHierarchy uniqueName="[Table1].[customer_id]" caption="customer_id" attribute="1" defaultMemberUniqueName="[Table1].[customer_id].[All]" allUniqueName="[Table1].[customer_id].[All]" dimensionUniqueName="[Table1]" displayFolder="" count="0" memberValueDatatype="20" unbalanced="0"/>
    <cacheHierarchy uniqueName="[Table1].[created_date]" caption="created_date" attribute="1" time="1" defaultMemberUniqueName="[Table1].[created_date].[All]" allUniqueName="[Table1].[created_date].[All]" dimensionUniqueName="[Table1]" displayFolder="" count="2" memberValueDatatype="7" unbalanced="0">
      <fieldsUsage count="2">
        <fieldUsage x="-1"/>
        <fieldUsage x="0"/>
      </fieldsUsage>
    </cacheHierarchy>
    <cacheHierarchy uniqueName="[Table1].[canceled_date]" caption="canceled_date" attribute="1" time="1" defaultMemberUniqueName="[Table1].[canceled_date].[All]" allUniqueName="[Table1].[canceled_date].[All]" dimensionUniqueName="[Table1]" displayFolder="" count="0" memberValueDatatype="7" unbalanced="0"/>
    <cacheHierarchy uniqueName="[Table1].[was_subscription_paid]" caption="was_subscription_paid" attribute="1" defaultMemberUniqueName="[Table1].[was_subscription_paid].[All]" allUniqueName="[Table1].[was_subscription_paid].[All]" dimensionUniqueName="[Table1]" displayFolder="" count="0" memberValueDatatype="130" unbalanced="0"/>
    <cacheHierarchy uniqueName="[Table1].[subscription_cost]" caption="subscription_cost" attribute="1" defaultMemberUniqueName="[Table1].[subscription_cost].[All]" allUniqueName="[Table1].[subscription_cost].[All]" dimensionUniqueName="[Table1]" displayFolder="" count="0" memberValueDatatype="20" unbalanced="0"/>
    <cacheHierarchy uniqueName="[Table1].[subscription_interval]" caption="subscription_interval" attribute="1" defaultMemberUniqueName="[Table1].[subscription_interval].[All]" allUniqueName="[Table1].[subscription_interval].[All]" dimensionUniqueName="[Table1]" displayFolder="" count="0" memberValueDatatype="130" unbalanced="0"/>
    <cacheHierarchy uniqueName="[Table1].[Cancellation Duration]" caption="Cancellation Duration" attribute="1" defaultMemberUniqueName="[Table1].[Cancellation Duration].[All]" allUniqueName="[Table1].[Cancellation Duration].[All]" dimensionUniqueName="[Table1]" displayFolder="" count="0" memberValueDatatype="130" unbalanced="0"/>
    <cacheHierarchy uniqueName="[Table1].[Subscription Weekday]" caption="Subscription Weekday" attribute="1" defaultMemberUniqueName="[Table1].[Subscription Weekday].[All]" allUniqueName="[Table1].[Subscription Weekday].[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reated_date (Year)]" caption="created_date (Year)" attribute="1" defaultMemberUniqueName="[Table1].[created_date (Year)].[All]" allUniqueName="[Table1].[created_date (Year)].[All]" dimensionUniqueName="[Table1]" displayFolder="" count="2" memberValueDatatype="130" unbalanced="0">
      <fieldsUsage count="2">
        <fieldUsage x="-1"/>
        <fieldUsage x="1"/>
      </fieldsUsage>
    </cacheHierarchy>
    <cacheHierarchy uniqueName="[Table1].[created_date (Quarter)]" caption="created_date (Quarter)" attribute="1" defaultMemberUniqueName="[Table1].[created_date (Quarter)].[All]" allUniqueName="[Table1].[created_date (Quarter)].[All]" dimensionUniqueName="[Table1]" displayFolder="" count="0" memberValueDatatype="130" unbalanced="0"/>
    <cacheHierarchy uniqueName="[Table1].[created_date (Month)]" caption="created_date (Month)" attribute="1" defaultMemberUniqueName="[Table1].[created_date (Month)].[All]" allUniqueName="[Table1].[created_date (Month)].[All]" dimensionUniqueName="[Table1]" displayFolder="" count="2" memberValueDatatype="130" unbalanced="0">
      <fieldsUsage count="2">
        <fieldUsage x="-1"/>
        <fieldUsage x="3"/>
      </fieldsUsage>
    </cacheHierarchy>
    <cacheHierarchy uniqueName="[Table1].[canceled_date (Year)]" caption="canceled_date (Year)" attribute="1" defaultMemberUniqueName="[Table1].[canceled_date (Year)].[All]" allUniqueName="[Table1].[canceled_date (Year)].[All]" dimensionUniqueName="[Table1]" displayFolder="" count="0" memberValueDatatype="130" unbalanced="0"/>
    <cacheHierarchy uniqueName="[Table1].[canceled_date (Quarter)]" caption="canceled_date (Quarter)" attribute="1" defaultMemberUniqueName="[Table1].[canceled_date (Quarter)].[All]" allUniqueName="[Table1].[canceled_date (Quarter)].[All]" dimensionUniqueName="[Table1]" displayFolder="" count="0" memberValueDatatype="130" unbalanced="0"/>
    <cacheHierarchy uniqueName="[Table1].[canceled_date (Month)]" caption="canceled_date (Month)" attribute="1" defaultMemberUniqueName="[Table1].[canceled_date (Month)].[All]" allUniqueName="[Table1].[canceled_date (Month)].[All]" dimensionUniqueName="[Table1]" displayFolder="" count="0" memberValueDatatype="130" unbalanced="0"/>
    <cacheHierarchy uniqueName="[Table1 was_subscription_paid].[was_subscription_paid]" caption="was_subscription_paid" attribute="1" defaultMemberUniqueName="[Table1 was_subscription_paid].[was_subscription_paid].[All]" allUniqueName="[Table1 was_subscription_paid].[was_subscription_paid].[All]" dimensionUniqueName="[Table1 was_subscription_paid]" displayFolder="" count="0" memberValueDatatype="130" unbalanced="0"/>
    <cacheHierarchy uniqueName="[Table1].[canceled_date (Month Index)]" caption="canceled_date (Month Index)" attribute="1" defaultMemberUniqueName="[Table1].[canceled_date (Month Index)].[All]" allUniqueName="[Table1].[canceled_date (Month Index)].[All]" dimensionUniqueName="[Table1]" displayFolder="" count="0" memberValueDatatype="20" unbalanced="0" hidden="1"/>
    <cacheHierarchy uniqueName="[Table1].[created_date (Month Index)]" caption="created_date (Month Index)" attribute="1" defaultMemberUniqueName="[Table1].[created_date (Month Index)].[All]" allUniqueName="[Table1].[created_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 was_subscription_paid]" caption="__XL_Count Table1 was_subscription_paid" measure="1" displayFolder="" measureGroup="Table1 was_subscription_paid" count="0" hidden="1"/>
    <cacheHierarchy uniqueName="[Measures].[__No measures defined]" caption="__No measures defined" measure="1" displayFolder="" count="0" hidden="1"/>
    <cacheHierarchy uniqueName="[Measures].[Count of created_date]" caption="Count of created_date" measure="1" displayFolder="" measureGroup="Table1" count="0" hidden="1">
      <extLst>
        <ext xmlns:x15="http://schemas.microsoft.com/office/spreadsheetml/2010/11/main" uri="{B97F6D7D-B522-45F9-BDA1-12C45D357490}">
          <x15:cacheHierarchy aggregatedColumn="1"/>
        </ext>
      </extLst>
    </cacheHierarchy>
    <cacheHierarchy uniqueName="[Measures].[Count of Cancellation Duration]" caption="Count of Cancellation Duration" measure="1" displayFolder="" measureGroup="Table1"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was_subscription_paid]" caption="Count of was_subscription_paid" measure="1" displayFolder="" measureGroup="Table1 was_subscription_paid"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 was_subscription_paid" uniqueName="[Table1 was_subscription_paid]" caption="Table1 was_subscription_paid"/>
  </dimensions>
  <measureGroups count="2">
    <measureGroup name="Table1" caption="Table1"/>
    <measureGroup name="Table1 was_subscription_paid" caption="Table1 was_subscription_pai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uji" refreshedDate="45868.694354050924" backgroundQuery="1" createdVersion="8" refreshedVersion="8" minRefreshableVersion="3" recordCount="0" supportSubquery="1" supportAdvancedDrill="1" xr:uid="{B7270811-CD24-4575-8ED7-C252C6F7A156}">
  <cacheSource type="external" connectionId="1"/>
  <cacheFields count="2">
    <cacheField name="[Table1].[created_date].[created_date]" caption="created_date" numFmtId="0" hierarchy="1" level="1">
      <sharedItems containsSemiMixedTypes="0" containsNonDate="0" containsDate="1" containsString="0" minDate="2022-09-01T00:00:00" maxDate="2023-09-09T00:00:00" count="37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sharedItems>
    </cacheField>
    <cacheField name="[Table1].[created_date (Year)].[created_date (Year)]" caption="created_date (Year)" numFmtId="0" hierarchy="9" level="1">
      <sharedItems count="1">
        <s v="2022"/>
      </sharedItems>
    </cacheField>
  </cacheFields>
  <cacheHierarchies count="26">
    <cacheHierarchy uniqueName="[Table1].[customer_id]" caption="customer_id" attribute="1" defaultMemberUniqueName="[Table1].[customer_id].[All]" allUniqueName="[Table1].[customer_id].[All]" dimensionUniqueName="[Table1]" displayFolder="" count="0" memberValueDatatype="20" unbalanced="0"/>
    <cacheHierarchy uniqueName="[Table1].[created_date]" caption="created_date" attribute="1" time="1" defaultMemberUniqueName="[Table1].[created_date].[All]" allUniqueName="[Table1].[created_date].[All]" dimensionUniqueName="[Table1]" displayFolder="" count="2" memberValueDatatype="7" unbalanced="0">
      <fieldsUsage count="2">
        <fieldUsage x="-1"/>
        <fieldUsage x="0"/>
      </fieldsUsage>
    </cacheHierarchy>
    <cacheHierarchy uniqueName="[Table1].[canceled_date]" caption="canceled_date" attribute="1" time="1" defaultMemberUniqueName="[Table1].[canceled_date].[All]" allUniqueName="[Table1].[canceled_date].[All]" dimensionUniqueName="[Table1]" displayFolder="" count="0" memberValueDatatype="7" unbalanced="0"/>
    <cacheHierarchy uniqueName="[Table1].[was_subscription_paid]" caption="was_subscription_paid" attribute="1" defaultMemberUniqueName="[Table1].[was_subscription_paid].[All]" allUniqueName="[Table1].[was_subscription_paid].[All]" dimensionUniqueName="[Table1]" displayFolder="" count="0" memberValueDatatype="130" unbalanced="0"/>
    <cacheHierarchy uniqueName="[Table1].[subscription_cost]" caption="subscription_cost" attribute="1" defaultMemberUniqueName="[Table1].[subscription_cost].[All]" allUniqueName="[Table1].[subscription_cost].[All]" dimensionUniqueName="[Table1]" displayFolder="" count="0" memberValueDatatype="20" unbalanced="0"/>
    <cacheHierarchy uniqueName="[Table1].[subscription_interval]" caption="subscription_interval" attribute="1" defaultMemberUniqueName="[Table1].[subscription_interval].[All]" allUniqueName="[Table1].[subscription_interval].[All]" dimensionUniqueName="[Table1]" displayFolder="" count="0" memberValueDatatype="130" unbalanced="0"/>
    <cacheHierarchy uniqueName="[Table1].[Cancellation Duration]" caption="Cancellation Duration" attribute="1" defaultMemberUniqueName="[Table1].[Cancellation Duration].[All]" allUniqueName="[Table1].[Cancellation Duration].[All]" dimensionUniqueName="[Table1]" displayFolder="" count="0" memberValueDatatype="130" unbalanced="0"/>
    <cacheHierarchy uniqueName="[Table1].[Subscription Weekday]" caption="Subscription Weekday" attribute="1" defaultMemberUniqueName="[Table1].[Subscription Weekday].[All]" allUniqueName="[Table1].[Subscription Weekday].[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reated_date (Year)]" caption="created_date (Year)" attribute="1" defaultMemberUniqueName="[Table1].[created_date (Year)].[All]" allUniqueName="[Table1].[created_date (Year)].[All]" dimensionUniqueName="[Table1]" displayFolder="" count="2" memberValueDatatype="130" unbalanced="0">
      <fieldsUsage count="2">
        <fieldUsage x="-1"/>
        <fieldUsage x="1"/>
      </fieldsUsage>
    </cacheHierarchy>
    <cacheHierarchy uniqueName="[Table1].[created_date (Quarter)]" caption="created_date (Quarter)" attribute="1" defaultMemberUniqueName="[Table1].[created_date (Quarter)].[All]" allUniqueName="[Table1].[created_date (Quarter)].[All]" dimensionUniqueName="[Table1]" displayFolder="" count="0" memberValueDatatype="130" unbalanced="0"/>
    <cacheHierarchy uniqueName="[Table1].[created_date (Month)]" caption="created_date (Month)" attribute="1" defaultMemberUniqueName="[Table1].[created_date (Month)].[All]" allUniqueName="[Table1].[created_date (Month)].[All]" dimensionUniqueName="[Table1]" displayFolder="" count="0" memberValueDatatype="130" unbalanced="0"/>
    <cacheHierarchy uniqueName="[Table1].[canceled_date (Year)]" caption="canceled_date (Year)" attribute="1" defaultMemberUniqueName="[Table1].[canceled_date (Year)].[All]" allUniqueName="[Table1].[canceled_date (Year)].[All]" dimensionUniqueName="[Table1]" displayFolder="" count="0" memberValueDatatype="130" unbalanced="0"/>
    <cacheHierarchy uniqueName="[Table1].[canceled_date (Quarter)]" caption="canceled_date (Quarter)" attribute="1" defaultMemberUniqueName="[Table1].[canceled_date (Quarter)].[All]" allUniqueName="[Table1].[canceled_date (Quarter)].[All]" dimensionUniqueName="[Table1]" displayFolder="" count="0" memberValueDatatype="130" unbalanced="0"/>
    <cacheHierarchy uniqueName="[Table1].[canceled_date (Month)]" caption="canceled_date (Month)" attribute="1" defaultMemberUniqueName="[Table1].[canceled_date (Month)].[All]" allUniqueName="[Table1].[canceled_date (Month)].[All]" dimensionUniqueName="[Table1]" displayFolder="" count="0" memberValueDatatype="130" unbalanced="0"/>
    <cacheHierarchy uniqueName="[Table1 was_subscription_paid].[was_subscription_paid]" caption="was_subscription_paid" attribute="1" defaultMemberUniqueName="[Table1 was_subscription_paid].[was_subscription_paid].[All]" allUniqueName="[Table1 was_subscription_paid].[was_subscription_paid].[All]" dimensionUniqueName="[Table1 was_subscription_paid]" displayFolder="" count="0" memberValueDatatype="130" unbalanced="0"/>
    <cacheHierarchy uniqueName="[Table1].[canceled_date (Month Index)]" caption="canceled_date (Month Index)" attribute="1" defaultMemberUniqueName="[Table1].[canceled_date (Month Index)].[All]" allUniqueName="[Table1].[canceled_date (Month Index)].[All]" dimensionUniqueName="[Table1]" displayFolder="" count="0" memberValueDatatype="20" unbalanced="0" hidden="1"/>
    <cacheHierarchy uniqueName="[Table1].[created_date (Month Index)]" caption="created_date (Month Index)" attribute="1" defaultMemberUniqueName="[Table1].[created_date (Month Index)].[All]" allUniqueName="[Table1].[created_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 was_subscription_paid]" caption="__XL_Count Table1 was_subscription_paid" measure="1" displayFolder="" measureGroup="Table1 was_subscription_paid" count="0" hidden="1"/>
    <cacheHierarchy uniqueName="[Measures].[__No measures defined]" caption="__No measures defined" measure="1" displayFolder="" count="0" hidden="1"/>
    <cacheHierarchy uniqueName="[Measures].[Count of created_date]" caption="Count of created_date" measure="1" displayFolder="" measureGroup="Table1" count="0" hidden="1">
      <extLst>
        <ext xmlns:x15="http://schemas.microsoft.com/office/spreadsheetml/2010/11/main" uri="{B97F6D7D-B522-45F9-BDA1-12C45D357490}">
          <x15:cacheHierarchy aggregatedColumn="1"/>
        </ext>
      </extLst>
    </cacheHierarchy>
    <cacheHierarchy uniqueName="[Measures].[Count of Cancellation Duration]" caption="Count of Cancellation Duration" measure="1" displayFolder="" measureGroup="Table1"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was_subscription_paid]" caption="Count of was_subscription_paid" measure="1" displayFolder="" measureGroup="Table1 was_subscription_paid"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 was_subscription_paid" uniqueName="[Table1 was_subscription_paid]" caption="Table1 was_subscription_paid"/>
  </dimensions>
  <measureGroups count="2">
    <measureGroup name="Table1" caption="Table1"/>
    <measureGroup name="Table1 was_subscription_paid" caption="Table1 was_subscription_pai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uji" refreshedDate="45868.745293981483" backgroundQuery="1" createdVersion="8" refreshedVersion="8" minRefreshableVersion="3" recordCount="0" supportSubquery="1" supportAdvancedDrill="1" xr:uid="{C50D89D0-BF2A-4AF5-B487-9C832E23BE20}">
  <cacheSource type="external" connectionId="1"/>
  <cacheFields count="5">
    <cacheField name="[Table1].[created_date].[created_date]" caption="created_date" numFmtId="0" hierarchy="1" level="1">
      <sharedItems containsSemiMixedTypes="0" containsNonDate="0" containsDate="1" containsString="0" minDate="2022-11-14T00:00:00" maxDate="2022-11-15T00:00:00" count="1">
        <d v="2022-11-14T00:00:00"/>
      </sharedItems>
    </cacheField>
    <cacheField name="[Measures].[Count of canceled_date]" caption="Count of canceled_date" numFmtId="0" hierarchy="27" level="32767"/>
    <cacheField name="[Table1].[canceled_date].[canceled_date]" caption="canceled_date" numFmtId="0" hierarchy="2" level="1">
      <sharedItems containsSemiMixedTypes="0" containsNonDate="0" containsDate="1" containsString="0" minDate="2023-06-27T00:00:00" maxDate="2023-06-28T00:00:00" count="1">
        <d v="2023-06-27T00:00:00"/>
      </sharedItems>
    </cacheField>
    <cacheField name="[Table1].[canceled_date (Month)].[canceled_date (Month)]" caption="canceled_date (Month)" numFmtId="0" hierarchy="14" level="1">
      <sharedItems count="1">
        <s v="Aug"/>
      </sharedItems>
    </cacheField>
    <cacheField name="[Table1].[canceled_date (Year)].[canceled_date (Year)]" caption="canceled_date (Year)" numFmtId="0" hierarchy="12" level="1">
      <sharedItems count="1">
        <s v="2023"/>
      </sharedItems>
    </cacheField>
  </cacheFields>
  <cacheHierarchies count="29">
    <cacheHierarchy uniqueName="[Table1].[customer_id]" caption="customer_id" attribute="1" defaultMemberUniqueName="[Table1].[customer_id].[All]" allUniqueName="[Table1].[customer_id].[All]" dimensionUniqueName="[Table1]" displayFolder="" count="0" memberValueDatatype="20" unbalanced="0"/>
    <cacheHierarchy uniqueName="[Table1].[created_date]" caption="created_date" attribute="1" time="1" defaultMemberUniqueName="[Table1].[created_date].[All]" allUniqueName="[Table1].[created_date].[All]" dimensionUniqueName="[Table1]" displayFolder="" count="2" memberValueDatatype="7" unbalanced="0">
      <fieldsUsage count="2">
        <fieldUsage x="-1"/>
        <fieldUsage x="0"/>
      </fieldsUsage>
    </cacheHierarchy>
    <cacheHierarchy uniqueName="[Table1].[canceled_date]" caption="canceled_date" attribute="1" time="1" defaultMemberUniqueName="[Table1].[canceled_date].[All]" allUniqueName="[Table1].[canceled_date].[All]" dimensionUniqueName="[Table1]" displayFolder="" count="2" memberValueDatatype="7" unbalanced="0">
      <fieldsUsage count="2">
        <fieldUsage x="-1"/>
        <fieldUsage x="2"/>
      </fieldsUsage>
    </cacheHierarchy>
    <cacheHierarchy uniqueName="[Table1].[was_subscription_paid]" caption="was_subscription_paid" attribute="1" defaultMemberUniqueName="[Table1].[was_subscription_paid].[All]" allUniqueName="[Table1].[was_subscription_paid].[All]" dimensionUniqueName="[Table1]" displayFolder="" count="0" memberValueDatatype="130" unbalanced="0"/>
    <cacheHierarchy uniqueName="[Table1].[subscription_cost]" caption="subscription_cost" attribute="1" defaultMemberUniqueName="[Table1].[subscription_cost].[All]" allUniqueName="[Table1].[subscription_cost].[All]" dimensionUniqueName="[Table1]" displayFolder="" count="0" memberValueDatatype="20" unbalanced="0"/>
    <cacheHierarchy uniqueName="[Table1].[subscription_interval]" caption="subscription_interval" attribute="1" defaultMemberUniqueName="[Table1].[subscription_interval].[All]" allUniqueName="[Table1].[subscription_interval].[All]" dimensionUniqueName="[Table1]" displayFolder="" count="0" memberValueDatatype="130" unbalanced="0"/>
    <cacheHierarchy uniqueName="[Table1].[Cancellation Duration]" caption="Cancellation Duration" attribute="1" defaultMemberUniqueName="[Table1].[Cancellation Duration].[All]" allUniqueName="[Table1].[Cancellation Duration].[All]" dimensionUniqueName="[Table1]" displayFolder="" count="0" memberValueDatatype="130" unbalanced="0"/>
    <cacheHierarchy uniqueName="[Table1].[Subscription Weekday]" caption="Subscription Weekday" attribute="1" defaultMemberUniqueName="[Table1].[Subscription Weekday].[All]" allUniqueName="[Table1].[Subscription Weekday].[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reated_date (Year)]" caption="created_date (Year)" attribute="1" defaultMemberUniqueName="[Table1].[created_date (Year)].[All]" allUniqueName="[Table1].[created_date (Year)].[All]" dimensionUniqueName="[Table1]" displayFolder="" count="0" memberValueDatatype="130" unbalanced="0"/>
    <cacheHierarchy uniqueName="[Table1].[created_date (Quarter)]" caption="created_date (Quarter)" attribute="1" defaultMemberUniqueName="[Table1].[created_date (Quarter)].[All]" allUniqueName="[Table1].[created_date (Quarter)].[All]" dimensionUniqueName="[Table1]" displayFolder="" count="0" memberValueDatatype="130" unbalanced="0"/>
    <cacheHierarchy uniqueName="[Table1].[created_date (Month)]" caption="created_date (Month)" attribute="1" defaultMemberUniqueName="[Table1].[created_date (Month)].[All]" allUniqueName="[Table1].[created_date (Month)].[All]" dimensionUniqueName="[Table1]" displayFolder="" count="0" memberValueDatatype="130" unbalanced="0"/>
    <cacheHierarchy uniqueName="[Table1].[canceled_date (Year)]" caption="canceled_date (Year)" attribute="1" defaultMemberUniqueName="[Table1].[canceled_date (Year)].[All]" allUniqueName="[Table1].[canceled_date (Year)].[All]" dimensionUniqueName="[Table1]" displayFolder="" count="2" memberValueDatatype="130" unbalanced="0">
      <fieldsUsage count="2">
        <fieldUsage x="-1"/>
        <fieldUsage x="4"/>
      </fieldsUsage>
    </cacheHierarchy>
    <cacheHierarchy uniqueName="[Table1].[canceled_date (Quarter)]" caption="canceled_date (Quarter)" attribute="1" defaultMemberUniqueName="[Table1].[canceled_date (Quarter)].[All]" allUniqueName="[Table1].[canceled_date (Quarter)].[All]" dimensionUniqueName="[Table1]" displayFolder="" count="2" memberValueDatatype="130" unbalanced="0"/>
    <cacheHierarchy uniqueName="[Table1].[canceled_date (Month)]" caption="canceled_date (Month)" attribute="1" defaultMemberUniqueName="[Table1].[canceled_date (Month)].[All]" allUniqueName="[Table1].[canceled_date (Month)].[All]" dimensionUniqueName="[Table1]" displayFolder="" count="2" memberValueDatatype="130" unbalanced="0">
      <fieldsUsage count="2">
        <fieldUsage x="-1"/>
        <fieldUsage x="3"/>
      </fieldsUsage>
    </cacheHierarchy>
    <cacheHierarchy uniqueName="[Table1 was_subscription_paid].[was_subscription_paid]" caption="was_subscription_paid" attribute="1" defaultMemberUniqueName="[Table1 was_subscription_paid].[was_subscription_paid].[All]" allUniqueName="[Table1 was_subscription_paid].[was_subscription_paid].[All]" dimensionUniqueName="[Table1 was_subscription_paid]" displayFolder="" count="0" memberValueDatatype="130" unbalanced="0"/>
    <cacheHierarchy uniqueName="[Table1].[canceled_date (Month Index)]" caption="canceled_date (Month Index)" attribute="1" defaultMemberUniqueName="[Table1].[canceled_date (Month Index)].[All]" allUniqueName="[Table1].[canceled_date (Month Index)].[All]" dimensionUniqueName="[Table1]" displayFolder="" count="0" memberValueDatatype="20" unbalanced="0" hidden="1"/>
    <cacheHierarchy uniqueName="[Table1].[created_date (Month Index)]" caption="created_date (Month Index)" attribute="1" defaultMemberUniqueName="[Table1].[created_date (Month Index)].[All]" allUniqueName="[Table1].[created_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 was_subscription_paid]" caption="__XL_Count Table1 was_subscription_paid" measure="1" displayFolder="" measureGroup="Table1 was_subscription_paid" count="0" hidden="1"/>
    <cacheHierarchy uniqueName="[Measures].[__No measures defined]" caption="__No measures defined" measure="1" displayFolder="" count="0" hidden="1"/>
    <cacheHierarchy uniqueName="[Measures].[Count of created_date]" caption="Count of created_date" measure="1" displayFolder="" measureGroup="Table1" count="0" hidden="1">
      <extLst>
        <ext xmlns:x15="http://schemas.microsoft.com/office/spreadsheetml/2010/11/main" uri="{B97F6D7D-B522-45F9-BDA1-12C45D357490}">
          <x15:cacheHierarchy aggregatedColumn="1"/>
        </ext>
      </extLst>
    </cacheHierarchy>
    <cacheHierarchy uniqueName="[Measures].[Count of Cancellation Duration]" caption="Count of Cancellation Duration" measure="1" displayFolder="" measureGroup="Table1"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was_subscription_paid]" caption="Count of was_subscription_paid" measure="1" displayFolder="" measureGroup="Table1 was_subscription_paid" count="0" hidden="1">
      <extLst>
        <ext xmlns:x15="http://schemas.microsoft.com/office/spreadsheetml/2010/11/main" uri="{B97F6D7D-B522-45F9-BDA1-12C45D357490}">
          <x15:cacheHierarchy aggregatedColumn="15"/>
        </ext>
      </extLst>
    </cacheHierarchy>
    <cacheHierarchy uniqueName="[Measures].[Count of canceled_date (Year)]" caption="Count of canceled_date (Year)" measure="1" displayFolder="" measureGroup="Table1" count="0" hidden="1">
      <extLst>
        <ext xmlns:x15="http://schemas.microsoft.com/office/spreadsheetml/2010/11/main" uri="{B97F6D7D-B522-45F9-BDA1-12C45D357490}">
          <x15:cacheHierarchy aggregatedColumn="12"/>
        </ext>
      </extLst>
    </cacheHierarchy>
    <cacheHierarchy uniqueName="[Measures].[Count of canceled_date]" caption="Count of canceled_date"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Max of customer_id]" caption="Max of customer_id" measure="1" displayFolder="" measureGroup="Table1"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1" uniqueName="[Table1]" caption="Table1"/>
    <dimension name="Table1 was_subscription_paid" uniqueName="[Table1 was_subscription_paid]" caption="Table1 was_subscription_paid"/>
  </dimensions>
  <measureGroups count="2">
    <measureGroup name="Table1" caption="Table1"/>
    <measureGroup name="Table1 was_subscription_paid" caption="Table1 was_subscription_pai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uji" refreshedDate="45869.751180208332" backgroundQuery="1" createdVersion="8" refreshedVersion="8" minRefreshableVersion="3" recordCount="0" supportSubquery="1" supportAdvancedDrill="1" xr:uid="{18581102-C2C3-4C26-854C-43EC3D686B4F}">
  <cacheSource type="external" connectionId="1"/>
  <cacheFields count="2">
    <cacheField name="[Table1].[Subscription Weekday].[Subscription Weekday]" caption="Subscription Weekday" numFmtId="0" hierarchy="7" level="1">
      <sharedItems count="1">
        <s v="Monday"/>
      </sharedItems>
    </cacheField>
    <cacheField name="[Measures].[Count of customer_id]" caption="Count of customer_id" numFmtId="0" hierarchy="24" level="32767"/>
  </cacheFields>
  <cacheHierarchies count="29">
    <cacheHierarchy uniqueName="[Table1].[customer_id]" caption="customer_id" attribute="1" defaultMemberUniqueName="[Table1].[customer_id].[All]" allUniqueName="[Table1].[customer_id].[All]" dimensionUniqueName="[Table1]" displayFolder="" count="0" memberValueDatatype="20" unbalanced="0"/>
    <cacheHierarchy uniqueName="[Table1].[created_date]" caption="created_date" attribute="1" time="1" defaultMemberUniqueName="[Table1].[created_date].[All]" allUniqueName="[Table1].[created_date].[All]" dimensionUniqueName="[Table1]" displayFolder="" count="0" memberValueDatatype="7" unbalanced="0"/>
    <cacheHierarchy uniqueName="[Table1].[canceled_date]" caption="canceled_date" attribute="1" time="1" defaultMemberUniqueName="[Table1].[canceled_date].[All]" allUniqueName="[Table1].[canceled_date].[All]" dimensionUniqueName="[Table1]" displayFolder="" count="0" memberValueDatatype="7" unbalanced="0"/>
    <cacheHierarchy uniqueName="[Table1].[was_subscription_paid]" caption="was_subscription_paid" attribute="1" defaultMemberUniqueName="[Table1].[was_subscription_paid].[All]" allUniqueName="[Table1].[was_subscription_paid].[All]" dimensionUniqueName="[Table1]" displayFolder="" count="0" memberValueDatatype="130" unbalanced="0"/>
    <cacheHierarchy uniqueName="[Table1].[subscription_cost]" caption="subscription_cost" attribute="1" defaultMemberUniqueName="[Table1].[subscription_cost].[All]" allUniqueName="[Table1].[subscription_cost].[All]" dimensionUniqueName="[Table1]" displayFolder="" count="0" memberValueDatatype="20" unbalanced="0"/>
    <cacheHierarchy uniqueName="[Table1].[subscription_interval]" caption="subscription_interval" attribute="1" defaultMemberUniqueName="[Table1].[subscription_interval].[All]" allUniqueName="[Table1].[subscription_interval].[All]" dimensionUniqueName="[Table1]" displayFolder="" count="0" memberValueDatatype="130" unbalanced="0"/>
    <cacheHierarchy uniqueName="[Table1].[Cancellation Duration]" caption="Cancellation Duration" attribute="1" defaultMemberUniqueName="[Table1].[Cancellation Duration].[All]" allUniqueName="[Table1].[Cancellation Duration].[All]" dimensionUniqueName="[Table1]" displayFolder="" count="0" memberValueDatatype="130" unbalanced="0"/>
    <cacheHierarchy uniqueName="[Table1].[Subscription Weekday]" caption="Subscription Weekday" attribute="1" defaultMemberUniqueName="[Table1].[Subscription Weekday].[All]" allUniqueName="[Table1].[Subscription Weekday].[All]" dimensionUniqueName="[Table1]" displayFolder="" count="2" memberValueDatatype="130" unbalanced="0">
      <fieldsUsage count="2">
        <fieldUsage x="-1"/>
        <fieldUsage x="0"/>
      </fieldsUsage>
    </cacheHierarchy>
    <cacheHierarchy uniqueName="[Table1].[Column1]" caption="Column1" attribute="1" defaultMemberUniqueName="[Table1].[Column1].[All]" allUniqueName="[Table1].[Column1].[All]" dimensionUniqueName="[Table1]" displayFolder="" count="0" memberValueDatatype="130" unbalanced="0"/>
    <cacheHierarchy uniqueName="[Table1].[created_date (Year)]" caption="created_date (Year)" attribute="1" defaultMemberUniqueName="[Table1].[created_date (Year)].[All]" allUniqueName="[Table1].[created_date (Year)].[All]" dimensionUniqueName="[Table1]" displayFolder="" count="0" memberValueDatatype="130" unbalanced="0"/>
    <cacheHierarchy uniqueName="[Table1].[created_date (Quarter)]" caption="created_date (Quarter)" attribute="1" defaultMemberUniqueName="[Table1].[created_date (Quarter)].[All]" allUniqueName="[Table1].[created_date (Quarter)].[All]" dimensionUniqueName="[Table1]" displayFolder="" count="0" memberValueDatatype="130" unbalanced="0"/>
    <cacheHierarchy uniqueName="[Table1].[created_date (Month)]" caption="created_date (Month)" attribute="1" defaultMemberUniqueName="[Table1].[created_date (Month)].[All]" allUniqueName="[Table1].[created_date (Month)].[All]" dimensionUniqueName="[Table1]" displayFolder="" count="0" memberValueDatatype="130" unbalanced="0"/>
    <cacheHierarchy uniqueName="[Table1].[canceled_date (Year)]" caption="canceled_date (Year)" attribute="1" defaultMemberUniqueName="[Table1].[canceled_date (Year)].[All]" allUniqueName="[Table1].[canceled_date (Year)].[All]" dimensionUniqueName="[Table1]" displayFolder="" count="0" memberValueDatatype="130" unbalanced="0"/>
    <cacheHierarchy uniqueName="[Table1].[canceled_date (Quarter)]" caption="canceled_date (Quarter)" attribute="1" defaultMemberUniqueName="[Table1].[canceled_date (Quarter)].[All]" allUniqueName="[Table1].[canceled_date (Quarter)].[All]" dimensionUniqueName="[Table1]" displayFolder="" count="0" memberValueDatatype="130" unbalanced="0"/>
    <cacheHierarchy uniqueName="[Table1].[canceled_date (Month)]" caption="canceled_date (Month)" attribute="1" defaultMemberUniqueName="[Table1].[canceled_date (Month)].[All]" allUniqueName="[Table1].[canceled_date (Month)].[All]" dimensionUniqueName="[Table1]" displayFolder="" count="0" memberValueDatatype="130" unbalanced="0"/>
    <cacheHierarchy uniqueName="[Table1 was_subscription_paid].[was_subscription_paid]" caption="was_subscription_paid" attribute="1" defaultMemberUniqueName="[Table1 was_subscription_paid].[was_subscription_paid].[All]" allUniqueName="[Table1 was_subscription_paid].[was_subscription_paid].[All]" dimensionUniqueName="[Table1 was_subscription_paid]" displayFolder="" count="0" memberValueDatatype="130" unbalanced="0"/>
    <cacheHierarchy uniqueName="[Table1].[canceled_date (Month Index)]" caption="canceled_date (Month Index)" attribute="1" defaultMemberUniqueName="[Table1].[canceled_date (Month Index)].[All]" allUniqueName="[Table1].[canceled_date (Month Index)].[All]" dimensionUniqueName="[Table1]" displayFolder="" count="0" memberValueDatatype="20" unbalanced="0" hidden="1"/>
    <cacheHierarchy uniqueName="[Table1].[created_date (Month Index)]" caption="created_date (Month Index)" attribute="1" defaultMemberUniqueName="[Table1].[created_date (Month Index)].[All]" allUniqueName="[Table1].[created_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 was_subscription_paid]" caption="__XL_Count Table1 was_subscription_paid" measure="1" displayFolder="" measureGroup="Table1 was_subscription_paid" count="0" hidden="1"/>
    <cacheHierarchy uniqueName="[Measures].[__No measures defined]" caption="__No measures defined" measure="1" displayFolder="" count="0" hidden="1"/>
    <cacheHierarchy uniqueName="[Measures].[Count of created_date]" caption="Count of created_date" measure="1" displayFolder="" measureGroup="Table1" count="0" hidden="1">
      <extLst>
        <ext xmlns:x15="http://schemas.microsoft.com/office/spreadsheetml/2010/11/main" uri="{B97F6D7D-B522-45F9-BDA1-12C45D357490}">
          <x15:cacheHierarchy aggregatedColumn="1"/>
        </ext>
      </extLst>
    </cacheHierarchy>
    <cacheHierarchy uniqueName="[Measures].[Count of Cancellation Duration]" caption="Count of Cancellation Duration" measure="1" displayFolder="" measureGroup="Table1"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was_subscription_paid]" caption="Count of was_subscription_paid" measure="1" displayFolder="" measureGroup="Table1 was_subscription_paid" count="0" hidden="1">
      <extLst>
        <ext xmlns:x15="http://schemas.microsoft.com/office/spreadsheetml/2010/11/main" uri="{B97F6D7D-B522-45F9-BDA1-12C45D357490}">
          <x15:cacheHierarchy aggregatedColumn="15"/>
        </ext>
      </extLst>
    </cacheHierarchy>
    <cacheHierarchy uniqueName="[Measures].[Count of canceled_date (Year)]" caption="Count of canceled_date (Year)" measure="1" displayFolder="" measureGroup="Table1" count="0" hidden="1">
      <extLst>
        <ext xmlns:x15="http://schemas.microsoft.com/office/spreadsheetml/2010/11/main" uri="{B97F6D7D-B522-45F9-BDA1-12C45D357490}">
          <x15:cacheHierarchy aggregatedColumn="12"/>
        </ext>
      </extLst>
    </cacheHierarchy>
    <cacheHierarchy uniqueName="[Measures].[Count of canceled_date]" caption="Count of canceled_date" measure="1" displayFolder="" measureGroup="Table1" count="0" hidden="1">
      <extLst>
        <ext xmlns:x15="http://schemas.microsoft.com/office/spreadsheetml/2010/11/main" uri="{B97F6D7D-B522-45F9-BDA1-12C45D357490}">
          <x15:cacheHierarchy aggregatedColumn="2"/>
        </ext>
      </extLst>
    </cacheHierarchy>
    <cacheHierarchy uniqueName="[Measures].[Max of customer_id]" caption="Max of customer_id" measure="1" displayFolder="" measureGroup="Table1"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1" uniqueName="[Table1]" caption="Table1"/>
    <dimension name="Table1 was_subscription_paid" uniqueName="[Table1 was_subscription_paid]" caption="Table1 was_subscription_paid"/>
  </dimensions>
  <measureGroups count="2">
    <measureGroup name="Table1" caption="Table1"/>
    <measureGroup name="Table1 was_subscription_paid" caption="Table1 was_subscription_pai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uji" refreshedDate="45868.487531250001" backgroundQuery="1" createdVersion="3" refreshedVersion="8" minRefreshableVersion="3" recordCount="0" supportSubquery="1" supportAdvancedDrill="1" xr:uid="{0A095DAD-C7C6-4ECD-9B5B-F4183C663BCE}">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Table1].[customer_id]" caption="customer_id" attribute="1" defaultMemberUniqueName="[Table1].[customer_id].[All]" allUniqueName="[Table1].[customer_id].[All]" dimensionUniqueName="[Table1]" displayFolder="" count="0" memberValueDatatype="20" unbalanced="0"/>
    <cacheHierarchy uniqueName="[Table1].[created_date]" caption="created_date" attribute="1" time="1" defaultMemberUniqueName="[Table1].[created_date].[All]" allUniqueName="[Table1].[created_date].[All]" dimensionUniqueName="[Table1]" displayFolder="" count="0" memberValueDatatype="7" unbalanced="0"/>
    <cacheHierarchy uniqueName="[Table1].[canceled_date]" caption="canceled_date" attribute="1" time="1" defaultMemberUniqueName="[Table1].[canceled_date].[All]" allUniqueName="[Table1].[canceled_date].[All]" dimensionUniqueName="[Table1]" displayFolder="" count="0" memberValueDatatype="7" unbalanced="0"/>
    <cacheHierarchy uniqueName="[Table1].[was_subscription_paid]" caption="was_subscription_paid" attribute="1" defaultMemberUniqueName="[Table1].[was_subscription_paid].[All]" allUniqueName="[Table1].[was_subscription_paid].[All]" dimensionUniqueName="[Table1]" displayFolder="" count="0" memberValueDatatype="130" unbalanced="0"/>
    <cacheHierarchy uniqueName="[Table1].[subscription_cost]" caption="subscription_cost" attribute="1" defaultMemberUniqueName="[Table1].[subscription_cost].[All]" allUniqueName="[Table1].[subscription_cost].[All]" dimensionUniqueName="[Table1]" displayFolder="" count="0" memberValueDatatype="20" unbalanced="0"/>
    <cacheHierarchy uniqueName="[Table1].[subscription_interval]" caption="subscription_interval" attribute="1" defaultMemberUniqueName="[Table1].[subscription_interval].[All]" allUniqueName="[Table1].[subscription_interval].[All]" dimensionUniqueName="[Table1]" displayFolder="" count="0" memberValueDatatype="130" unbalanced="0"/>
    <cacheHierarchy uniqueName="[Table1].[Cancellation Duration]" caption="Cancellation Duration" attribute="1" defaultMemberUniqueName="[Table1].[Cancellation Duration].[All]" allUniqueName="[Table1].[Cancellation Duration].[All]" dimensionUniqueName="[Table1]" displayFolder="" count="0" memberValueDatatype="130" unbalanced="0"/>
    <cacheHierarchy uniqueName="[Table1].[Subscription Weekday]" caption="Subscription Weekday" attribute="1" defaultMemberUniqueName="[Table1].[Subscription Weekday].[All]" allUniqueName="[Table1].[Subscription Weekday].[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reated_date (Year)]" caption="created_date (Year)" attribute="1" defaultMemberUniqueName="[Table1].[created_date (Year)].[All]" allUniqueName="[Table1].[created_date (Year)].[All]" dimensionUniqueName="[Table1]" displayFolder="" count="2" memberValueDatatype="130" unbalanced="0"/>
    <cacheHierarchy uniqueName="[Table1].[created_date (Quarter)]" caption="created_date (Quarter)" attribute="1" defaultMemberUniqueName="[Table1].[created_date (Quarter)].[All]" allUniqueName="[Table1].[created_date (Quarter)].[All]" dimensionUniqueName="[Table1]" displayFolder="" count="0" memberValueDatatype="130" unbalanced="0"/>
    <cacheHierarchy uniqueName="[Table1].[created_date (Month)]" caption="created_date (Month)" attribute="1" defaultMemberUniqueName="[Table1].[created_date (Month)].[All]" allUniqueName="[Table1].[created_date (Month)].[All]" dimensionUniqueName="[Table1]" displayFolder="" count="0" memberValueDatatype="130" unbalanced="0"/>
    <cacheHierarchy uniqueName="[Table1].[canceled_date (Year)]" caption="canceled_date (Year)" attribute="1" defaultMemberUniqueName="[Table1].[canceled_date (Year)].[All]" allUniqueName="[Table1].[canceled_date (Year)].[All]" dimensionUniqueName="[Table1]" displayFolder="" count="0" memberValueDatatype="130" unbalanced="0"/>
    <cacheHierarchy uniqueName="[Table1].[canceled_date (Quarter)]" caption="canceled_date (Quarter)" attribute="1" defaultMemberUniqueName="[Table1].[canceled_date (Quarter)].[All]" allUniqueName="[Table1].[canceled_date (Quarter)].[All]" dimensionUniqueName="[Table1]" displayFolder="" count="0" memberValueDatatype="130" unbalanced="0"/>
    <cacheHierarchy uniqueName="[Table1].[canceled_date (Month)]" caption="canceled_date (Month)" attribute="1" defaultMemberUniqueName="[Table1].[canceled_date (Month)].[All]" allUniqueName="[Table1].[canceled_date (Month)].[All]" dimensionUniqueName="[Table1]" displayFolder="" count="0" memberValueDatatype="130" unbalanced="0"/>
    <cacheHierarchy uniqueName="[Table1 was_subscription_paid].[was_subscription_paid]" caption="was_subscription_paid" attribute="1" defaultMemberUniqueName="[Table1 was_subscription_paid].[was_subscription_paid].[All]" allUniqueName="[Table1 was_subscription_paid].[was_subscription_paid].[All]" dimensionUniqueName="[Table1 was_subscription_paid]" displayFolder="" count="0" memberValueDatatype="130" unbalanced="0"/>
    <cacheHierarchy uniqueName="[Table1].[canceled_date (Month Index)]" caption="canceled_date (Month Index)" attribute="1" defaultMemberUniqueName="[Table1].[canceled_date (Month Index)].[All]" allUniqueName="[Table1].[canceled_date (Month Index)].[All]" dimensionUniqueName="[Table1]" displayFolder="" count="0" memberValueDatatype="20" unbalanced="0" hidden="1"/>
    <cacheHierarchy uniqueName="[Table1].[created_date (Month Index)]" caption="created_date (Month Index)" attribute="1" defaultMemberUniqueName="[Table1].[created_date (Month Index)].[All]" allUniqueName="[Table1].[created_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 was_subscription_paid]" caption="__XL_Count Table1 was_subscription_paid" measure="1" displayFolder="" measureGroup="Table1 was_subscription_paid" count="0" hidden="1"/>
    <cacheHierarchy uniqueName="[Measures].[__No measures defined]" caption="__No measures defined" measure="1" displayFolder="" count="0" hidden="1"/>
    <cacheHierarchy uniqueName="[Measures].[Count of created_date]" caption="Count of created_date" measure="1" displayFolder="" measureGroup="Table1" count="0" hidden="1">
      <extLst>
        <ext xmlns:x15="http://schemas.microsoft.com/office/spreadsheetml/2010/11/main" uri="{B97F6D7D-B522-45F9-BDA1-12C45D357490}">
          <x15:cacheHierarchy aggregatedColumn="1"/>
        </ext>
      </extLst>
    </cacheHierarchy>
    <cacheHierarchy uniqueName="[Measures].[Count of Cancellation Duration]" caption="Count of Cancellation Duration" measure="1" displayFolder="" measureGroup="Table1"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was_subscription_paid]" caption="Count of was_subscription_paid" measure="1" displayFolder="" measureGroup="Table1 was_subscription_paid"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08919269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9">
  <r>
    <x v="0"/>
    <d v="2022-09-01T00:00:00"/>
    <m/>
    <x v="0"/>
    <n v="39"/>
    <s v="month"/>
    <s v=""/>
    <s v="Thursday"/>
  </r>
  <r>
    <x v="1"/>
    <d v="2022-09-01T00:00:00"/>
    <d v="2022-09-02T00:00:00"/>
    <x v="1"/>
    <n v="39"/>
    <s v="month"/>
    <n v="1"/>
    <s v="Thursday"/>
  </r>
  <r>
    <x v="2"/>
    <d v="2022-09-01T00:00:00"/>
    <d v="2022-09-02T00:00:00"/>
    <x v="1"/>
    <n v="39"/>
    <s v="month"/>
    <n v="1"/>
    <s v="Thursday"/>
  </r>
  <r>
    <x v="3"/>
    <d v="2022-09-01T00:00:00"/>
    <d v="2022-09-23T00:00:00"/>
    <x v="0"/>
    <n v="39"/>
    <s v="month"/>
    <n v="22"/>
    <s v="Thursday"/>
  </r>
  <r>
    <x v="4"/>
    <d v="2022-09-01T00:00:00"/>
    <d v="2023-06-29T00:00:00"/>
    <x v="0"/>
    <n v="39"/>
    <s v="month"/>
    <n v="301"/>
    <s v="Thursday"/>
  </r>
  <r>
    <x v="5"/>
    <d v="2022-09-01T00:00:00"/>
    <d v="2023-05-08T00:00:00"/>
    <x v="0"/>
    <n v="39"/>
    <s v="month"/>
    <n v="249"/>
    <s v="Thursday"/>
  </r>
  <r>
    <x v="6"/>
    <d v="2022-09-01T00:00:00"/>
    <d v="2022-11-26T00:00:00"/>
    <x v="0"/>
    <n v="39"/>
    <s v="month"/>
    <n v="86"/>
    <s v="Thursday"/>
  </r>
  <r>
    <x v="7"/>
    <d v="2022-09-01T00:00:00"/>
    <d v="2022-11-23T00:00:00"/>
    <x v="0"/>
    <n v="39"/>
    <s v="month"/>
    <n v="83"/>
    <s v="Thursday"/>
  </r>
  <r>
    <x v="8"/>
    <d v="2022-09-01T00:00:00"/>
    <d v="2022-10-25T00:00:00"/>
    <x v="0"/>
    <n v="39"/>
    <s v="month"/>
    <n v="54"/>
    <s v="Thursday"/>
  </r>
  <r>
    <x v="9"/>
    <d v="2022-09-01T00:00:00"/>
    <d v="2022-10-31T00:00:00"/>
    <x v="0"/>
    <n v="39"/>
    <s v="month"/>
    <n v="60"/>
    <s v="Thursday"/>
  </r>
  <r>
    <x v="10"/>
    <d v="2022-09-01T00:00:00"/>
    <d v="2022-09-26T00:00:00"/>
    <x v="0"/>
    <n v="39"/>
    <s v="month"/>
    <n v="25"/>
    <s v="Thursday"/>
  </r>
  <r>
    <x v="11"/>
    <d v="2022-09-01T00:00:00"/>
    <d v="2022-09-15T00:00:00"/>
    <x v="0"/>
    <n v="39"/>
    <s v="month"/>
    <n v="14"/>
    <s v="Thursday"/>
  </r>
  <r>
    <x v="12"/>
    <d v="2022-09-02T00:00:00"/>
    <m/>
    <x v="0"/>
    <n v="39"/>
    <s v="month"/>
    <s v=""/>
    <s v="Friday"/>
  </r>
  <r>
    <x v="13"/>
    <d v="2022-09-02T00:00:00"/>
    <d v="2022-09-02T00:00:00"/>
    <x v="0"/>
    <n v="39"/>
    <s v="month"/>
    <n v="0"/>
    <s v="Friday"/>
  </r>
  <r>
    <x v="14"/>
    <d v="2022-09-02T00:00:00"/>
    <d v="2022-12-09T00:00:00"/>
    <x v="0"/>
    <n v="39"/>
    <s v="month"/>
    <n v="98"/>
    <s v="Friday"/>
  </r>
  <r>
    <x v="15"/>
    <d v="2022-09-02T00:00:00"/>
    <d v="2022-10-27T00:00:00"/>
    <x v="0"/>
    <n v="39"/>
    <s v="month"/>
    <n v="55"/>
    <s v="Friday"/>
  </r>
  <r>
    <x v="16"/>
    <d v="2022-09-02T00:00:00"/>
    <d v="2022-10-09T00:00:00"/>
    <x v="0"/>
    <n v="39"/>
    <s v="month"/>
    <n v="37"/>
    <s v="Friday"/>
  </r>
  <r>
    <x v="17"/>
    <d v="2022-09-02T00:00:00"/>
    <d v="2022-09-26T00:00:00"/>
    <x v="0"/>
    <n v="39"/>
    <s v="month"/>
    <n v="24"/>
    <s v="Friday"/>
  </r>
  <r>
    <x v="18"/>
    <d v="2022-09-03T00:00:00"/>
    <m/>
    <x v="0"/>
    <n v="39"/>
    <s v="month"/>
    <s v=""/>
    <s v="Saturday"/>
  </r>
  <r>
    <x v="19"/>
    <d v="2022-09-03T00:00:00"/>
    <m/>
    <x v="0"/>
    <n v="39"/>
    <s v="month"/>
    <s v=""/>
    <s v="Saturday"/>
  </r>
  <r>
    <x v="20"/>
    <d v="2022-09-03T00:00:00"/>
    <d v="2022-09-04T00:00:00"/>
    <x v="0"/>
    <n v="39"/>
    <s v="month"/>
    <n v="1"/>
    <s v="Saturday"/>
  </r>
  <r>
    <x v="21"/>
    <d v="2022-09-03T00:00:00"/>
    <d v="2023-05-10T00:00:00"/>
    <x v="0"/>
    <n v="39"/>
    <s v="month"/>
    <n v="249"/>
    <s v="Saturday"/>
  </r>
  <r>
    <x v="22"/>
    <d v="2022-09-03T00:00:00"/>
    <d v="2023-04-01T00:00:00"/>
    <x v="0"/>
    <n v="39"/>
    <s v="month"/>
    <n v="210"/>
    <s v="Saturday"/>
  </r>
  <r>
    <x v="23"/>
    <d v="2022-09-03T00:00:00"/>
    <d v="2023-04-10T00:00:00"/>
    <x v="0"/>
    <n v="39"/>
    <s v="month"/>
    <n v="219"/>
    <s v="Saturday"/>
  </r>
  <r>
    <x v="24"/>
    <d v="2022-09-03T00:00:00"/>
    <d v="2022-11-23T00:00:00"/>
    <x v="0"/>
    <n v="39"/>
    <s v="month"/>
    <n v="81"/>
    <s v="Saturday"/>
  </r>
  <r>
    <x v="25"/>
    <d v="2022-09-03T00:00:00"/>
    <d v="2022-10-18T00:00:00"/>
    <x v="0"/>
    <n v="39"/>
    <s v="month"/>
    <n v="45"/>
    <s v="Saturday"/>
  </r>
  <r>
    <x v="26"/>
    <d v="2022-09-03T00:00:00"/>
    <d v="2022-09-29T00:00:00"/>
    <x v="0"/>
    <n v="39"/>
    <s v="month"/>
    <n v="26"/>
    <s v="Saturday"/>
  </r>
  <r>
    <x v="27"/>
    <d v="2022-09-03T00:00:00"/>
    <d v="2022-09-25T00:00:00"/>
    <x v="0"/>
    <n v="39"/>
    <s v="month"/>
    <n v="22"/>
    <s v="Saturday"/>
  </r>
  <r>
    <x v="28"/>
    <d v="2022-09-04T00:00:00"/>
    <d v="2022-09-05T00:00:00"/>
    <x v="0"/>
    <n v="39"/>
    <s v="month"/>
    <n v="1"/>
    <s v="Sunday"/>
  </r>
  <r>
    <x v="29"/>
    <d v="2022-09-04T00:00:00"/>
    <d v="2023-04-05T00:00:00"/>
    <x v="0"/>
    <n v="39"/>
    <s v="month"/>
    <n v="213"/>
    <s v="Sunday"/>
  </r>
  <r>
    <x v="30"/>
    <d v="2022-09-04T00:00:00"/>
    <d v="2023-04-16T00:00:00"/>
    <x v="0"/>
    <n v="39"/>
    <s v="month"/>
    <n v="224"/>
    <s v="Sunday"/>
  </r>
  <r>
    <x v="31"/>
    <d v="2022-09-04T00:00:00"/>
    <d v="2022-09-22T00:00:00"/>
    <x v="0"/>
    <n v="39"/>
    <s v="month"/>
    <n v="18"/>
    <s v="Sunday"/>
  </r>
  <r>
    <x v="32"/>
    <d v="2022-09-04T00:00:00"/>
    <d v="2023-01-15T00:00:00"/>
    <x v="0"/>
    <n v="39"/>
    <s v="month"/>
    <n v="133"/>
    <s v="Sunday"/>
  </r>
  <r>
    <x v="33"/>
    <d v="2022-09-04T00:00:00"/>
    <d v="2023-02-19T00:00:00"/>
    <x v="0"/>
    <n v="39"/>
    <s v="month"/>
    <n v="168"/>
    <s v="Sunday"/>
  </r>
  <r>
    <x v="34"/>
    <d v="2022-09-04T00:00:00"/>
    <d v="2022-11-02T00:00:00"/>
    <x v="0"/>
    <n v="39"/>
    <s v="month"/>
    <n v="59"/>
    <s v="Sunday"/>
  </r>
  <r>
    <x v="35"/>
    <d v="2022-09-04T00:00:00"/>
    <d v="2022-11-01T00:00:00"/>
    <x v="0"/>
    <n v="39"/>
    <s v="month"/>
    <n v="58"/>
    <s v="Sunday"/>
  </r>
  <r>
    <x v="36"/>
    <d v="2022-09-04T00:00:00"/>
    <d v="2022-10-11T00:00:00"/>
    <x v="0"/>
    <n v="39"/>
    <s v="month"/>
    <n v="37"/>
    <s v="Sunday"/>
  </r>
  <r>
    <x v="37"/>
    <d v="2022-09-05T00:00:00"/>
    <m/>
    <x v="0"/>
    <n v="39"/>
    <s v="month"/>
    <s v=""/>
    <s v="Monday"/>
  </r>
  <r>
    <x v="38"/>
    <d v="2022-09-05T00:00:00"/>
    <d v="2022-09-06T00:00:00"/>
    <x v="0"/>
    <n v="39"/>
    <s v="month"/>
    <n v="1"/>
    <s v="Monday"/>
  </r>
  <r>
    <x v="39"/>
    <d v="2022-09-05T00:00:00"/>
    <d v="2022-10-06T00:00:00"/>
    <x v="0"/>
    <n v="39"/>
    <s v="month"/>
    <n v="31"/>
    <s v="Monday"/>
  </r>
  <r>
    <x v="40"/>
    <d v="2022-09-05T00:00:00"/>
    <d v="2023-03-13T00:00:00"/>
    <x v="0"/>
    <n v="39"/>
    <s v="month"/>
    <n v="189"/>
    <s v="Monday"/>
  </r>
  <r>
    <x v="41"/>
    <d v="2022-09-05T00:00:00"/>
    <d v="2023-03-13T00:00:00"/>
    <x v="0"/>
    <n v="39"/>
    <s v="month"/>
    <n v="189"/>
    <s v="Monday"/>
  </r>
  <r>
    <x v="42"/>
    <d v="2022-09-05T00:00:00"/>
    <d v="2023-03-12T00:00:00"/>
    <x v="0"/>
    <n v="39"/>
    <s v="month"/>
    <n v="188"/>
    <s v="Monday"/>
  </r>
  <r>
    <x v="43"/>
    <d v="2022-09-05T00:00:00"/>
    <d v="2023-01-03T00:00:00"/>
    <x v="0"/>
    <n v="39"/>
    <s v="month"/>
    <n v="120"/>
    <s v="Monday"/>
  </r>
  <r>
    <x v="44"/>
    <d v="2022-09-05T00:00:00"/>
    <d v="2023-02-08T00:00:00"/>
    <x v="0"/>
    <n v="39"/>
    <s v="month"/>
    <n v="156"/>
    <s v="Monday"/>
  </r>
  <r>
    <x v="45"/>
    <d v="2022-09-05T00:00:00"/>
    <d v="2023-02-08T00:00:00"/>
    <x v="0"/>
    <n v="39"/>
    <s v="month"/>
    <n v="156"/>
    <s v="Monday"/>
  </r>
  <r>
    <x v="46"/>
    <d v="2022-09-05T00:00:00"/>
    <d v="2022-12-12T00:00:00"/>
    <x v="0"/>
    <n v="39"/>
    <s v="month"/>
    <n v="98"/>
    <s v="Monday"/>
  </r>
  <r>
    <x v="47"/>
    <d v="2022-09-05T00:00:00"/>
    <d v="2022-12-12T00:00:00"/>
    <x v="0"/>
    <n v="39"/>
    <s v="month"/>
    <n v="98"/>
    <s v="Monday"/>
  </r>
  <r>
    <x v="48"/>
    <d v="2022-09-05T00:00:00"/>
    <d v="2022-11-26T00:00:00"/>
    <x v="0"/>
    <n v="39"/>
    <s v="month"/>
    <n v="82"/>
    <s v="Monday"/>
  </r>
  <r>
    <x v="49"/>
    <d v="2022-09-05T00:00:00"/>
    <d v="2022-10-19T00:00:00"/>
    <x v="0"/>
    <n v="39"/>
    <s v="month"/>
    <n v="44"/>
    <s v="Monday"/>
  </r>
  <r>
    <x v="50"/>
    <d v="2022-09-05T00:00:00"/>
    <d v="2022-10-05T00:00:00"/>
    <x v="0"/>
    <n v="39"/>
    <s v="month"/>
    <n v="30"/>
    <s v="Monday"/>
  </r>
  <r>
    <x v="51"/>
    <d v="2022-09-05T00:00:00"/>
    <d v="2022-10-09T00:00:00"/>
    <x v="0"/>
    <n v="39"/>
    <s v="month"/>
    <n v="34"/>
    <s v="Monday"/>
  </r>
  <r>
    <x v="52"/>
    <d v="2022-09-05T00:00:00"/>
    <d v="2022-10-12T00:00:00"/>
    <x v="0"/>
    <n v="39"/>
    <s v="month"/>
    <n v="37"/>
    <s v="Monday"/>
  </r>
  <r>
    <x v="53"/>
    <d v="2022-09-05T00:00:00"/>
    <d v="2022-10-05T00:00:00"/>
    <x v="0"/>
    <n v="39"/>
    <s v="month"/>
    <n v="30"/>
    <s v="Monday"/>
  </r>
  <r>
    <x v="54"/>
    <d v="2022-09-05T00:00:00"/>
    <d v="2022-09-09T00:00:00"/>
    <x v="0"/>
    <n v="39"/>
    <s v="month"/>
    <n v="4"/>
    <s v="Monday"/>
  </r>
  <r>
    <x v="55"/>
    <d v="2022-09-06T00:00:00"/>
    <m/>
    <x v="0"/>
    <n v="39"/>
    <s v="month"/>
    <s v=""/>
    <s v="Tuesday"/>
  </r>
  <r>
    <x v="56"/>
    <d v="2022-09-06T00:00:00"/>
    <m/>
    <x v="0"/>
    <n v="39"/>
    <s v="month"/>
    <s v=""/>
    <s v="Tuesday"/>
  </r>
  <r>
    <x v="57"/>
    <d v="2022-09-06T00:00:00"/>
    <d v="2022-11-20T00:00:00"/>
    <x v="0"/>
    <n v="39"/>
    <s v="month"/>
    <n v="75"/>
    <s v="Tuesday"/>
  </r>
  <r>
    <x v="58"/>
    <d v="2022-09-06T00:00:00"/>
    <d v="2022-11-13T00:00:00"/>
    <x v="0"/>
    <n v="39"/>
    <s v="month"/>
    <n v="68"/>
    <s v="Tuesday"/>
  </r>
  <r>
    <x v="59"/>
    <d v="2022-09-06T00:00:00"/>
    <d v="2022-10-13T00:00:00"/>
    <x v="0"/>
    <n v="39"/>
    <s v="month"/>
    <n v="37"/>
    <s v="Tuesday"/>
  </r>
  <r>
    <x v="60"/>
    <d v="2022-09-06T00:00:00"/>
    <d v="2022-10-13T00:00:00"/>
    <x v="0"/>
    <n v="39"/>
    <s v="month"/>
    <n v="37"/>
    <s v="Tuesday"/>
  </r>
  <r>
    <x v="61"/>
    <d v="2022-09-06T00:00:00"/>
    <d v="2022-09-26T00:00:00"/>
    <x v="0"/>
    <n v="39"/>
    <s v="month"/>
    <n v="20"/>
    <s v="Tuesday"/>
  </r>
  <r>
    <x v="28"/>
    <d v="2022-09-06T00:00:00"/>
    <d v="2022-09-28T00:00:00"/>
    <x v="0"/>
    <n v="39"/>
    <s v="month"/>
    <n v="22"/>
    <s v="Tuesday"/>
  </r>
  <r>
    <x v="62"/>
    <d v="2022-09-07T00:00:00"/>
    <m/>
    <x v="0"/>
    <n v="39"/>
    <s v="month"/>
    <s v=""/>
    <s v="Wednesday"/>
  </r>
  <r>
    <x v="63"/>
    <d v="2022-09-07T00:00:00"/>
    <m/>
    <x v="0"/>
    <n v="39"/>
    <s v="month"/>
    <s v=""/>
    <s v="Wednesday"/>
  </r>
  <r>
    <x v="64"/>
    <d v="2022-09-07T00:00:00"/>
    <d v="2023-05-25T00:00:00"/>
    <x v="0"/>
    <n v="39"/>
    <s v="month"/>
    <n v="260"/>
    <s v="Wednesday"/>
  </r>
  <r>
    <x v="65"/>
    <d v="2022-09-07T00:00:00"/>
    <d v="2023-02-22T00:00:00"/>
    <x v="0"/>
    <n v="39"/>
    <s v="month"/>
    <n v="168"/>
    <s v="Wednesday"/>
  </r>
  <r>
    <x v="66"/>
    <d v="2022-09-07T00:00:00"/>
    <d v="2022-09-14T00:00:00"/>
    <x v="0"/>
    <n v="39"/>
    <s v="month"/>
    <n v="7"/>
    <s v="Wednesday"/>
  </r>
  <r>
    <x v="67"/>
    <d v="2022-09-08T00:00:00"/>
    <m/>
    <x v="0"/>
    <n v="39"/>
    <s v="month"/>
    <s v=""/>
    <s v="Thursday"/>
  </r>
  <r>
    <x v="68"/>
    <d v="2022-09-08T00:00:00"/>
    <d v="2022-10-28T00:00:00"/>
    <x v="0"/>
    <n v="39"/>
    <s v="month"/>
    <n v="50"/>
    <s v="Thursday"/>
  </r>
  <r>
    <x v="69"/>
    <d v="2022-09-08T00:00:00"/>
    <d v="2022-10-15T00:00:00"/>
    <x v="0"/>
    <n v="39"/>
    <s v="month"/>
    <n v="37"/>
    <s v="Thursday"/>
  </r>
  <r>
    <x v="70"/>
    <d v="2022-09-08T00:00:00"/>
    <d v="2022-10-06T00:00:00"/>
    <x v="0"/>
    <n v="39"/>
    <s v="month"/>
    <n v="28"/>
    <s v="Thursday"/>
  </r>
  <r>
    <x v="71"/>
    <d v="2022-09-08T00:00:00"/>
    <d v="2022-09-09T00:00:00"/>
    <x v="0"/>
    <n v="39"/>
    <s v="month"/>
    <n v="1"/>
    <s v="Thursday"/>
  </r>
  <r>
    <x v="72"/>
    <d v="2022-09-09T00:00:00"/>
    <d v="2023-03-01T00:00:00"/>
    <x v="0"/>
    <n v="39"/>
    <s v="month"/>
    <n v="173"/>
    <s v="Friday"/>
  </r>
  <r>
    <x v="73"/>
    <d v="2022-09-09T00:00:00"/>
    <d v="2022-12-02T00:00:00"/>
    <x v="0"/>
    <n v="39"/>
    <s v="month"/>
    <n v="84"/>
    <s v="Friday"/>
  </r>
  <r>
    <x v="74"/>
    <d v="2022-09-09T00:00:00"/>
    <d v="2022-11-03T00:00:00"/>
    <x v="0"/>
    <n v="39"/>
    <s v="month"/>
    <n v="55"/>
    <s v="Friday"/>
  </r>
  <r>
    <x v="75"/>
    <d v="2022-09-09T00:00:00"/>
    <d v="2022-10-09T00:00:00"/>
    <x v="0"/>
    <n v="39"/>
    <s v="month"/>
    <n v="30"/>
    <s v="Friday"/>
  </r>
  <r>
    <x v="76"/>
    <d v="2022-09-09T00:00:00"/>
    <d v="2022-10-03T00:00:00"/>
    <x v="0"/>
    <n v="39"/>
    <s v="month"/>
    <n v="24"/>
    <s v="Friday"/>
  </r>
  <r>
    <x v="77"/>
    <d v="2022-09-09T00:00:00"/>
    <d v="2022-10-16T00:00:00"/>
    <x v="0"/>
    <n v="39"/>
    <s v="month"/>
    <n v="37"/>
    <s v="Friday"/>
  </r>
  <r>
    <x v="78"/>
    <d v="2022-09-09T00:00:00"/>
    <d v="2023-08-16T00:00:00"/>
    <x v="0"/>
    <n v="39"/>
    <s v="month"/>
    <n v="341"/>
    <s v="Friday"/>
  </r>
  <r>
    <x v="79"/>
    <d v="2022-09-10T00:00:00"/>
    <m/>
    <x v="0"/>
    <n v="39"/>
    <s v="month"/>
    <s v=""/>
    <s v="Saturday"/>
  </r>
  <r>
    <x v="80"/>
    <d v="2022-09-10T00:00:00"/>
    <d v="2023-02-21T00:00:00"/>
    <x v="0"/>
    <n v="39"/>
    <s v="month"/>
    <n v="164"/>
    <s v="Saturday"/>
  </r>
  <r>
    <x v="81"/>
    <d v="2022-09-10T00:00:00"/>
    <d v="2022-12-12T00:00:00"/>
    <x v="0"/>
    <n v="39"/>
    <s v="month"/>
    <n v="93"/>
    <s v="Saturday"/>
  </r>
  <r>
    <x v="82"/>
    <d v="2022-09-10T00:00:00"/>
    <d v="2022-10-12T00:00:00"/>
    <x v="0"/>
    <n v="39"/>
    <s v="month"/>
    <n v="32"/>
    <s v="Saturday"/>
  </r>
  <r>
    <x v="83"/>
    <d v="2022-09-10T00:00:00"/>
    <d v="2022-10-08T00:00:00"/>
    <x v="0"/>
    <n v="39"/>
    <s v="month"/>
    <n v="28"/>
    <s v="Saturday"/>
  </r>
  <r>
    <x v="84"/>
    <d v="2022-09-10T00:00:00"/>
    <d v="2022-10-06T00:00:00"/>
    <x v="0"/>
    <n v="39"/>
    <s v="month"/>
    <n v="26"/>
    <s v="Saturday"/>
  </r>
  <r>
    <x v="85"/>
    <d v="2022-09-11T00:00:00"/>
    <d v="2023-05-16T00:00:00"/>
    <x v="0"/>
    <n v="39"/>
    <s v="month"/>
    <n v="247"/>
    <s v="Sunday"/>
  </r>
  <r>
    <x v="86"/>
    <d v="2022-09-11T00:00:00"/>
    <d v="2023-02-15T00:00:00"/>
    <x v="0"/>
    <n v="39"/>
    <s v="month"/>
    <n v="157"/>
    <s v="Sunday"/>
  </r>
  <r>
    <x v="87"/>
    <d v="2022-09-11T00:00:00"/>
    <d v="2022-12-11T00:00:00"/>
    <x v="0"/>
    <n v="39"/>
    <s v="month"/>
    <n v="91"/>
    <s v="Sunday"/>
  </r>
  <r>
    <x v="88"/>
    <d v="2022-09-11T00:00:00"/>
    <d v="2022-12-24T00:00:00"/>
    <x v="0"/>
    <n v="39"/>
    <s v="month"/>
    <n v="104"/>
    <s v="Sunday"/>
  </r>
  <r>
    <x v="89"/>
    <d v="2022-09-11T00:00:00"/>
    <d v="2022-11-02T00:00:00"/>
    <x v="0"/>
    <n v="39"/>
    <s v="month"/>
    <n v="52"/>
    <s v="Sunday"/>
  </r>
  <r>
    <x v="90"/>
    <d v="2022-09-11T00:00:00"/>
    <d v="2022-10-15T00:00:00"/>
    <x v="0"/>
    <n v="39"/>
    <s v="month"/>
    <n v="34"/>
    <s v="Sunday"/>
  </r>
  <r>
    <x v="91"/>
    <d v="2022-09-11T00:00:00"/>
    <d v="2022-10-11T00:00:00"/>
    <x v="0"/>
    <n v="39"/>
    <s v="month"/>
    <n v="30"/>
    <s v="Sunday"/>
  </r>
  <r>
    <x v="92"/>
    <d v="2022-09-11T00:00:00"/>
    <d v="2022-09-11T00:00:00"/>
    <x v="0"/>
    <n v="39"/>
    <s v="month"/>
    <n v="0"/>
    <s v="Sunday"/>
  </r>
  <r>
    <x v="93"/>
    <d v="2022-09-11T00:00:00"/>
    <d v="2023-08-18T00:00:00"/>
    <x v="0"/>
    <n v="39"/>
    <s v="month"/>
    <n v="341"/>
    <s v="Sunday"/>
  </r>
  <r>
    <x v="94"/>
    <d v="2022-09-12T00:00:00"/>
    <d v="2022-09-12T00:00:00"/>
    <x v="0"/>
    <n v="39"/>
    <s v="month"/>
    <n v="0"/>
    <s v="Monday"/>
  </r>
  <r>
    <x v="95"/>
    <d v="2022-09-12T00:00:00"/>
    <d v="2022-09-13T00:00:00"/>
    <x v="1"/>
    <n v="39"/>
    <s v="month"/>
    <n v="1"/>
    <s v="Monday"/>
  </r>
  <r>
    <x v="96"/>
    <d v="2022-09-12T00:00:00"/>
    <d v="2022-10-19T00:00:00"/>
    <x v="0"/>
    <n v="39"/>
    <s v="month"/>
    <n v="37"/>
    <s v="Monday"/>
  </r>
  <r>
    <x v="97"/>
    <d v="2022-09-12T00:00:00"/>
    <d v="2022-10-12T00:00:00"/>
    <x v="0"/>
    <n v="39"/>
    <s v="month"/>
    <n v="30"/>
    <s v="Monday"/>
  </r>
  <r>
    <x v="98"/>
    <d v="2022-09-13T00:00:00"/>
    <d v="2023-08-27T00:00:00"/>
    <x v="0"/>
    <n v="39"/>
    <s v="month"/>
    <n v="348"/>
    <s v="Tuesday"/>
  </r>
  <r>
    <x v="99"/>
    <d v="2022-09-13T00:00:00"/>
    <d v="2022-09-14T00:00:00"/>
    <x v="0"/>
    <n v="39"/>
    <s v="month"/>
    <n v="1"/>
    <s v="Tuesday"/>
  </r>
  <r>
    <x v="100"/>
    <d v="2022-09-13T00:00:00"/>
    <d v="2022-10-23T00:00:00"/>
    <x v="0"/>
    <n v="39"/>
    <s v="month"/>
    <n v="40"/>
    <s v="Tuesday"/>
  </r>
  <r>
    <x v="101"/>
    <d v="2022-09-13T00:00:00"/>
    <d v="2022-10-03T00:00:00"/>
    <x v="0"/>
    <n v="39"/>
    <s v="month"/>
    <n v="20"/>
    <s v="Tuesday"/>
  </r>
  <r>
    <x v="102"/>
    <d v="2022-09-13T00:00:00"/>
    <d v="2022-09-17T00:00:00"/>
    <x v="0"/>
    <n v="39"/>
    <s v="month"/>
    <n v="4"/>
    <s v="Tuesday"/>
  </r>
  <r>
    <x v="103"/>
    <d v="2022-09-13T00:00:00"/>
    <d v="2023-06-14T00:00:00"/>
    <x v="0"/>
    <n v="39"/>
    <s v="month"/>
    <n v="274"/>
    <s v="Tuesday"/>
  </r>
  <r>
    <x v="104"/>
    <d v="2022-09-14T00:00:00"/>
    <d v="2022-09-15T00:00:00"/>
    <x v="1"/>
    <n v="39"/>
    <s v="month"/>
    <n v="1"/>
    <s v="Wednesday"/>
  </r>
  <r>
    <x v="105"/>
    <d v="2022-09-14T00:00:00"/>
    <d v="2023-03-06T00:00:00"/>
    <x v="0"/>
    <n v="39"/>
    <s v="month"/>
    <n v="173"/>
    <s v="Wednesday"/>
  </r>
  <r>
    <x v="106"/>
    <d v="2022-09-14T00:00:00"/>
    <d v="2022-12-07T00:00:00"/>
    <x v="0"/>
    <n v="39"/>
    <s v="month"/>
    <n v="84"/>
    <s v="Wednesday"/>
  </r>
  <r>
    <x v="107"/>
    <d v="2022-09-14T00:00:00"/>
    <d v="2022-10-21T00:00:00"/>
    <x v="0"/>
    <n v="39"/>
    <s v="month"/>
    <n v="37"/>
    <s v="Wednesday"/>
  </r>
  <r>
    <x v="108"/>
    <d v="2022-09-15T00:00:00"/>
    <m/>
    <x v="0"/>
    <n v="39"/>
    <s v="month"/>
    <s v=""/>
    <s v="Thursday"/>
  </r>
  <r>
    <x v="109"/>
    <d v="2022-09-15T00:00:00"/>
    <d v="2022-09-15T00:00:00"/>
    <x v="1"/>
    <n v="39"/>
    <s v="month"/>
    <n v="0"/>
    <s v="Thursday"/>
  </r>
  <r>
    <x v="110"/>
    <d v="2022-09-15T00:00:00"/>
    <d v="2023-03-06T00:00:00"/>
    <x v="0"/>
    <n v="39"/>
    <s v="month"/>
    <n v="172"/>
    <s v="Thursday"/>
  </r>
  <r>
    <x v="111"/>
    <d v="2022-09-15T00:00:00"/>
    <d v="2023-06-01T00:00:00"/>
    <x v="0"/>
    <n v="39"/>
    <s v="month"/>
    <n v="259"/>
    <s v="Thursday"/>
  </r>
  <r>
    <x v="112"/>
    <d v="2022-09-15T00:00:00"/>
    <d v="2022-11-28T00:00:00"/>
    <x v="0"/>
    <n v="39"/>
    <s v="month"/>
    <n v="74"/>
    <s v="Thursday"/>
  </r>
  <r>
    <x v="113"/>
    <d v="2022-09-15T00:00:00"/>
    <d v="2022-11-08T00:00:00"/>
    <x v="0"/>
    <n v="39"/>
    <s v="month"/>
    <n v="54"/>
    <s v="Thursday"/>
  </r>
  <r>
    <x v="114"/>
    <d v="2022-09-15T00:00:00"/>
    <d v="2022-11-14T00:00:00"/>
    <x v="0"/>
    <n v="39"/>
    <s v="month"/>
    <n v="60"/>
    <s v="Thursday"/>
  </r>
  <r>
    <x v="38"/>
    <d v="2022-09-15T00:00:00"/>
    <d v="2022-10-22T00:00:00"/>
    <x v="0"/>
    <n v="39"/>
    <s v="month"/>
    <n v="37"/>
    <s v="Thursday"/>
  </r>
  <r>
    <x v="115"/>
    <d v="2022-09-15T00:00:00"/>
    <d v="2022-10-12T00:00:00"/>
    <x v="0"/>
    <n v="39"/>
    <s v="month"/>
    <n v="27"/>
    <s v="Thursday"/>
  </r>
  <r>
    <x v="116"/>
    <d v="2022-09-15T00:00:00"/>
    <d v="2022-10-13T00:00:00"/>
    <x v="0"/>
    <n v="39"/>
    <s v="month"/>
    <n v="28"/>
    <s v="Thursday"/>
  </r>
  <r>
    <x v="117"/>
    <d v="2022-09-15T00:00:00"/>
    <d v="2022-10-11T00:00:00"/>
    <x v="0"/>
    <n v="39"/>
    <s v="month"/>
    <n v="26"/>
    <s v="Thursday"/>
  </r>
  <r>
    <x v="118"/>
    <d v="2022-09-15T00:00:00"/>
    <d v="2022-09-29T00:00:00"/>
    <x v="0"/>
    <n v="39"/>
    <s v="month"/>
    <n v="14"/>
    <s v="Thursday"/>
  </r>
  <r>
    <x v="119"/>
    <d v="2022-09-15T00:00:00"/>
    <d v="2022-09-23T00:00:00"/>
    <x v="0"/>
    <n v="39"/>
    <s v="month"/>
    <n v="8"/>
    <s v="Thursday"/>
  </r>
  <r>
    <x v="120"/>
    <d v="2022-09-16T00:00:00"/>
    <m/>
    <x v="0"/>
    <n v="39"/>
    <s v="month"/>
    <s v=""/>
    <s v="Friday"/>
  </r>
  <r>
    <x v="121"/>
    <d v="2022-09-16T00:00:00"/>
    <d v="2023-03-23T00:00:00"/>
    <x v="0"/>
    <n v="39"/>
    <s v="month"/>
    <n v="188"/>
    <s v="Friday"/>
  </r>
  <r>
    <x v="122"/>
    <d v="2022-09-16T00:00:00"/>
    <d v="2023-04-10T00:00:00"/>
    <x v="0"/>
    <n v="39"/>
    <s v="month"/>
    <n v="206"/>
    <s v="Friday"/>
  </r>
  <r>
    <x v="123"/>
    <d v="2022-09-16T00:00:00"/>
    <d v="2023-01-05T00:00:00"/>
    <x v="0"/>
    <n v="39"/>
    <s v="month"/>
    <n v="111"/>
    <s v="Friday"/>
  </r>
  <r>
    <x v="124"/>
    <d v="2022-09-16T00:00:00"/>
    <d v="2022-12-22T00:00:00"/>
    <x v="0"/>
    <n v="39"/>
    <s v="month"/>
    <n v="97"/>
    <s v="Friday"/>
  </r>
  <r>
    <x v="125"/>
    <d v="2022-09-16T00:00:00"/>
    <d v="2022-10-04T00:00:00"/>
    <x v="0"/>
    <n v="39"/>
    <s v="month"/>
    <n v="18"/>
    <s v="Friday"/>
  </r>
  <r>
    <x v="126"/>
    <d v="2022-09-17T00:00:00"/>
    <m/>
    <x v="0"/>
    <n v="39"/>
    <s v="month"/>
    <s v=""/>
    <s v="Saturday"/>
  </r>
  <r>
    <x v="127"/>
    <d v="2022-09-17T00:00:00"/>
    <d v="2023-05-12T00:00:00"/>
    <x v="0"/>
    <n v="39"/>
    <s v="month"/>
    <n v="237"/>
    <s v="Saturday"/>
  </r>
  <r>
    <x v="128"/>
    <d v="2022-09-17T00:00:00"/>
    <d v="2023-01-14T00:00:00"/>
    <x v="0"/>
    <n v="39"/>
    <s v="month"/>
    <n v="119"/>
    <s v="Saturday"/>
  </r>
  <r>
    <x v="129"/>
    <d v="2022-09-17T00:00:00"/>
    <d v="2022-10-18T00:00:00"/>
    <x v="0"/>
    <n v="39"/>
    <s v="month"/>
    <n v="31"/>
    <s v="Saturday"/>
  </r>
  <r>
    <x v="130"/>
    <d v="2022-09-18T00:00:00"/>
    <d v="2023-01-25T00:00:00"/>
    <x v="0"/>
    <n v="39"/>
    <s v="month"/>
    <n v="129"/>
    <s v="Sunday"/>
  </r>
  <r>
    <x v="131"/>
    <d v="2022-09-18T00:00:00"/>
    <d v="2022-11-21T00:00:00"/>
    <x v="0"/>
    <n v="39"/>
    <s v="month"/>
    <n v="64"/>
    <s v="Sunday"/>
  </r>
  <r>
    <x v="132"/>
    <d v="2022-09-18T00:00:00"/>
    <d v="2022-12-08T00:00:00"/>
    <x v="0"/>
    <n v="39"/>
    <s v="month"/>
    <n v="81"/>
    <s v="Sunday"/>
  </r>
  <r>
    <x v="133"/>
    <d v="2022-09-18T00:00:00"/>
    <d v="2022-11-12T00:00:00"/>
    <x v="0"/>
    <n v="39"/>
    <s v="month"/>
    <n v="55"/>
    <s v="Sunday"/>
  </r>
  <r>
    <x v="134"/>
    <d v="2022-09-18T00:00:00"/>
    <d v="2022-09-30T00:00:00"/>
    <x v="0"/>
    <n v="39"/>
    <s v="month"/>
    <n v="12"/>
    <s v="Sunday"/>
  </r>
  <r>
    <x v="135"/>
    <d v="2022-09-18T00:00:00"/>
    <d v="2022-10-17T00:00:00"/>
    <x v="0"/>
    <n v="39"/>
    <s v="month"/>
    <n v="29"/>
    <s v="Sunday"/>
  </r>
  <r>
    <x v="136"/>
    <d v="2022-09-19T00:00:00"/>
    <d v="2022-10-17T00:00:00"/>
    <x v="1"/>
    <n v="39"/>
    <s v="month"/>
    <n v="28"/>
    <s v="Monday"/>
  </r>
  <r>
    <x v="137"/>
    <d v="2022-09-19T00:00:00"/>
    <d v="2022-09-19T00:00:00"/>
    <x v="0"/>
    <n v="39"/>
    <s v="month"/>
    <n v="0"/>
    <s v="Monday"/>
  </r>
  <r>
    <x v="138"/>
    <d v="2022-09-19T00:00:00"/>
    <d v="2023-02-10T00:00:00"/>
    <x v="0"/>
    <n v="39"/>
    <s v="month"/>
    <n v="144"/>
    <s v="Monday"/>
  </r>
  <r>
    <x v="139"/>
    <d v="2022-09-19T00:00:00"/>
    <d v="2023-02-19T00:00:00"/>
    <x v="0"/>
    <n v="39"/>
    <s v="month"/>
    <n v="153"/>
    <s v="Monday"/>
  </r>
  <r>
    <x v="140"/>
    <d v="2022-09-19T00:00:00"/>
    <d v="2022-12-17T00:00:00"/>
    <x v="0"/>
    <n v="39"/>
    <s v="month"/>
    <n v="89"/>
    <s v="Monday"/>
  </r>
  <r>
    <x v="141"/>
    <d v="2022-09-19T00:00:00"/>
    <d v="2022-12-14T00:00:00"/>
    <x v="0"/>
    <n v="39"/>
    <s v="month"/>
    <n v="86"/>
    <s v="Monday"/>
  </r>
  <r>
    <x v="142"/>
    <d v="2022-09-19T00:00:00"/>
    <d v="2022-09-19T00:00:00"/>
    <x v="0"/>
    <n v="39"/>
    <s v="month"/>
    <n v="0"/>
    <s v="Monday"/>
  </r>
  <r>
    <x v="143"/>
    <d v="2022-09-19T00:00:00"/>
    <d v="2022-10-18T00:00:00"/>
    <x v="0"/>
    <n v="39"/>
    <s v="month"/>
    <n v="29"/>
    <s v="Monday"/>
  </r>
  <r>
    <x v="144"/>
    <d v="2022-09-19T00:00:00"/>
    <d v="2022-10-20T00:00:00"/>
    <x v="0"/>
    <n v="39"/>
    <s v="month"/>
    <n v="31"/>
    <s v="Monday"/>
  </r>
  <r>
    <x v="145"/>
    <d v="2022-09-19T00:00:00"/>
    <d v="2022-10-18T00:00:00"/>
    <x v="0"/>
    <n v="39"/>
    <s v="month"/>
    <n v="29"/>
    <s v="Monday"/>
  </r>
  <r>
    <x v="146"/>
    <d v="2022-09-20T00:00:00"/>
    <m/>
    <x v="0"/>
    <n v="39"/>
    <s v="month"/>
    <s v=""/>
    <s v="Tuesday"/>
  </r>
  <r>
    <x v="147"/>
    <d v="2022-09-20T00:00:00"/>
    <d v="2023-03-27T00:00:00"/>
    <x v="0"/>
    <n v="39"/>
    <s v="month"/>
    <n v="188"/>
    <s v="Tuesday"/>
  </r>
  <r>
    <x v="148"/>
    <d v="2022-09-20T00:00:00"/>
    <d v="2023-05-09T00:00:00"/>
    <x v="0"/>
    <n v="39"/>
    <s v="month"/>
    <n v="231"/>
    <s v="Tuesday"/>
  </r>
  <r>
    <x v="149"/>
    <d v="2022-09-20T00:00:00"/>
    <d v="2022-12-21T00:00:00"/>
    <x v="0"/>
    <n v="39"/>
    <s v="month"/>
    <n v="92"/>
    <s v="Tuesday"/>
  </r>
  <r>
    <x v="150"/>
    <d v="2022-09-20T00:00:00"/>
    <d v="2022-11-08T00:00:00"/>
    <x v="0"/>
    <n v="39"/>
    <s v="month"/>
    <n v="49"/>
    <s v="Tuesday"/>
  </r>
  <r>
    <x v="151"/>
    <d v="2022-09-20T00:00:00"/>
    <d v="2022-09-30T00:00:00"/>
    <x v="0"/>
    <n v="39"/>
    <s v="month"/>
    <n v="10"/>
    <s v="Tuesday"/>
  </r>
  <r>
    <x v="152"/>
    <d v="2022-09-20T00:00:00"/>
    <d v="2022-10-31T00:00:00"/>
    <x v="0"/>
    <n v="39"/>
    <s v="month"/>
    <n v="41"/>
    <s v="Tuesday"/>
  </r>
  <r>
    <x v="153"/>
    <d v="2022-09-20T00:00:00"/>
    <d v="2023-08-08T00:00:00"/>
    <x v="0"/>
    <n v="39"/>
    <s v="month"/>
    <n v="322"/>
    <s v="Tuesday"/>
  </r>
  <r>
    <x v="154"/>
    <d v="2022-09-21T00:00:00"/>
    <d v="2023-06-28T00:00:00"/>
    <x v="0"/>
    <n v="39"/>
    <s v="month"/>
    <n v="280"/>
    <s v="Wednesday"/>
  </r>
  <r>
    <x v="155"/>
    <d v="2022-09-21T00:00:00"/>
    <d v="2022-12-06T00:00:00"/>
    <x v="0"/>
    <n v="39"/>
    <s v="month"/>
    <n v="76"/>
    <s v="Wednesday"/>
  </r>
  <r>
    <x v="156"/>
    <d v="2022-09-21T00:00:00"/>
    <d v="2022-11-14T00:00:00"/>
    <x v="0"/>
    <n v="39"/>
    <s v="month"/>
    <n v="54"/>
    <s v="Wednesday"/>
  </r>
  <r>
    <x v="157"/>
    <d v="2022-09-21T00:00:00"/>
    <d v="2022-10-03T00:00:00"/>
    <x v="0"/>
    <n v="39"/>
    <s v="month"/>
    <n v="12"/>
    <s v="Wednesday"/>
  </r>
  <r>
    <x v="158"/>
    <d v="2022-09-22T00:00:00"/>
    <m/>
    <x v="0"/>
    <n v="39"/>
    <s v="month"/>
    <s v=""/>
    <s v="Thursday"/>
  </r>
  <r>
    <x v="159"/>
    <d v="2022-09-22T00:00:00"/>
    <d v="2023-05-02T00:00:00"/>
    <x v="0"/>
    <n v="39"/>
    <s v="month"/>
    <n v="222"/>
    <s v="Thursday"/>
  </r>
  <r>
    <x v="160"/>
    <d v="2022-09-22T00:00:00"/>
    <d v="2022-11-15T00:00:00"/>
    <x v="0"/>
    <n v="39"/>
    <s v="month"/>
    <n v="54"/>
    <s v="Thursday"/>
  </r>
  <r>
    <x v="161"/>
    <d v="2022-09-22T00:00:00"/>
    <d v="2022-10-29T00:00:00"/>
    <x v="0"/>
    <n v="39"/>
    <s v="month"/>
    <n v="37"/>
    <s v="Thursday"/>
  </r>
  <r>
    <x v="162"/>
    <d v="2022-09-22T00:00:00"/>
    <d v="2022-10-21T00:00:00"/>
    <x v="0"/>
    <n v="39"/>
    <s v="month"/>
    <n v="29"/>
    <s v="Thursday"/>
  </r>
  <r>
    <x v="163"/>
    <d v="2022-09-22T00:00:00"/>
    <d v="2022-10-29T00:00:00"/>
    <x v="0"/>
    <n v="39"/>
    <s v="month"/>
    <n v="37"/>
    <s v="Thursday"/>
  </r>
  <r>
    <x v="164"/>
    <d v="2022-09-23T00:00:00"/>
    <m/>
    <x v="0"/>
    <n v="39"/>
    <s v="month"/>
    <s v=""/>
    <s v="Friday"/>
  </r>
  <r>
    <x v="165"/>
    <d v="2022-09-23T00:00:00"/>
    <d v="2023-01-16T00:00:00"/>
    <x v="0"/>
    <n v="39"/>
    <s v="month"/>
    <n v="115"/>
    <s v="Friday"/>
  </r>
  <r>
    <x v="166"/>
    <d v="2022-09-23T00:00:00"/>
    <d v="2023-01-21T00:00:00"/>
    <x v="0"/>
    <n v="39"/>
    <s v="month"/>
    <n v="120"/>
    <s v="Friday"/>
  </r>
  <r>
    <x v="167"/>
    <d v="2022-09-23T00:00:00"/>
    <d v="2022-10-19T00:00:00"/>
    <x v="0"/>
    <n v="39"/>
    <s v="month"/>
    <n v="26"/>
    <s v="Friday"/>
  </r>
  <r>
    <x v="20"/>
    <d v="2022-09-23T00:00:00"/>
    <d v="2022-11-30T00:00:00"/>
    <x v="0"/>
    <n v="39"/>
    <s v="month"/>
    <n v="68"/>
    <s v="Friday"/>
  </r>
  <r>
    <x v="168"/>
    <d v="2022-09-23T00:00:00"/>
    <d v="2022-10-14T00:00:00"/>
    <x v="0"/>
    <n v="39"/>
    <s v="month"/>
    <n v="21"/>
    <s v="Friday"/>
  </r>
  <r>
    <x v="169"/>
    <d v="2022-09-23T00:00:00"/>
    <d v="2022-10-30T00:00:00"/>
    <x v="0"/>
    <n v="39"/>
    <s v="month"/>
    <n v="37"/>
    <s v="Friday"/>
  </r>
  <r>
    <x v="170"/>
    <d v="2022-09-24T00:00:00"/>
    <d v="2022-12-01T00:00:00"/>
    <x v="0"/>
    <n v="39"/>
    <s v="month"/>
    <n v="68"/>
    <s v="Saturday"/>
  </r>
  <r>
    <x v="171"/>
    <d v="2022-09-24T00:00:00"/>
    <d v="2022-11-01T00:00:00"/>
    <x v="0"/>
    <n v="39"/>
    <s v="month"/>
    <n v="38"/>
    <s v="Saturday"/>
  </r>
  <r>
    <x v="172"/>
    <d v="2022-09-24T00:00:00"/>
    <d v="2022-10-26T00:00:00"/>
    <x v="0"/>
    <n v="39"/>
    <s v="month"/>
    <n v="32"/>
    <s v="Saturday"/>
  </r>
  <r>
    <x v="173"/>
    <d v="2022-09-25T00:00:00"/>
    <m/>
    <x v="0"/>
    <n v="39"/>
    <s v="month"/>
    <s v=""/>
    <s v="Sunday"/>
  </r>
  <r>
    <x v="174"/>
    <d v="2022-09-25T00:00:00"/>
    <d v="2022-11-01T00:00:00"/>
    <x v="0"/>
    <n v="39"/>
    <s v="month"/>
    <n v="37"/>
    <s v="Sunday"/>
  </r>
  <r>
    <x v="175"/>
    <d v="2022-09-25T00:00:00"/>
    <d v="2022-11-02T00:00:00"/>
    <x v="0"/>
    <n v="39"/>
    <s v="month"/>
    <n v="38"/>
    <s v="Sunday"/>
  </r>
  <r>
    <x v="176"/>
    <d v="2022-09-25T00:00:00"/>
    <d v="2022-11-18T00:00:00"/>
    <x v="0"/>
    <n v="39"/>
    <s v="month"/>
    <n v="54"/>
    <s v="Sunday"/>
  </r>
  <r>
    <x v="177"/>
    <d v="2022-09-25T00:00:00"/>
    <d v="2022-10-29T00:00:00"/>
    <x v="0"/>
    <n v="39"/>
    <s v="month"/>
    <n v="34"/>
    <s v="Sunday"/>
  </r>
  <r>
    <x v="178"/>
    <d v="2022-09-25T00:00:00"/>
    <d v="2022-10-24T00:00:00"/>
    <x v="0"/>
    <n v="39"/>
    <s v="month"/>
    <n v="29"/>
    <s v="Sunday"/>
  </r>
  <r>
    <x v="179"/>
    <d v="2022-09-26T00:00:00"/>
    <d v="2022-12-04T00:00:00"/>
    <x v="0"/>
    <n v="39"/>
    <s v="month"/>
    <n v="69"/>
    <s v="Monday"/>
  </r>
  <r>
    <x v="180"/>
    <d v="2022-09-26T00:00:00"/>
    <d v="2023-04-07T00:00:00"/>
    <x v="0"/>
    <n v="39"/>
    <s v="month"/>
    <n v="193"/>
    <s v="Monday"/>
  </r>
  <r>
    <x v="181"/>
    <d v="2022-09-26T00:00:00"/>
    <d v="2023-01-23T00:00:00"/>
    <x v="0"/>
    <n v="39"/>
    <s v="month"/>
    <n v="119"/>
    <s v="Monday"/>
  </r>
  <r>
    <x v="182"/>
    <d v="2022-09-26T00:00:00"/>
    <d v="2023-02-10T00:00:00"/>
    <x v="0"/>
    <n v="39"/>
    <s v="month"/>
    <n v="137"/>
    <s v="Monday"/>
  </r>
  <r>
    <x v="183"/>
    <d v="2022-09-26T00:00:00"/>
    <d v="2022-11-03T00:00:00"/>
    <x v="0"/>
    <n v="39"/>
    <s v="month"/>
    <n v="38"/>
    <s v="Monday"/>
  </r>
  <r>
    <x v="184"/>
    <d v="2022-09-26T00:00:00"/>
    <d v="2022-11-17T00:00:00"/>
    <x v="0"/>
    <n v="39"/>
    <s v="month"/>
    <n v="52"/>
    <s v="Monday"/>
  </r>
  <r>
    <x v="185"/>
    <d v="2022-09-26T00:00:00"/>
    <d v="2022-11-14T00:00:00"/>
    <x v="0"/>
    <n v="39"/>
    <s v="month"/>
    <n v="49"/>
    <s v="Monday"/>
  </r>
  <r>
    <x v="186"/>
    <d v="2022-09-26T00:00:00"/>
    <d v="2022-10-26T00:00:00"/>
    <x v="0"/>
    <n v="39"/>
    <s v="month"/>
    <n v="30"/>
    <s v="Monday"/>
  </r>
  <r>
    <x v="187"/>
    <d v="2022-09-26T00:00:00"/>
    <d v="2022-10-24T00:00:00"/>
    <x v="0"/>
    <n v="39"/>
    <s v="month"/>
    <n v="28"/>
    <s v="Monday"/>
  </r>
  <r>
    <x v="188"/>
    <d v="2022-09-27T00:00:00"/>
    <d v="2023-01-18T00:00:00"/>
    <x v="0"/>
    <n v="39"/>
    <s v="month"/>
    <n v="113"/>
    <s v="Tuesday"/>
  </r>
  <r>
    <x v="189"/>
    <d v="2022-09-27T00:00:00"/>
    <d v="2023-01-03T00:00:00"/>
    <x v="0"/>
    <n v="39"/>
    <s v="month"/>
    <n v="98"/>
    <s v="Tuesday"/>
  </r>
  <r>
    <x v="190"/>
    <d v="2022-09-27T00:00:00"/>
    <d v="2022-12-28T00:00:00"/>
    <x v="0"/>
    <n v="39"/>
    <s v="month"/>
    <n v="92"/>
    <s v="Tuesday"/>
  </r>
  <r>
    <x v="191"/>
    <d v="2022-09-27T00:00:00"/>
    <d v="2022-09-27T00:00:00"/>
    <x v="0"/>
    <n v="39"/>
    <s v="month"/>
    <n v="0"/>
    <s v="Tuesday"/>
  </r>
  <r>
    <x v="192"/>
    <d v="2022-09-28T00:00:00"/>
    <m/>
    <x v="0"/>
    <n v="39"/>
    <s v="month"/>
    <s v=""/>
    <s v="Wednesday"/>
  </r>
  <r>
    <x v="193"/>
    <d v="2022-09-28T00:00:00"/>
    <d v="2023-03-25T00:00:00"/>
    <x v="0"/>
    <n v="39"/>
    <s v="month"/>
    <n v="178"/>
    <s v="Wednesday"/>
  </r>
  <r>
    <x v="194"/>
    <d v="2022-09-28T00:00:00"/>
    <d v="2022-11-22T00:00:00"/>
    <x v="0"/>
    <n v="39"/>
    <s v="month"/>
    <n v="55"/>
    <s v="Wednesday"/>
  </r>
  <r>
    <x v="195"/>
    <d v="2022-09-28T00:00:00"/>
    <d v="2022-12-22T00:00:00"/>
    <x v="0"/>
    <n v="39"/>
    <s v="month"/>
    <n v="85"/>
    <s v="Wednesday"/>
  </r>
  <r>
    <x v="196"/>
    <d v="2022-09-28T00:00:00"/>
    <d v="2022-11-28T00:00:00"/>
    <x v="0"/>
    <n v="39"/>
    <s v="month"/>
    <n v="61"/>
    <s v="Wednesday"/>
  </r>
  <r>
    <x v="197"/>
    <d v="2022-09-28T00:00:00"/>
    <d v="2022-11-20T00:00:00"/>
    <x v="0"/>
    <n v="39"/>
    <s v="month"/>
    <n v="53"/>
    <s v="Wednesday"/>
  </r>
  <r>
    <x v="198"/>
    <d v="2022-09-28T00:00:00"/>
    <d v="2022-10-19T00:00:00"/>
    <x v="0"/>
    <n v="39"/>
    <s v="month"/>
    <n v="21"/>
    <s v="Wednesday"/>
  </r>
  <r>
    <x v="199"/>
    <d v="2022-09-28T00:00:00"/>
    <d v="2022-09-29T00:00:00"/>
    <x v="0"/>
    <n v="39"/>
    <s v="month"/>
    <n v="1"/>
    <s v="Wednesday"/>
  </r>
  <r>
    <x v="200"/>
    <d v="2022-09-29T00:00:00"/>
    <d v="2023-04-14T00:00:00"/>
    <x v="0"/>
    <n v="39"/>
    <s v="month"/>
    <n v="197"/>
    <s v="Thursday"/>
  </r>
  <r>
    <x v="201"/>
    <d v="2022-09-29T00:00:00"/>
    <d v="2022-12-29T00:00:00"/>
    <x v="0"/>
    <n v="39"/>
    <s v="month"/>
    <n v="91"/>
    <s v="Thursday"/>
  </r>
  <r>
    <x v="202"/>
    <d v="2022-09-29T00:00:00"/>
    <d v="2022-12-28T00:00:00"/>
    <x v="0"/>
    <n v="39"/>
    <s v="month"/>
    <n v="90"/>
    <s v="Thursday"/>
  </r>
  <r>
    <x v="203"/>
    <d v="2022-09-29T00:00:00"/>
    <d v="2022-11-20T00:00:00"/>
    <x v="0"/>
    <n v="39"/>
    <s v="month"/>
    <n v="52"/>
    <s v="Thursday"/>
  </r>
  <r>
    <x v="204"/>
    <d v="2022-09-29T00:00:00"/>
    <d v="2022-10-24T00:00:00"/>
    <x v="0"/>
    <n v="39"/>
    <s v="month"/>
    <n v="25"/>
    <s v="Thursday"/>
  </r>
  <r>
    <x v="205"/>
    <d v="2022-09-30T00:00:00"/>
    <m/>
    <x v="0"/>
    <n v="39"/>
    <s v="month"/>
    <s v=""/>
    <s v="Friday"/>
  </r>
  <r>
    <x v="206"/>
    <d v="2022-09-30T00:00:00"/>
    <d v="2022-10-01T00:00:00"/>
    <x v="1"/>
    <n v="39"/>
    <s v="month"/>
    <n v="1"/>
    <s v="Friday"/>
  </r>
  <r>
    <x v="207"/>
    <d v="2022-09-30T00:00:00"/>
    <d v="2023-03-28T00:00:00"/>
    <x v="0"/>
    <n v="39"/>
    <s v="month"/>
    <n v="179"/>
    <s v="Friday"/>
  </r>
  <r>
    <x v="208"/>
    <d v="2022-09-30T00:00:00"/>
    <d v="2023-05-20T00:00:00"/>
    <x v="0"/>
    <n v="39"/>
    <s v="month"/>
    <n v="232"/>
    <s v="Friday"/>
  </r>
  <r>
    <x v="209"/>
    <d v="2022-09-30T00:00:00"/>
    <d v="2023-06-03T00:00:00"/>
    <x v="0"/>
    <n v="39"/>
    <s v="month"/>
    <n v="246"/>
    <s v="Friday"/>
  </r>
  <r>
    <x v="210"/>
    <d v="2022-09-30T00:00:00"/>
    <d v="2023-04-06T00:00:00"/>
    <x v="0"/>
    <n v="39"/>
    <s v="month"/>
    <n v="188"/>
    <s v="Friday"/>
  </r>
  <r>
    <x v="211"/>
    <d v="2022-09-30T00:00:00"/>
    <d v="2023-01-06T00:00:00"/>
    <x v="0"/>
    <n v="39"/>
    <s v="month"/>
    <n v="98"/>
    <s v="Friday"/>
  </r>
  <r>
    <x v="13"/>
    <d v="2022-09-30T00:00:00"/>
    <d v="2022-11-29T00:00:00"/>
    <x v="0"/>
    <n v="39"/>
    <s v="month"/>
    <n v="60"/>
    <s v="Friday"/>
  </r>
  <r>
    <x v="212"/>
    <d v="2022-09-30T00:00:00"/>
    <d v="2022-11-06T00:00:00"/>
    <x v="0"/>
    <n v="39"/>
    <s v="month"/>
    <n v="37"/>
    <s v="Friday"/>
  </r>
  <r>
    <x v="213"/>
    <d v="2022-10-01T00:00:00"/>
    <m/>
    <x v="0"/>
    <n v="39"/>
    <s v="month"/>
    <s v=""/>
    <s v="Saturday"/>
  </r>
  <r>
    <x v="214"/>
    <d v="2022-10-01T00:00:00"/>
    <d v="2022-10-02T00:00:00"/>
    <x v="0"/>
    <n v="39"/>
    <s v="month"/>
    <n v="1"/>
    <s v="Saturday"/>
  </r>
  <r>
    <x v="215"/>
    <d v="2022-10-01T00:00:00"/>
    <d v="2023-01-01T00:00:00"/>
    <x v="0"/>
    <n v="39"/>
    <s v="month"/>
    <n v="92"/>
    <s v="Saturday"/>
  </r>
  <r>
    <x v="216"/>
    <d v="2022-10-01T00:00:00"/>
    <d v="2022-11-02T00:00:00"/>
    <x v="0"/>
    <n v="39"/>
    <s v="month"/>
    <n v="32"/>
    <s v="Saturday"/>
  </r>
  <r>
    <x v="217"/>
    <d v="2022-10-01T00:00:00"/>
    <d v="2022-11-02T00:00:00"/>
    <x v="0"/>
    <n v="39"/>
    <s v="month"/>
    <n v="32"/>
    <s v="Saturday"/>
  </r>
  <r>
    <x v="218"/>
    <d v="2022-10-01T00:00:00"/>
    <d v="2022-10-25T00:00:00"/>
    <x v="0"/>
    <n v="39"/>
    <s v="month"/>
    <n v="24"/>
    <s v="Saturday"/>
  </r>
  <r>
    <x v="219"/>
    <d v="2022-10-01T00:00:00"/>
    <d v="2022-10-29T00:00:00"/>
    <x v="0"/>
    <n v="39"/>
    <s v="month"/>
    <n v="28"/>
    <s v="Saturday"/>
  </r>
  <r>
    <x v="220"/>
    <d v="2022-10-02T00:00:00"/>
    <m/>
    <x v="0"/>
    <n v="39"/>
    <s v="month"/>
    <s v=""/>
    <s v="Sunday"/>
  </r>
  <r>
    <x v="221"/>
    <d v="2022-10-02T00:00:00"/>
    <d v="2022-10-03T00:00:00"/>
    <x v="1"/>
    <n v="39"/>
    <s v="month"/>
    <n v="1"/>
    <s v="Sunday"/>
  </r>
  <r>
    <x v="222"/>
    <d v="2022-10-02T00:00:00"/>
    <d v="2023-01-26T00:00:00"/>
    <x v="0"/>
    <n v="39"/>
    <s v="month"/>
    <n v="116"/>
    <s v="Sunday"/>
  </r>
  <r>
    <x v="223"/>
    <d v="2022-10-02T00:00:00"/>
    <d v="2022-11-14T00:00:00"/>
    <x v="0"/>
    <n v="39"/>
    <s v="month"/>
    <n v="43"/>
    <s v="Sunday"/>
  </r>
  <r>
    <x v="224"/>
    <d v="2022-10-02T00:00:00"/>
    <d v="2022-10-28T00:00:00"/>
    <x v="0"/>
    <n v="39"/>
    <s v="month"/>
    <n v="26"/>
    <s v="Sunday"/>
  </r>
  <r>
    <x v="225"/>
    <d v="2022-10-03T00:00:00"/>
    <d v="2022-10-27T00:00:00"/>
    <x v="0"/>
    <n v="39"/>
    <s v="month"/>
    <n v="24"/>
    <s v="Monday"/>
  </r>
  <r>
    <x v="226"/>
    <d v="2022-10-03T00:00:00"/>
    <d v="2023-07-02T00:00:00"/>
    <x v="0"/>
    <n v="39"/>
    <s v="month"/>
    <n v="272"/>
    <s v="Monday"/>
  </r>
  <r>
    <x v="227"/>
    <d v="2022-10-03T00:00:00"/>
    <d v="2023-02-06T00:00:00"/>
    <x v="0"/>
    <n v="39"/>
    <s v="month"/>
    <n v="126"/>
    <s v="Monday"/>
  </r>
  <r>
    <x v="228"/>
    <d v="2022-10-03T00:00:00"/>
    <d v="2023-03-17T00:00:00"/>
    <x v="0"/>
    <n v="39"/>
    <s v="month"/>
    <n v="165"/>
    <s v="Monday"/>
  </r>
  <r>
    <x v="229"/>
    <d v="2022-10-03T00:00:00"/>
    <d v="2023-01-03T00:00:00"/>
    <x v="0"/>
    <n v="39"/>
    <s v="month"/>
    <n v="92"/>
    <s v="Monday"/>
  </r>
  <r>
    <x v="230"/>
    <d v="2022-10-03T00:00:00"/>
    <d v="2023-01-10T00:00:00"/>
    <x v="0"/>
    <n v="39"/>
    <s v="month"/>
    <n v="99"/>
    <s v="Monday"/>
  </r>
  <r>
    <x v="231"/>
    <d v="2022-10-03T00:00:00"/>
    <d v="2023-01-20T00:00:00"/>
    <x v="0"/>
    <n v="39"/>
    <s v="month"/>
    <n v="109"/>
    <s v="Monday"/>
  </r>
  <r>
    <x v="232"/>
    <d v="2022-10-03T00:00:00"/>
    <d v="2022-11-08T00:00:00"/>
    <x v="0"/>
    <n v="39"/>
    <s v="month"/>
    <n v="36"/>
    <s v="Monday"/>
  </r>
  <r>
    <x v="233"/>
    <d v="2022-10-03T00:00:00"/>
    <d v="2022-11-28T00:00:00"/>
    <x v="0"/>
    <n v="39"/>
    <s v="month"/>
    <n v="56"/>
    <s v="Monday"/>
  </r>
  <r>
    <x v="234"/>
    <d v="2022-10-03T00:00:00"/>
    <d v="2022-11-29T00:00:00"/>
    <x v="0"/>
    <n v="39"/>
    <s v="month"/>
    <n v="57"/>
    <s v="Monday"/>
  </r>
  <r>
    <x v="235"/>
    <d v="2022-10-03T00:00:00"/>
    <d v="2022-10-03T00:00:00"/>
    <x v="0"/>
    <n v="39"/>
    <s v="month"/>
    <n v="0"/>
    <s v="Monday"/>
  </r>
  <r>
    <x v="236"/>
    <d v="2022-10-03T00:00:00"/>
    <d v="2022-10-10T00:00:00"/>
    <x v="0"/>
    <n v="39"/>
    <s v="month"/>
    <n v="7"/>
    <s v="Monday"/>
  </r>
  <r>
    <x v="237"/>
    <d v="2022-10-03T00:00:00"/>
    <d v="2022-10-03T00:00:00"/>
    <x v="0"/>
    <n v="39"/>
    <s v="month"/>
    <n v="0"/>
    <s v="Monday"/>
  </r>
  <r>
    <x v="238"/>
    <d v="2022-10-04T00:00:00"/>
    <d v="2023-04-21T00:00:00"/>
    <x v="0"/>
    <n v="39"/>
    <s v="month"/>
    <n v="199"/>
    <s v="Tuesday"/>
  </r>
  <r>
    <x v="239"/>
    <d v="2022-10-04T00:00:00"/>
    <d v="2023-03-15T00:00:00"/>
    <x v="0"/>
    <n v="39"/>
    <s v="month"/>
    <n v="162"/>
    <s v="Tuesday"/>
  </r>
  <r>
    <x v="240"/>
    <d v="2022-10-04T00:00:00"/>
    <d v="2023-01-30T00:00:00"/>
    <x v="0"/>
    <n v="39"/>
    <s v="month"/>
    <n v="118"/>
    <s v="Tuesday"/>
  </r>
  <r>
    <x v="241"/>
    <d v="2022-10-04T00:00:00"/>
    <d v="2022-12-14T00:00:00"/>
    <x v="0"/>
    <n v="39"/>
    <s v="month"/>
    <n v="71"/>
    <s v="Tuesday"/>
  </r>
  <r>
    <x v="242"/>
    <d v="2022-10-04T00:00:00"/>
    <d v="2022-11-05T00:00:00"/>
    <x v="0"/>
    <n v="39"/>
    <s v="month"/>
    <n v="32"/>
    <s v="Tuesday"/>
  </r>
  <r>
    <x v="243"/>
    <d v="2022-10-05T00:00:00"/>
    <m/>
    <x v="0"/>
    <n v="39"/>
    <s v="month"/>
    <s v=""/>
    <s v="Wednesday"/>
  </r>
  <r>
    <x v="244"/>
    <d v="2022-10-05T00:00:00"/>
    <m/>
    <x v="0"/>
    <n v="39"/>
    <s v="month"/>
    <s v=""/>
    <s v="Wednesday"/>
  </r>
  <r>
    <x v="245"/>
    <d v="2022-10-05T00:00:00"/>
    <d v="2023-04-03T00:00:00"/>
    <x v="0"/>
    <n v="39"/>
    <s v="month"/>
    <n v="180"/>
    <s v="Wednesday"/>
  </r>
  <r>
    <x v="246"/>
    <d v="2022-10-05T00:00:00"/>
    <d v="2023-04-02T00:00:00"/>
    <x v="0"/>
    <n v="39"/>
    <s v="month"/>
    <n v="179"/>
    <s v="Wednesday"/>
  </r>
  <r>
    <x v="247"/>
    <d v="2022-10-05T00:00:00"/>
    <d v="2023-06-23T00:00:00"/>
    <x v="0"/>
    <n v="39"/>
    <s v="month"/>
    <n v="261"/>
    <s v="Wednesday"/>
  </r>
  <r>
    <x v="248"/>
    <d v="2022-10-05T00:00:00"/>
    <d v="2022-11-05T00:00:00"/>
    <x v="0"/>
    <n v="39"/>
    <s v="month"/>
    <n v="31"/>
    <s v="Wednesday"/>
  </r>
  <r>
    <x v="249"/>
    <d v="2022-10-05T00:00:00"/>
    <d v="2022-12-07T00:00:00"/>
    <x v="0"/>
    <n v="39"/>
    <s v="month"/>
    <n v="63"/>
    <s v="Wednesday"/>
  </r>
  <r>
    <x v="250"/>
    <d v="2022-10-06T00:00:00"/>
    <d v="2022-12-06T00:00:00"/>
    <x v="0"/>
    <n v="39"/>
    <s v="month"/>
    <n v="61"/>
    <s v="Thursday"/>
  </r>
  <r>
    <x v="251"/>
    <d v="2022-10-06T00:00:00"/>
    <d v="2022-12-08T00:00:00"/>
    <x v="0"/>
    <n v="39"/>
    <s v="month"/>
    <n v="63"/>
    <s v="Thursday"/>
  </r>
  <r>
    <x v="252"/>
    <d v="2022-10-06T00:00:00"/>
    <d v="2023-07-13T00:00:00"/>
    <x v="0"/>
    <n v="39"/>
    <s v="month"/>
    <n v="280"/>
    <s v="Thursday"/>
  </r>
  <r>
    <x v="253"/>
    <d v="2022-10-07T00:00:00"/>
    <m/>
    <x v="0"/>
    <n v="39"/>
    <s v="month"/>
    <s v=""/>
    <s v="Friday"/>
  </r>
  <r>
    <x v="254"/>
    <d v="2022-10-07T00:00:00"/>
    <m/>
    <x v="0"/>
    <n v="39"/>
    <s v="month"/>
    <s v=""/>
    <s v="Friday"/>
  </r>
  <r>
    <x v="255"/>
    <d v="2022-10-07T00:00:00"/>
    <d v="2022-11-07T00:00:00"/>
    <x v="0"/>
    <n v="39"/>
    <s v="month"/>
    <n v="31"/>
    <s v="Friday"/>
  </r>
  <r>
    <x v="256"/>
    <d v="2022-10-07T00:00:00"/>
    <d v="2022-11-03T00:00:00"/>
    <x v="0"/>
    <n v="39"/>
    <s v="month"/>
    <n v="27"/>
    <s v="Friday"/>
  </r>
  <r>
    <x v="257"/>
    <d v="2022-10-07T00:00:00"/>
    <d v="2022-10-24T00:00:00"/>
    <x v="0"/>
    <n v="39"/>
    <s v="month"/>
    <n v="17"/>
    <s v="Friday"/>
  </r>
  <r>
    <x v="258"/>
    <d v="2022-10-08T00:00:00"/>
    <d v="2023-03-15T00:00:00"/>
    <x v="0"/>
    <n v="39"/>
    <s v="month"/>
    <n v="158"/>
    <s v="Saturday"/>
  </r>
  <r>
    <x v="259"/>
    <d v="2022-10-08T00:00:00"/>
    <d v="2023-03-15T00:00:00"/>
    <x v="0"/>
    <n v="39"/>
    <s v="month"/>
    <n v="158"/>
    <s v="Saturday"/>
  </r>
  <r>
    <x v="260"/>
    <d v="2022-10-08T00:00:00"/>
    <d v="2022-11-17T00:00:00"/>
    <x v="0"/>
    <n v="39"/>
    <s v="month"/>
    <n v="40"/>
    <s v="Saturday"/>
  </r>
  <r>
    <x v="261"/>
    <d v="2022-10-08T00:00:00"/>
    <d v="2022-10-26T00:00:00"/>
    <x v="0"/>
    <n v="39"/>
    <s v="month"/>
    <n v="18"/>
    <s v="Saturday"/>
  </r>
  <r>
    <x v="262"/>
    <d v="2022-10-08T00:00:00"/>
    <d v="2022-10-18T00:00:00"/>
    <x v="0"/>
    <n v="39"/>
    <s v="month"/>
    <n v="10"/>
    <s v="Saturday"/>
  </r>
  <r>
    <x v="263"/>
    <d v="2022-10-09T00:00:00"/>
    <d v="2022-10-10T00:00:00"/>
    <x v="0"/>
    <n v="39"/>
    <s v="month"/>
    <n v="1"/>
    <s v="Sunday"/>
  </r>
  <r>
    <x v="264"/>
    <d v="2022-10-09T00:00:00"/>
    <d v="2023-01-16T00:00:00"/>
    <x v="0"/>
    <n v="39"/>
    <s v="month"/>
    <n v="99"/>
    <s v="Sunday"/>
  </r>
  <r>
    <x v="265"/>
    <d v="2022-10-09T00:00:00"/>
    <d v="2022-11-15T00:00:00"/>
    <x v="0"/>
    <n v="39"/>
    <s v="month"/>
    <n v="37"/>
    <s v="Sunday"/>
  </r>
  <r>
    <x v="266"/>
    <d v="2022-10-09T00:00:00"/>
    <d v="2022-11-23T00:00:00"/>
    <x v="0"/>
    <n v="39"/>
    <s v="month"/>
    <n v="45"/>
    <s v="Sunday"/>
  </r>
  <r>
    <x v="267"/>
    <d v="2022-10-10T00:00:00"/>
    <m/>
    <x v="0"/>
    <n v="39"/>
    <s v="month"/>
    <s v=""/>
    <s v="Monday"/>
  </r>
  <r>
    <x v="268"/>
    <d v="2022-10-10T00:00:00"/>
    <d v="2023-01-11T00:00:00"/>
    <x v="0"/>
    <n v="39"/>
    <s v="month"/>
    <n v="93"/>
    <s v="Monday"/>
  </r>
  <r>
    <x v="269"/>
    <d v="2022-10-10T00:00:00"/>
    <d v="2022-11-09T00:00:00"/>
    <x v="0"/>
    <n v="39"/>
    <s v="month"/>
    <n v="30"/>
    <s v="Monday"/>
  </r>
  <r>
    <x v="270"/>
    <d v="2022-10-11T00:00:00"/>
    <d v="2022-10-12T00:00:00"/>
    <x v="1"/>
    <n v="39"/>
    <s v="month"/>
    <n v="1"/>
    <s v="Tuesday"/>
  </r>
  <r>
    <x v="271"/>
    <d v="2022-10-11T00:00:00"/>
    <d v="2022-10-12T00:00:00"/>
    <x v="1"/>
    <n v="39"/>
    <s v="month"/>
    <n v="1"/>
    <s v="Tuesday"/>
  </r>
  <r>
    <x v="272"/>
    <d v="2022-10-11T00:00:00"/>
    <d v="2023-04-25T00:00:00"/>
    <x v="0"/>
    <n v="39"/>
    <s v="month"/>
    <n v="196"/>
    <s v="Tuesday"/>
  </r>
  <r>
    <x v="273"/>
    <d v="2022-10-11T00:00:00"/>
    <d v="2023-02-12T00:00:00"/>
    <x v="0"/>
    <n v="39"/>
    <s v="month"/>
    <n v="124"/>
    <s v="Tuesday"/>
  </r>
  <r>
    <x v="274"/>
    <d v="2022-10-11T00:00:00"/>
    <d v="2023-01-10T00:00:00"/>
    <x v="0"/>
    <n v="39"/>
    <s v="month"/>
    <n v="91"/>
    <s v="Tuesday"/>
  </r>
  <r>
    <x v="275"/>
    <d v="2022-10-11T00:00:00"/>
    <d v="2022-12-18T00:00:00"/>
    <x v="0"/>
    <n v="39"/>
    <s v="month"/>
    <n v="68"/>
    <s v="Tuesday"/>
  </r>
  <r>
    <x v="276"/>
    <d v="2022-10-11T00:00:00"/>
    <d v="2022-11-28T00:00:00"/>
    <x v="0"/>
    <n v="39"/>
    <s v="month"/>
    <n v="48"/>
    <s v="Tuesday"/>
  </r>
  <r>
    <x v="277"/>
    <d v="2022-10-11T00:00:00"/>
    <d v="2022-11-16T00:00:00"/>
    <x v="0"/>
    <n v="39"/>
    <s v="month"/>
    <n v="36"/>
    <s v="Tuesday"/>
  </r>
  <r>
    <x v="278"/>
    <d v="2022-10-12T00:00:00"/>
    <d v="2023-04-04T00:00:00"/>
    <x v="0"/>
    <n v="39"/>
    <s v="month"/>
    <n v="174"/>
    <s v="Wednesday"/>
  </r>
  <r>
    <x v="279"/>
    <d v="2022-10-12T00:00:00"/>
    <d v="2023-06-10T00:00:00"/>
    <x v="0"/>
    <n v="39"/>
    <s v="month"/>
    <n v="241"/>
    <s v="Wednesday"/>
  </r>
  <r>
    <x v="280"/>
    <d v="2022-10-12T00:00:00"/>
    <d v="2022-11-07T00:00:00"/>
    <x v="0"/>
    <n v="39"/>
    <s v="month"/>
    <n v="26"/>
    <s v="Wednesday"/>
  </r>
  <r>
    <x v="281"/>
    <d v="2022-10-12T00:00:00"/>
    <d v="2022-10-23T00:00:00"/>
    <x v="0"/>
    <n v="39"/>
    <s v="month"/>
    <n v="11"/>
    <s v="Wednesday"/>
  </r>
  <r>
    <x v="282"/>
    <d v="2022-10-13T00:00:00"/>
    <m/>
    <x v="0"/>
    <n v="39"/>
    <s v="month"/>
    <s v=""/>
    <s v="Thursday"/>
  </r>
  <r>
    <x v="283"/>
    <d v="2022-10-13T00:00:00"/>
    <m/>
    <x v="0"/>
    <n v="39"/>
    <s v="month"/>
    <s v=""/>
    <s v="Thursday"/>
  </r>
  <r>
    <x v="284"/>
    <d v="2022-10-13T00:00:00"/>
    <d v="2023-01-17T00:00:00"/>
    <x v="0"/>
    <n v="39"/>
    <s v="month"/>
    <n v="96"/>
    <s v="Thursday"/>
  </r>
  <r>
    <x v="285"/>
    <d v="2022-10-13T00:00:00"/>
    <d v="2023-05-30T00:00:00"/>
    <x v="0"/>
    <n v="39"/>
    <s v="month"/>
    <n v="229"/>
    <s v="Thursday"/>
  </r>
  <r>
    <x v="286"/>
    <d v="2022-10-13T00:00:00"/>
    <d v="2023-02-06T00:00:00"/>
    <x v="0"/>
    <n v="39"/>
    <s v="month"/>
    <n v="116"/>
    <s v="Thursday"/>
  </r>
  <r>
    <x v="287"/>
    <d v="2022-10-13T00:00:00"/>
    <d v="2023-01-11T00:00:00"/>
    <x v="0"/>
    <n v="39"/>
    <s v="month"/>
    <n v="90"/>
    <s v="Thursday"/>
  </r>
  <r>
    <x v="288"/>
    <d v="2022-10-13T00:00:00"/>
    <d v="2022-11-03T00:00:00"/>
    <x v="0"/>
    <n v="39"/>
    <s v="month"/>
    <n v="21"/>
    <s v="Thursday"/>
  </r>
  <r>
    <x v="289"/>
    <d v="2022-10-15T00:00:00"/>
    <d v="2022-10-15T00:00:00"/>
    <x v="1"/>
    <n v="39"/>
    <s v="month"/>
    <n v="0"/>
    <s v="Saturday"/>
  </r>
  <r>
    <x v="290"/>
    <d v="2022-10-15T00:00:00"/>
    <d v="2023-03-13T00:00:00"/>
    <x v="0"/>
    <n v="39"/>
    <s v="month"/>
    <n v="149"/>
    <s v="Saturday"/>
  </r>
  <r>
    <x v="291"/>
    <d v="2022-10-15T00:00:00"/>
    <d v="2023-07-07T00:00:00"/>
    <x v="0"/>
    <n v="39"/>
    <s v="month"/>
    <n v="265"/>
    <s v="Saturday"/>
  </r>
  <r>
    <x v="292"/>
    <d v="2022-10-16T00:00:00"/>
    <m/>
    <x v="0"/>
    <n v="39"/>
    <s v="month"/>
    <s v=""/>
    <s v="Sunday"/>
  </r>
  <r>
    <x v="293"/>
    <d v="2022-10-16T00:00:00"/>
    <d v="2022-10-27T00:00:00"/>
    <x v="0"/>
    <n v="39"/>
    <s v="month"/>
    <n v="11"/>
    <s v="Sunday"/>
  </r>
  <r>
    <x v="294"/>
    <d v="2022-10-16T00:00:00"/>
    <d v="2023-03-02T00:00:00"/>
    <x v="0"/>
    <n v="39"/>
    <s v="month"/>
    <n v="137"/>
    <s v="Sunday"/>
  </r>
  <r>
    <x v="295"/>
    <d v="2022-10-16T00:00:00"/>
    <d v="2023-03-09T00:00:00"/>
    <x v="0"/>
    <n v="39"/>
    <s v="month"/>
    <n v="144"/>
    <s v="Sunday"/>
  </r>
  <r>
    <x v="296"/>
    <d v="2022-10-16T00:00:00"/>
    <d v="2022-12-27T00:00:00"/>
    <x v="0"/>
    <n v="39"/>
    <s v="month"/>
    <n v="72"/>
    <s v="Sunday"/>
  </r>
  <r>
    <x v="297"/>
    <d v="2022-10-16T00:00:00"/>
    <d v="2022-11-09T00:00:00"/>
    <x v="0"/>
    <n v="39"/>
    <s v="month"/>
    <n v="24"/>
    <s v="Sunday"/>
  </r>
  <r>
    <x v="298"/>
    <d v="2022-10-16T00:00:00"/>
    <d v="2022-10-16T00:00:00"/>
    <x v="0"/>
    <n v="39"/>
    <s v="month"/>
    <n v="0"/>
    <s v="Sunday"/>
  </r>
  <r>
    <x v="299"/>
    <d v="2022-10-17T00:00:00"/>
    <m/>
    <x v="0"/>
    <n v="39"/>
    <s v="month"/>
    <s v=""/>
    <s v="Monday"/>
  </r>
  <r>
    <x v="300"/>
    <d v="2022-10-17T00:00:00"/>
    <d v="2022-12-15T00:00:00"/>
    <x v="0"/>
    <n v="39"/>
    <s v="month"/>
    <n v="59"/>
    <s v="Monday"/>
  </r>
  <r>
    <x v="301"/>
    <d v="2022-10-17T00:00:00"/>
    <d v="2023-02-16T00:00:00"/>
    <x v="0"/>
    <n v="39"/>
    <s v="month"/>
    <n v="122"/>
    <s v="Monday"/>
  </r>
  <r>
    <x v="302"/>
    <d v="2022-10-17T00:00:00"/>
    <d v="2023-01-04T00:00:00"/>
    <x v="0"/>
    <n v="39"/>
    <s v="month"/>
    <n v="79"/>
    <s v="Monday"/>
  </r>
  <r>
    <x v="303"/>
    <d v="2022-10-17T00:00:00"/>
    <d v="2022-12-30T00:00:00"/>
    <x v="0"/>
    <n v="39"/>
    <s v="month"/>
    <n v="74"/>
    <s v="Monday"/>
  </r>
  <r>
    <x v="304"/>
    <d v="2022-10-17T00:00:00"/>
    <d v="2022-11-18T00:00:00"/>
    <x v="0"/>
    <n v="39"/>
    <s v="month"/>
    <n v="32"/>
    <s v="Monday"/>
  </r>
  <r>
    <x v="305"/>
    <d v="2022-10-17T00:00:00"/>
    <d v="2022-11-17T00:00:00"/>
    <x v="0"/>
    <n v="39"/>
    <s v="month"/>
    <n v="31"/>
    <s v="Monday"/>
  </r>
  <r>
    <x v="306"/>
    <d v="2022-10-17T00:00:00"/>
    <d v="2022-11-17T00:00:00"/>
    <x v="0"/>
    <n v="39"/>
    <s v="month"/>
    <n v="31"/>
    <s v="Monday"/>
  </r>
  <r>
    <x v="307"/>
    <d v="2022-10-17T00:00:00"/>
    <d v="2022-11-14T00:00:00"/>
    <x v="0"/>
    <n v="39"/>
    <s v="month"/>
    <n v="28"/>
    <s v="Monday"/>
  </r>
  <r>
    <x v="308"/>
    <d v="2022-10-17T00:00:00"/>
    <d v="2022-11-14T00:00:00"/>
    <x v="0"/>
    <n v="39"/>
    <s v="month"/>
    <n v="28"/>
    <s v="Monday"/>
  </r>
  <r>
    <x v="309"/>
    <d v="2022-10-17T00:00:00"/>
    <d v="2022-11-08T00:00:00"/>
    <x v="0"/>
    <n v="39"/>
    <s v="month"/>
    <n v="22"/>
    <s v="Monday"/>
  </r>
  <r>
    <x v="310"/>
    <d v="2022-10-18T00:00:00"/>
    <m/>
    <x v="1"/>
    <n v="39"/>
    <s v="month"/>
    <s v=""/>
    <s v="Tuesday"/>
  </r>
  <r>
    <x v="311"/>
    <d v="2022-10-18T00:00:00"/>
    <d v="2022-11-25T00:00:00"/>
    <x v="0"/>
    <n v="39"/>
    <s v="month"/>
    <n v="38"/>
    <s v="Tuesday"/>
  </r>
  <r>
    <x v="312"/>
    <d v="2022-10-18T00:00:00"/>
    <d v="2022-12-25T00:00:00"/>
    <x v="0"/>
    <n v="39"/>
    <s v="month"/>
    <n v="68"/>
    <s v="Tuesday"/>
  </r>
  <r>
    <x v="313"/>
    <d v="2022-10-18T00:00:00"/>
    <d v="2023-02-02T00:00:00"/>
    <x v="0"/>
    <n v="39"/>
    <s v="month"/>
    <n v="107"/>
    <s v="Tuesday"/>
  </r>
  <r>
    <x v="314"/>
    <d v="2022-10-18T00:00:00"/>
    <d v="2022-12-07T00:00:00"/>
    <x v="0"/>
    <n v="39"/>
    <s v="month"/>
    <n v="50"/>
    <s v="Tuesday"/>
  </r>
  <r>
    <x v="315"/>
    <d v="2022-10-18T00:00:00"/>
    <d v="2022-11-02T00:00:00"/>
    <x v="0"/>
    <n v="39"/>
    <s v="month"/>
    <n v="15"/>
    <s v="Tuesday"/>
  </r>
  <r>
    <x v="316"/>
    <d v="2022-10-18T00:00:00"/>
    <d v="2022-11-14T00:00:00"/>
    <x v="0"/>
    <n v="39"/>
    <s v="month"/>
    <n v="27"/>
    <s v="Tuesday"/>
  </r>
  <r>
    <x v="317"/>
    <d v="2022-10-18T00:00:00"/>
    <d v="2022-11-25T00:00:00"/>
    <x v="0"/>
    <n v="39"/>
    <s v="month"/>
    <n v="38"/>
    <s v="Tuesday"/>
  </r>
  <r>
    <x v="318"/>
    <d v="2022-10-18T00:00:00"/>
    <d v="2022-11-01T00:00:00"/>
    <x v="0"/>
    <n v="39"/>
    <s v="month"/>
    <n v="14"/>
    <s v="Tuesday"/>
  </r>
  <r>
    <x v="319"/>
    <d v="2022-10-18T00:00:00"/>
    <d v="2022-11-02T00:00:00"/>
    <x v="0"/>
    <n v="39"/>
    <s v="month"/>
    <n v="15"/>
    <s v="Tuesday"/>
  </r>
  <r>
    <x v="320"/>
    <d v="2022-10-19T00:00:00"/>
    <d v="2023-05-19T00:00:00"/>
    <x v="0"/>
    <n v="39"/>
    <s v="month"/>
    <n v="212"/>
    <s v="Wednesday"/>
  </r>
  <r>
    <x v="321"/>
    <d v="2022-10-19T00:00:00"/>
    <d v="2023-02-21T00:00:00"/>
    <x v="0"/>
    <n v="39"/>
    <s v="month"/>
    <n v="125"/>
    <s v="Wednesday"/>
  </r>
  <r>
    <x v="322"/>
    <d v="2022-10-19T00:00:00"/>
    <d v="2023-01-22T00:00:00"/>
    <x v="0"/>
    <n v="39"/>
    <s v="month"/>
    <n v="95"/>
    <s v="Wednesday"/>
  </r>
  <r>
    <x v="323"/>
    <d v="2022-10-19T00:00:00"/>
    <d v="2023-01-15T00:00:00"/>
    <x v="0"/>
    <n v="39"/>
    <s v="month"/>
    <n v="88"/>
    <s v="Wednesday"/>
  </r>
  <r>
    <x v="324"/>
    <d v="2022-10-19T00:00:00"/>
    <d v="2023-06-21T00:00:00"/>
    <x v="0"/>
    <n v="39"/>
    <s v="month"/>
    <n v="245"/>
    <s v="Wednesday"/>
  </r>
  <r>
    <x v="325"/>
    <d v="2022-10-20T00:00:00"/>
    <d v="2023-05-13T00:00:00"/>
    <x v="0"/>
    <n v="39"/>
    <s v="month"/>
    <n v="205"/>
    <s v="Thursday"/>
  </r>
  <r>
    <x v="326"/>
    <d v="2022-10-20T00:00:00"/>
    <d v="2023-03-17T00:00:00"/>
    <x v="0"/>
    <n v="39"/>
    <s v="month"/>
    <n v="148"/>
    <s v="Thursday"/>
  </r>
  <r>
    <x v="327"/>
    <d v="2022-10-20T00:00:00"/>
    <d v="2023-01-27T00:00:00"/>
    <x v="0"/>
    <n v="39"/>
    <s v="month"/>
    <n v="99"/>
    <s v="Thursday"/>
  </r>
  <r>
    <x v="328"/>
    <d v="2022-10-20T00:00:00"/>
    <d v="2022-12-15T00:00:00"/>
    <x v="0"/>
    <n v="39"/>
    <s v="month"/>
    <n v="56"/>
    <s v="Thursday"/>
  </r>
  <r>
    <x v="329"/>
    <d v="2022-10-20T00:00:00"/>
    <d v="2023-07-28T00:00:00"/>
    <x v="0"/>
    <n v="39"/>
    <s v="month"/>
    <n v="281"/>
    <s v="Thursday"/>
  </r>
  <r>
    <x v="330"/>
    <d v="2022-10-20T00:00:00"/>
    <d v="2023-06-20T00:00:00"/>
    <x v="0"/>
    <n v="39"/>
    <s v="month"/>
    <n v="243"/>
    <s v="Thursday"/>
  </r>
  <r>
    <x v="331"/>
    <d v="2022-10-21T00:00:00"/>
    <m/>
    <x v="0"/>
    <n v="39"/>
    <s v="month"/>
    <s v=""/>
    <s v="Friday"/>
  </r>
  <r>
    <x v="332"/>
    <d v="2022-10-21T00:00:00"/>
    <d v="2022-11-28T00:00:00"/>
    <x v="0"/>
    <n v="39"/>
    <s v="month"/>
    <n v="38"/>
    <s v="Friday"/>
  </r>
  <r>
    <x v="333"/>
    <d v="2022-10-21T00:00:00"/>
    <d v="2023-05-28T00:00:00"/>
    <x v="0"/>
    <n v="39"/>
    <s v="month"/>
    <n v="219"/>
    <s v="Friday"/>
  </r>
  <r>
    <x v="334"/>
    <d v="2022-10-21T00:00:00"/>
    <d v="2022-12-28T00:00:00"/>
    <x v="0"/>
    <n v="39"/>
    <s v="month"/>
    <n v="68"/>
    <s v="Friday"/>
  </r>
  <r>
    <x v="335"/>
    <d v="2022-10-21T00:00:00"/>
    <d v="2022-12-30T00:00:00"/>
    <x v="0"/>
    <n v="39"/>
    <s v="month"/>
    <n v="70"/>
    <s v="Friday"/>
  </r>
  <r>
    <x v="336"/>
    <d v="2022-10-21T00:00:00"/>
    <d v="2022-11-02T00:00:00"/>
    <x v="0"/>
    <n v="39"/>
    <s v="month"/>
    <n v="12"/>
    <s v="Friday"/>
  </r>
  <r>
    <x v="337"/>
    <d v="2022-10-21T00:00:00"/>
    <d v="2022-11-18T00:00:00"/>
    <x v="0"/>
    <n v="39"/>
    <s v="month"/>
    <n v="28"/>
    <s v="Friday"/>
  </r>
  <r>
    <x v="338"/>
    <d v="2022-10-21T00:00:00"/>
    <d v="2022-11-21T00:00:00"/>
    <x v="0"/>
    <n v="39"/>
    <s v="month"/>
    <n v="31"/>
    <s v="Friday"/>
  </r>
  <r>
    <x v="339"/>
    <d v="2022-10-22T00:00:00"/>
    <m/>
    <x v="0"/>
    <n v="39"/>
    <s v="month"/>
    <s v=""/>
    <s v="Saturday"/>
  </r>
  <r>
    <x v="340"/>
    <d v="2022-10-22T00:00:00"/>
    <d v="2023-02-26T00:00:00"/>
    <x v="0"/>
    <n v="39"/>
    <s v="month"/>
    <n v="127"/>
    <s v="Saturday"/>
  </r>
  <r>
    <x v="341"/>
    <d v="2022-10-22T00:00:00"/>
    <d v="2022-12-22T00:00:00"/>
    <x v="0"/>
    <n v="39"/>
    <s v="month"/>
    <n v="61"/>
    <s v="Saturday"/>
  </r>
  <r>
    <x v="342"/>
    <d v="2022-10-22T00:00:00"/>
    <d v="2022-12-22T00:00:00"/>
    <x v="0"/>
    <n v="39"/>
    <s v="month"/>
    <n v="61"/>
    <s v="Saturday"/>
  </r>
  <r>
    <x v="343"/>
    <d v="2022-10-22T00:00:00"/>
    <d v="2022-11-22T00:00:00"/>
    <x v="0"/>
    <n v="39"/>
    <s v="month"/>
    <n v="31"/>
    <s v="Saturday"/>
  </r>
  <r>
    <x v="344"/>
    <d v="2022-10-22T00:00:00"/>
    <d v="2022-11-29T00:00:00"/>
    <x v="0"/>
    <n v="39"/>
    <s v="month"/>
    <n v="38"/>
    <s v="Saturday"/>
  </r>
  <r>
    <x v="345"/>
    <d v="2022-10-23T00:00:00"/>
    <m/>
    <x v="0"/>
    <n v="39"/>
    <s v="month"/>
    <s v=""/>
    <s v="Sunday"/>
  </r>
  <r>
    <x v="346"/>
    <d v="2022-10-23T00:00:00"/>
    <d v="2022-10-24T00:00:00"/>
    <x v="0"/>
    <n v="39"/>
    <s v="month"/>
    <n v="1"/>
    <s v="Sunday"/>
  </r>
  <r>
    <x v="347"/>
    <d v="2022-10-23T00:00:00"/>
    <d v="2022-12-30T00:00:00"/>
    <x v="0"/>
    <n v="39"/>
    <s v="month"/>
    <n v="68"/>
    <s v="Sunday"/>
  </r>
  <r>
    <x v="348"/>
    <d v="2022-10-23T00:00:00"/>
    <d v="2023-06-18T00:00:00"/>
    <x v="0"/>
    <n v="39"/>
    <s v="month"/>
    <n v="238"/>
    <s v="Sunday"/>
  </r>
  <r>
    <x v="349"/>
    <d v="2022-10-23T00:00:00"/>
    <d v="2023-02-21T00:00:00"/>
    <x v="0"/>
    <n v="39"/>
    <s v="month"/>
    <n v="121"/>
    <s v="Sunday"/>
  </r>
  <r>
    <x v="350"/>
    <d v="2022-10-23T00:00:00"/>
    <d v="2022-12-20T00:00:00"/>
    <x v="0"/>
    <n v="39"/>
    <s v="month"/>
    <n v="58"/>
    <s v="Sunday"/>
  </r>
  <r>
    <x v="351"/>
    <d v="2022-10-23T00:00:00"/>
    <d v="2022-11-02T00:00:00"/>
    <x v="0"/>
    <n v="39"/>
    <s v="month"/>
    <n v="10"/>
    <s v="Sunday"/>
  </r>
  <r>
    <x v="352"/>
    <d v="2022-10-23T00:00:00"/>
    <d v="2022-11-23T00:00:00"/>
    <x v="0"/>
    <n v="39"/>
    <s v="month"/>
    <n v="31"/>
    <s v="Sunday"/>
  </r>
  <r>
    <x v="353"/>
    <d v="2022-10-24T00:00:00"/>
    <d v="2023-02-16T00:00:00"/>
    <x v="0"/>
    <n v="39"/>
    <s v="month"/>
    <n v="115"/>
    <s v="Monday"/>
  </r>
  <r>
    <x v="354"/>
    <d v="2022-10-24T00:00:00"/>
    <d v="2022-12-01T00:00:00"/>
    <x v="0"/>
    <n v="39"/>
    <s v="month"/>
    <n v="38"/>
    <s v="Monday"/>
  </r>
  <r>
    <x v="355"/>
    <d v="2022-10-24T00:00:00"/>
    <d v="2022-12-01T00:00:00"/>
    <x v="0"/>
    <n v="39"/>
    <s v="month"/>
    <n v="38"/>
    <s v="Monday"/>
  </r>
  <r>
    <x v="356"/>
    <d v="2022-10-24T00:00:00"/>
    <d v="2022-11-07T00:00:00"/>
    <x v="0"/>
    <n v="39"/>
    <s v="month"/>
    <n v="14"/>
    <s v="Monday"/>
  </r>
  <r>
    <x v="357"/>
    <d v="2022-10-24T00:00:00"/>
    <d v="2022-11-24T00:00:00"/>
    <x v="0"/>
    <n v="39"/>
    <s v="month"/>
    <n v="31"/>
    <s v="Monday"/>
  </r>
  <r>
    <x v="358"/>
    <d v="2022-10-25T00:00:00"/>
    <m/>
    <x v="0"/>
    <n v="39"/>
    <s v="month"/>
    <s v=""/>
    <s v="Tuesday"/>
  </r>
  <r>
    <x v="359"/>
    <d v="2022-10-25T00:00:00"/>
    <m/>
    <x v="1"/>
    <n v="39"/>
    <s v="month"/>
    <s v=""/>
    <s v="Tuesday"/>
  </r>
  <r>
    <x v="360"/>
    <d v="2022-10-25T00:00:00"/>
    <d v="2023-01-10T00:00:00"/>
    <x v="0"/>
    <n v="39"/>
    <s v="month"/>
    <n v="77"/>
    <s v="Tuesday"/>
  </r>
  <r>
    <x v="361"/>
    <d v="2022-10-25T00:00:00"/>
    <d v="2023-01-02T00:00:00"/>
    <x v="0"/>
    <n v="39"/>
    <s v="month"/>
    <n v="69"/>
    <s v="Tuesday"/>
  </r>
  <r>
    <x v="362"/>
    <d v="2022-10-25T00:00:00"/>
    <d v="2022-11-28T00:00:00"/>
    <x v="0"/>
    <n v="39"/>
    <s v="month"/>
    <n v="34"/>
    <s v="Tuesday"/>
  </r>
  <r>
    <x v="363"/>
    <d v="2022-10-25T00:00:00"/>
    <d v="2022-11-24T00:00:00"/>
    <x v="0"/>
    <n v="39"/>
    <s v="month"/>
    <n v="30"/>
    <s v="Tuesday"/>
  </r>
  <r>
    <x v="364"/>
    <d v="2022-10-26T00:00:00"/>
    <m/>
    <x v="0"/>
    <n v="39"/>
    <s v="month"/>
    <s v=""/>
    <s v="Wednesday"/>
  </r>
  <r>
    <x v="365"/>
    <d v="2022-10-26T00:00:00"/>
    <m/>
    <x v="0"/>
    <n v="39"/>
    <s v="month"/>
    <s v=""/>
    <s v="Wednesday"/>
  </r>
  <r>
    <x v="366"/>
    <d v="2022-10-26T00:00:00"/>
    <m/>
    <x v="0"/>
    <n v="39"/>
    <s v="month"/>
    <s v=""/>
    <s v="Wednesday"/>
  </r>
  <r>
    <x v="367"/>
    <d v="2022-10-26T00:00:00"/>
    <d v="2022-10-27T00:00:00"/>
    <x v="0"/>
    <n v="39"/>
    <s v="month"/>
    <n v="1"/>
    <s v="Wednesday"/>
  </r>
  <r>
    <x v="368"/>
    <d v="2022-10-26T00:00:00"/>
    <d v="2023-02-23T00:00:00"/>
    <x v="0"/>
    <n v="39"/>
    <s v="month"/>
    <n v="120"/>
    <s v="Wednesday"/>
  </r>
  <r>
    <x v="369"/>
    <d v="2022-10-26T00:00:00"/>
    <d v="2022-12-15T00:00:00"/>
    <x v="0"/>
    <n v="39"/>
    <s v="month"/>
    <n v="50"/>
    <s v="Wednesday"/>
  </r>
  <r>
    <x v="370"/>
    <d v="2022-10-26T00:00:00"/>
    <d v="2022-12-20T00:00:00"/>
    <x v="0"/>
    <n v="39"/>
    <s v="month"/>
    <n v="55"/>
    <s v="Wednesday"/>
  </r>
  <r>
    <x v="371"/>
    <d v="2022-10-26T00:00:00"/>
    <d v="2022-11-26T00:00:00"/>
    <x v="0"/>
    <n v="39"/>
    <s v="month"/>
    <n v="31"/>
    <s v="Wednesday"/>
  </r>
  <r>
    <x v="372"/>
    <d v="2022-10-26T00:00:00"/>
    <d v="2022-10-27T00:00:00"/>
    <x v="0"/>
    <n v="39"/>
    <s v="month"/>
    <n v="1"/>
    <s v="Wednesday"/>
  </r>
  <r>
    <x v="373"/>
    <d v="2022-10-27T00:00:00"/>
    <m/>
    <x v="0"/>
    <n v="39"/>
    <s v="month"/>
    <s v=""/>
    <s v="Thursday"/>
  </r>
  <r>
    <x v="374"/>
    <d v="2022-10-27T00:00:00"/>
    <d v="2022-10-28T00:00:00"/>
    <x v="1"/>
    <n v="39"/>
    <s v="month"/>
    <n v="1"/>
    <s v="Thursday"/>
  </r>
  <r>
    <x v="375"/>
    <d v="2022-10-27T00:00:00"/>
    <d v="2023-04-19T00:00:00"/>
    <x v="0"/>
    <n v="39"/>
    <s v="month"/>
    <n v="174"/>
    <s v="Thursday"/>
  </r>
  <r>
    <x v="376"/>
    <d v="2022-10-27T00:00:00"/>
    <d v="2023-06-11T00:00:00"/>
    <x v="0"/>
    <n v="39"/>
    <s v="month"/>
    <n v="227"/>
    <s v="Thursday"/>
  </r>
  <r>
    <x v="377"/>
    <d v="2022-10-27T00:00:00"/>
    <d v="2023-02-26T00:00:00"/>
    <x v="0"/>
    <n v="39"/>
    <s v="month"/>
    <n v="122"/>
    <s v="Thursday"/>
  </r>
  <r>
    <x v="378"/>
    <d v="2022-10-27T00:00:00"/>
    <d v="2023-01-03T00:00:00"/>
    <x v="0"/>
    <n v="39"/>
    <s v="month"/>
    <n v="68"/>
    <s v="Thursday"/>
  </r>
  <r>
    <x v="379"/>
    <d v="2022-10-27T00:00:00"/>
    <d v="2022-11-25T00:00:00"/>
    <x v="0"/>
    <n v="39"/>
    <s v="month"/>
    <n v="29"/>
    <s v="Thursday"/>
  </r>
  <r>
    <x v="380"/>
    <d v="2022-10-27T00:00:00"/>
    <d v="2022-11-16T00:00:00"/>
    <x v="0"/>
    <n v="39"/>
    <s v="month"/>
    <n v="20"/>
    <s v="Thursday"/>
  </r>
  <r>
    <x v="381"/>
    <d v="2022-10-27T00:00:00"/>
    <d v="2023-06-30T00:00:00"/>
    <x v="0"/>
    <n v="39"/>
    <s v="month"/>
    <n v="246"/>
    <s v="Thursday"/>
  </r>
  <r>
    <x v="382"/>
    <d v="2022-10-28T00:00:00"/>
    <m/>
    <x v="0"/>
    <n v="39"/>
    <s v="month"/>
    <s v=""/>
    <s v="Friday"/>
  </r>
  <r>
    <x v="383"/>
    <d v="2022-10-28T00:00:00"/>
    <m/>
    <x v="0"/>
    <n v="39"/>
    <s v="month"/>
    <s v=""/>
    <s v="Friday"/>
  </r>
  <r>
    <x v="384"/>
    <d v="2022-10-28T00:00:00"/>
    <d v="2023-05-10T00:00:00"/>
    <x v="0"/>
    <n v="39"/>
    <s v="month"/>
    <n v="194"/>
    <s v="Friday"/>
  </r>
  <r>
    <x v="385"/>
    <d v="2022-10-28T00:00:00"/>
    <d v="2023-02-27T00:00:00"/>
    <x v="0"/>
    <n v="39"/>
    <s v="month"/>
    <n v="122"/>
    <s v="Friday"/>
  </r>
  <r>
    <x v="386"/>
    <d v="2022-10-28T00:00:00"/>
    <d v="2023-03-31T00:00:00"/>
    <x v="0"/>
    <n v="39"/>
    <s v="month"/>
    <n v="154"/>
    <s v="Friday"/>
  </r>
  <r>
    <x v="387"/>
    <d v="2022-10-28T00:00:00"/>
    <d v="2022-12-25T00:00:00"/>
    <x v="0"/>
    <n v="39"/>
    <s v="month"/>
    <n v="58"/>
    <s v="Friday"/>
  </r>
  <r>
    <x v="388"/>
    <d v="2022-10-28T00:00:00"/>
    <d v="2023-08-21T00:00:00"/>
    <x v="0"/>
    <n v="39"/>
    <s v="month"/>
    <n v="297"/>
    <s v="Friday"/>
  </r>
  <r>
    <x v="389"/>
    <d v="2022-10-29T00:00:00"/>
    <m/>
    <x v="0"/>
    <n v="39"/>
    <s v="month"/>
    <s v=""/>
    <s v="Saturday"/>
  </r>
  <r>
    <x v="390"/>
    <d v="2022-10-29T00:00:00"/>
    <d v="2022-12-20T00:00:00"/>
    <x v="0"/>
    <n v="39"/>
    <s v="month"/>
    <n v="52"/>
    <s v="Saturday"/>
  </r>
  <r>
    <x v="391"/>
    <d v="2022-10-29T00:00:00"/>
    <d v="2023-03-23T00:00:00"/>
    <x v="0"/>
    <n v="39"/>
    <s v="month"/>
    <n v="145"/>
    <s v="Saturday"/>
  </r>
  <r>
    <x v="392"/>
    <d v="2022-10-29T00:00:00"/>
    <d v="2023-01-05T00:00:00"/>
    <x v="0"/>
    <n v="39"/>
    <s v="month"/>
    <n v="68"/>
    <s v="Saturday"/>
  </r>
  <r>
    <x v="393"/>
    <d v="2022-10-29T00:00:00"/>
    <d v="2023-01-05T00:00:00"/>
    <x v="0"/>
    <n v="39"/>
    <s v="month"/>
    <n v="68"/>
    <s v="Saturday"/>
  </r>
  <r>
    <x v="394"/>
    <d v="2022-10-30T00:00:00"/>
    <m/>
    <x v="0"/>
    <n v="39"/>
    <s v="month"/>
    <s v=""/>
    <s v="Sunday"/>
  </r>
  <r>
    <x v="395"/>
    <d v="2022-10-30T00:00:00"/>
    <d v="2023-03-07T00:00:00"/>
    <x v="0"/>
    <n v="39"/>
    <s v="month"/>
    <n v="128"/>
    <s v="Sunday"/>
  </r>
  <r>
    <x v="396"/>
    <d v="2022-10-30T00:00:00"/>
    <d v="2022-12-07T00:00:00"/>
    <x v="0"/>
    <n v="39"/>
    <s v="month"/>
    <n v="38"/>
    <s v="Sunday"/>
  </r>
  <r>
    <x v="397"/>
    <d v="2022-10-30T00:00:00"/>
    <d v="2022-12-28T00:00:00"/>
    <x v="0"/>
    <n v="39"/>
    <s v="month"/>
    <n v="59"/>
    <s v="Sunday"/>
  </r>
  <r>
    <x v="398"/>
    <d v="2022-10-30T00:00:00"/>
    <d v="2022-11-26T00:00:00"/>
    <x v="0"/>
    <n v="39"/>
    <s v="month"/>
    <n v="27"/>
    <s v="Sunday"/>
  </r>
  <r>
    <x v="399"/>
    <d v="2022-10-31T00:00:00"/>
    <m/>
    <x v="0"/>
    <n v="39"/>
    <s v="month"/>
    <s v=""/>
    <s v="Monday"/>
  </r>
  <r>
    <x v="400"/>
    <d v="2022-10-31T00:00:00"/>
    <m/>
    <x v="0"/>
    <n v="39"/>
    <s v="month"/>
    <s v=""/>
    <s v="Monday"/>
  </r>
  <r>
    <x v="401"/>
    <d v="2022-10-31T00:00:00"/>
    <m/>
    <x v="0"/>
    <n v="39"/>
    <s v="month"/>
    <s v=""/>
    <s v="Monday"/>
  </r>
  <r>
    <x v="402"/>
    <d v="2022-10-31T00:00:00"/>
    <d v="2022-10-31T00:00:00"/>
    <x v="0"/>
    <n v="39"/>
    <s v="month"/>
    <n v="0"/>
    <s v="Monday"/>
  </r>
  <r>
    <x v="403"/>
    <d v="2022-10-31T00:00:00"/>
    <d v="2023-01-16T00:00:00"/>
    <x v="0"/>
    <n v="39"/>
    <s v="month"/>
    <n v="77"/>
    <s v="Monday"/>
  </r>
  <r>
    <x v="404"/>
    <d v="2022-10-31T00:00:00"/>
    <d v="2022-12-17T00:00:00"/>
    <x v="0"/>
    <n v="39"/>
    <s v="month"/>
    <n v="47"/>
    <s v="Monday"/>
  </r>
  <r>
    <x v="405"/>
    <d v="2022-10-31T00:00:00"/>
    <d v="2022-12-14T00:00:00"/>
    <x v="0"/>
    <n v="39"/>
    <s v="month"/>
    <n v="44"/>
    <s v="Monday"/>
  </r>
  <r>
    <x v="406"/>
    <d v="2022-10-31T00:00:00"/>
    <d v="2022-12-01T00:00:00"/>
    <x v="0"/>
    <n v="39"/>
    <s v="month"/>
    <n v="31"/>
    <s v="Monday"/>
  </r>
  <r>
    <x v="407"/>
    <d v="2022-10-31T00:00:00"/>
    <d v="2022-11-15T00:00:00"/>
    <x v="0"/>
    <n v="39"/>
    <s v="month"/>
    <n v="15"/>
    <s v="Monday"/>
  </r>
  <r>
    <x v="408"/>
    <d v="2022-10-31T00:00:00"/>
    <d v="2022-11-30T00:00:00"/>
    <x v="0"/>
    <n v="39"/>
    <s v="month"/>
    <n v="30"/>
    <s v="Monday"/>
  </r>
  <r>
    <x v="409"/>
    <d v="2022-11-01T00:00:00"/>
    <d v="2022-11-02T00:00:00"/>
    <x v="1"/>
    <n v="39"/>
    <s v="month"/>
    <n v="1"/>
    <s v="Tuesday"/>
  </r>
  <r>
    <x v="410"/>
    <d v="2022-11-01T00:00:00"/>
    <d v="2022-11-02T00:00:00"/>
    <x v="1"/>
    <n v="39"/>
    <s v="month"/>
    <n v="1"/>
    <s v="Tuesday"/>
  </r>
  <r>
    <x v="411"/>
    <d v="2022-11-01T00:00:00"/>
    <d v="2023-04-14T00:00:00"/>
    <x v="0"/>
    <n v="39"/>
    <s v="month"/>
    <n v="164"/>
    <s v="Tuesday"/>
  </r>
  <r>
    <x v="412"/>
    <d v="2022-11-01T00:00:00"/>
    <d v="2022-12-01T00:00:00"/>
    <x v="0"/>
    <n v="39"/>
    <s v="month"/>
    <n v="30"/>
    <s v="Tuesday"/>
  </r>
  <r>
    <x v="413"/>
    <d v="2022-11-01T00:00:00"/>
    <d v="2023-02-16T00:00:00"/>
    <x v="0"/>
    <n v="39"/>
    <s v="month"/>
    <n v="107"/>
    <s v="Tuesday"/>
  </r>
  <r>
    <x v="414"/>
    <d v="2022-11-01T00:00:00"/>
    <d v="2023-01-31T00:00:00"/>
    <x v="0"/>
    <n v="39"/>
    <s v="month"/>
    <n v="91"/>
    <s v="Tuesday"/>
  </r>
  <r>
    <x v="415"/>
    <d v="2022-11-01T00:00:00"/>
    <d v="2023-01-08T00:00:00"/>
    <x v="0"/>
    <n v="39"/>
    <s v="month"/>
    <n v="68"/>
    <s v="Tuesday"/>
  </r>
  <r>
    <x v="416"/>
    <d v="2022-11-01T00:00:00"/>
    <d v="2023-01-24T00:00:00"/>
    <x v="0"/>
    <n v="39"/>
    <s v="month"/>
    <n v="84"/>
    <s v="Tuesday"/>
  </r>
  <r>
    <x v="417"/>
    <d v="2022-11-01T00:00:00"/>
    <d v="2022-12-04T00:00:00"/>
    <x v="0"/>
    <n v="39"/>
    <s v="month"/>
    <n v="33"/>
    <s v="Tuesday"/>
  </r>
  <r>
    <x v="418"/>
    <d v="2022-11-01T00:00:00"/>
    <d v="2022-11-09T00:00:00"/>
    <x v="0"/>
    <n v="39"/>
    <s v="month"/>
    <n v="8"/>
    <s v="Tuesday"/>
  </r>
  <r>
    <x v="419"/>
    <d v="2022-11-01T00:00:00"/>
    <d v="2023-08-10T00:00:00"/>
    <x v="0"/>
    <n v="39"/>
    <s v="month"/>
    <n v="282"/>
    <s v="Tuesday"/>
  </r>
  <r>
    <x v="420"/>
    <d v="2022-11-02T00:00:00"/>
    <m/>
    <x v="0"/>
    <n v="39"/>
    <s v="month"/>
    <s v=""/>
    <s v="Wednesday"/>
  </r>
  <r>
    <x v="421"/>
    <d v="2022-11-02T00:00:00"/>
    <m/>
    <x v="0"/>
    <n v="39"/>
    <s v="month"/>
    <s v=""/>
    <s v="Wednesday"/>
  </r>
  <r>
    <x v="422"/>
    <d v="2022-11-02T00:00:00"/>
    <d v="2022-12-15T00:00:00"/>
    <x v="0"/>
    <n v="39"/>
    <s v="month"/>
    <n v="43"/>
    <s v="Wednesday"/>
  </r>
  <r>
    <x v="423"/>
    <d v="2022-11-02T00:00:00"/>
    <d v="2022-12-09T00:00:00"/>
    <x v="0"/>
    <n v="39"/>
    <s v="month"/>
    <n v="37"/>
    <s v="Wednesday"/>
  </r>
  <r>
    <x v="424"/>
    <d v="2022-11-02T00:00:00"/>
    <d v="2022-12-12T00:00:00"/>
    <x v="0"/>
    <n v="39"/>
    <s v="month"/>
    <n v="40"/>
    <s v="Wednesday"/>
  </r>
  <r>
    <x v="425"/>
    <d v="2022-11-02T00:00:00"/>
    <d v="2022-11-23T00:00:00"/>
    <x v="0"/>
    <n v="39"/>
    <s v="month"/>
    <n v="21"/>
    <s v="Wednesday"/>
  </r>
  <r>
    <x v="426"/>
    <d v="2022-11-03T00:00:00"/>
    <d v="2022-11-04T00:00:00"/>
    <x v="1"/>
    <n v="39"/>
    <s v="month"/>
    <n v="1"/>
    <s v="Thursday"/>
  </r>
  <r>
    <x v="427"/>
    <d v="2022-11-03T00:00:00"/>
    <d v="2023-03-03T00:00:00"/>
    <x v="0"/>
    <n v="39"/>
    <s v="month"/>
    <n v="120"/>
    <s v="Thursday"/>
  </r>
  <r>
    <x v="428"/>
    <d v="2022-11-03T00:00:00"/>
    <d v="2023-02-18T00:00:00"/>
    <x v="0"/>
    <n v="39"/>
    <s v="month"/>
    <n v="107"/>
    <s v="Thursday"/>
  </r>
  <r>
    <x v="429"/>
    <d v="2022-11-03T00:00:00"/>
    <d v="2022-12-03T00:00:00"/>
    <x v="0"/>
    <n v="39"/>
    <s v="month"/>
    <n v="30"/>
    <s v="Thursday"/>
  </r>
  <r>
    <x v="430"/>
    <d v="2022-11-03T00:00:00"/>
    <d v="2022-12-02T00:00:00"/>
    <x v="0"/>
    <n v="39"/>
    <s v="month"/>
    <n v="29"/>
    <s v="Thursday"/>
  </r>
  <r>
    <x v="431"/>
    <d v="2022-11-03T00:00:00"/>
    <d v="2022-12-29T00:00:00"/>
    <x v="0"/>
    <n v="39"/>
    <s v="month"/>
    <n v="56"/>
    <s v="Thursday"/>
  </r>
  <r>
    <x v="432"/>
    <d v="2022-11-03T00:00:00"/>
    <d v="2022-12-10T00:00:00"/>
    <x v="0"/>
    <n v="39"/>
    <s v="month"/>
    <n v="37"/>
    <s v="Thursday"/>
  </r>
  <r>
    <x v="433"/>
    <d v="2022-11-04T00:00:00"/>
    <m/>
    <x v="0"/>
    <n v="39"/>
    <s v="month"/>
    <s v=""/>
    <s v="Friday"/>
  </r>
  <r>
    <x v="434"/>
    <d v="2022-11-04T00:00:00"/>
    <d v="2023-02-07T00:00:00"/>
    <x v="0"/>
    <n v="39"/>
    <s v="month"/>
    <n v="95"/>
    <s v="Friday"/>
  </r>
  <r>
    <x v="435"/>
    <d v="2022-11-04T00:00:00"/>
    <d v="2023-02-24T00:00:00"/>
    <x v="0"/>
    <n v="39"/>
    <s v="month"/>
    <n v="112"/>
    <s v="Friday"/>
  </r>
  <r>
    <x v="436"/>
    <d v="2022-11-04T00:00:00"/>
    <d v="2023-01-11T00:00:00"/>
    <x v="0"/>
    <n v="39"/>
    <s v="month"/>
    <n v="68"/>
    <s v="Friday"/>
  </r>
  <r>
    <x v="437"/>
    <d v="2022-11-04T00:00:00"/>
    <d v="2022-12-03T00:00:00"/>
    <x v="0"/>
    <n v="39"/>
    <s v="month"/>
    <n v="29"/>
    <s v="Friday"/>
  </r>
  <r>
    <x v="438"/>
    <d v="2022-11-04T00:00:00"/>
    <d v="2022-11-19T00:00:00"/>
    <x v="0"/>
    <n v="39"/>
    <s v="month"/>
    <n v="15"/>
    <s v="Friday"/>
  </r>
  <r>
    <x v="439"/>
    <d v="2022-11-05T00:00:00"/>
    <d v="2022-11-06T00:00:00"/>
    <x v="0"/>
    <n v="39"/>
    <s v="month"/>
    <n v="1"/>
    <s v="Saturday"/>
  </r>
  <r>
    <x v="440"/>
    <d v="2022-11-05T00:00:00"/>
    <d v="2022-11-06T00:00:00"/>
    <x v="1"/>
    <n v="39"/>
    <s v="month"/>
    <n v="1"/>
    <s v="Saturday"/>
  </r>
  <r>
    <x v="441"/>
    <d v="2022-11-05T00:00:00"/>
    <d v="2023-01-24T00:00:00"/>
    <x v="0"/>
    <n v="39"/>
    <s v="month"/>
    <n v="80"/>
    <s v="Saturday"/>
  </r>
  <r>
    <x v="442"/>
    <d v="2022-11-05T00:00:00"/>
    <d v="2022-11-05T00:00:00"/>
    <x v="0"/>
    <n v="39"/>
    <s v="month"/>
    <n v="0"/>
    <s v="Saturday"/>
  </r>
  <r>
    <x v="443"/>
    <d v="2022-11-05T00:00:00"/>
    <d v="2022-12-04T00:00:00"/>
    <x v="0"/>
    <n v="39"/>
    <s v="month"/>
    <n v="29"/>
    <s v="Saturday"/>
  </r>
  <r>
    <x v="444"/>
    <d v="2022-11-05T00:00:00"/>
    <d v="2022-12-12T00:00:00"/>
    <x v="0"/>
    <n v="39"/>
    <s v="month"/>
    <n v="37"/>
    <s v="Saturday"/>
  </r>
  <r>
    <x v="445"/>
    <d v="2022-11-05T00:00:00"/>
    <d v="2022-11-05T00:00:00"/>
    <x v="0"/>
    <n v="39"/>
    <s v="month"/>
    <n v="0"/>
    <s v="Saturday"/>
  </r>
  <r>
    <x v="446"/>
    <d v="2022-11-05T00:00:00"/>
    <d v="2023-08-03T00:00:00"/>
    <x v="0"/>
    <n v="39"/>
    <s v="month"/>
    <n v="271"/>
    <s v="Saturday"/>
  </r>
  <r>
    <x v="447"/>
    <d v="2022-11-05T00:00:00"/>
    <d v="2023-07-23T00:00:00"/>
    <x v="0"/>
    <n v="39"/>
    <s v="month"/>
    <n v="260"/>
    <s v="Saturday"/>
  </r>
  <r>
    <x v="448"/>
    <d v="2022-11-06T00:00:00"/>
    <d v="2023-02-13T00:00:00"/>
    <x v="0"/>
    <n v="39"/>
    <s v="month"/>
    <n v="99"/>
    <s v="Sunday"/>
  </r>
  <r>
    <x v="449"/>
    <d v="2022-11-06T00:00:00"/>
    <d v="2023-01-27T00:00:00"/>
    <x v="0"/>
    <n v="39"/>
    <s v="month"/>
    <n v="82"/>
    <s v="Sunday"/>
  </r>
  <r>
    <x v="450"/>
    <d v="2022-11-06T00:00:00"/>
    <d v="2023-01-25T00:00:00"/>
    <x v="0"/>
    <n v="39"/>
    <s v="month"/>
    <n v="80"/>
    <s v="Sunday"/>
  </r>
  <r>
    <x v="451"/>
    <d v="2022-11-06T00:00:00"/>
    <d v="2022-11-17T00:00:00"/>
    <x v="0"/>
    <n v="39"/>
    <s v="month"/>
    <n v="11"/>
    <s v="Sunday"/>
  </r>
  <r>
    <x v="452"/>
    <d v="2022-11-06T00:00:00"/>
    <d v="2022-12-13T00:00:00"/>
    <x v="0"/>
    <n v="39"/>
    <s v="month"/>
    <n v="37"/>
    <s v="Sunday"/>
  </r>
  <r>
    <x v="453"/>
    <d v="2022-11-06T00:00:00"/>
    <d v="2022-12-01T00:00:00"/>
    <x v="0"/>
    <n v="39"/>
    <s v="month"/>
    <n v="25"/>
    <s v="Sunday"/>
  </r>
  <r>
    <x v="454"/>
    <d v="2022-11-06T00:00:00"/>
    <d v="2022-11-06T00:00:00"/>
    <x v="0"/>
    <n v="39"/>
    <s v="month"/>
    <n v="0"/>
    <s v="Sunday"/>
  </r>
  <r>
    <x v="455"/>
    <d v="2022-11-07T00:00:00"/>
    <m/>
    <x v="0"/>
    <n v="39"/>
    <s v="month"/>
    <s v=""/>
    <s v="Monday"/>
  </r>
  <r>
    <x v="456"/>
    <d v="2022-11-07T00:00:00"/>
    <m/>
    <x v="0"/>
    <n v="39"/>
    <s v="month"/>
    <s v=""/>
    <s v="Monday"/>
  </r>
  <r>
    <x v="457"/>
    <d v="2022-11-07T00:00:00"/>
    <m/>
    <x v="0"/>
    <n v="39"/>
    <s v="month"/>
    <s v=""/>
    <s v="Monday"/>
  </r>
  <r>
    <x v="458"/>
    <d v="2022-11-07T00:00:00"/>
    <m/>
    <x v="0"/>
    <n v="39"/>
    <s v="month"/>
    <s v=""/>
    <s v="Monday"/>
  </r>
  <r>
    <x v="459"/>
    <d v="2022-11-07T00:00:00"/>
    <d v="2022-12-06T00:00:00"/>
    <x v="0"/>
    <n v="39"/>
    <s v="month"/>
    <n v="29"/>
    <s v="Monday"/>
  </r>
  <r>
    <x v="460"/>
    <d v="2022-11-07T00:00:00"/>
    <d v="2023-03-26T00:00:00"/>
    <x v="0"/>
    <n v="39"/>
    <s v="month"/>
    <n v="139"/>
    <s v="Monday"/>
  </r>
  <r>
    <x v="461"/>
    <d v="2022-11-07T00:00:00"/>
    <d v="2023-07-05T00:00:00"/>
    <x v="0"/>
    <n v="39"/>
    <s v="month"/>
    <n v="240"/>
    <s v="Monday"/>
  </r>
  <r>
    <x v="462"/>
    <d v="2022-11-07T00:00:00"/>
    <d v="2023-03-09T00:00:00"/>
    <x v="0"/>
    <n v="39"/>
    <s v="month"/>
    <n v="122"/>
    <s v="Monday"/>
  </r>
  <r>
    <x v="463"/>
    <d v="2022-11-07T00:00:00"/>
    <d v="2023-02-06T00:00:00"/>
    <x v="0"/>
    <n v="39"/>
    <s v="month"/>
    <n v="91"/>
    <s v="Monday"/>
  </r>
  <r>
    <x v="464"/>
    <d v="2022-11-07T00:00:00"/>
    <d v="2023-02-14T00:00:00"/>
    <x v="0"/>
    <n v="39"/>
    <s v="month"/>
    <n v="99"/>
    <s v="Monday"/>
  </r>
  <r>
    <x v="465"/>
    <d v="2022-11-07T00:00:00"/>
    <d v="2022-12-07T00:00:00"/>
    <x v="0"/>
    <n v="39"/>
    <s v="month"/>
    <n v="30"/>
    <s v="Monday"/>
  </r>
  <r>
    <x v="466"/>
    <d v="2022-11-07T00:00:00"/>
    <d v="2022-12-14T00:00:00"/>
    <x v="0"/>
    <n v="39"/>
    <s v="month"/>
    <n v="37"/>
    <s v="Monday"/>
  </r>
  <r>
    <x v="439"/>
    <d v="2022-11-07T00:00:00"/>
    <d v="2022-12-08T00:00:00"/>
    <x v="0"/>
    <n v="39"/>
    <s v="month"/>
    <n v="31"/>
    <s v="Monday"/>
  </r>
  <r>
    <x v="467"/>
    <d v="2022-11-07T00:00:00"/>
    <d v="2022-12-25T00:00:00"/>
    <x v="0"/>
    <n v="39"/>
    <s v="month"/>
    <n v="48"/>
    <s v="Monday"/>
  </r>
  <r>
    <x v="468"/>
    <d v="2022-11-07T00:00:00"/>
    <d v="2022-12-04T00:00:00"/>
    <x v="0"/>
    <n v="39"/>
    <s v="month"/>
    <n v="27"/>
    <s v="Monday"/>
  </r>
  <r>
    <x v="469"/>
    <d v="2022-11-07T00:00:00"/>
    <d v="2022-11-07T00:00:00"/>
    <x v="0"/>
    <n v="39"/>
    <s v="month"/>
    <n v="0"/>
    <s v="Monday"/>
  </r>
  <r>
    <x v="470"/>
    <d v="2022-11-09T00:00:00"/>
    <d v="2023-08-30T00:00:00"/>
    <x v="0"/>
    <n v="39"/>
    <s v="month"/>
    <n v="294"/>
    <s v="Wednesday"/>
  </r>
  <r>
    <x v="471"/>
    <d v="2022-11-09T00:00:00"/>
    <d v="2023-06-02T00:00:00"/>
    <x v="0"/>
    <n v="39"/>
    <s v="month"/>
    <n v="205"/>
    <s v="Wednesday"/>
  </r>
  <r>
    <x v="472"/>
    <d v="2022-11-09T00:00:00"/>
    <d v="2023-03-31T00:00:00"/>
    <x v="0"/>
    <n v="39"/>
    <s v="month"/>
    <n v="142"/>
    <s v="Wednesday"/>
  </r>
  <r>
    <x v="473"/>
    <d v="2022-11-09T00:00:00"/>
    <d v="2023-03-02T00:00:00"/>
    <x v="0"/>
    <n v="39"/>
    <s v="month"/>
    <n v="113"/>
    <s v="Wednesday"/>
  </r>
  <r>
    <x v="474"/>
    <d v="2022-11-09T00:00:00"/>
    <d v="2023-01-03T00:00:00"/>
    <x v="0"/>
    <n v="39"/>
    <s v="month"/>
    <n v="55"/>
    <s v="Wednesday"/>
  </r>
  <r>
    <x v="475"/>
    <d v="2022-11-09T00:00:00"/>
    <d v="2022-12-16T00:00:00"/>
    <x v="0"/>
    <n v="39"/>
    <s v="month"/>
    <n v="37"/>
    <s v="Wednesday"/>
  </r>
  <r>
    <x v="476"/>
    <d v="2022-11-10T00:00:00"/>
    <d v="2023-03-07T00:00:00"/>
    <x v="0"/>
    <n v="39"/>
    <s v="month"/>
    <n v="117"/>
    <s v="Thursday"/>
  </r>
  <r>
    <x v="477"/>
    <d v="2022-11-10T00:00:00"/>
    <d v="2023-02-01T00:00:00"/>
    <x v="0"/>
    <n v="39"/>
    <s v="month"/>
    <n v="83"/>
    <s v="Thursday"/>
  </r>
  <r>
    <x v="478"/>
    <d v="2022-11-10T00:00:00"/>
    <d v="2023-02-12T00:00:00"/>
    <x v="0"/>
    <n v="39"/>
    <s v="month"/>
    <n v="94"/>
    <s v="Thursday"/>
  </r>
  <r>
    <x v="479"/>
    <d v="2022-11-10T00:00:00"/>
    <d v="2022-11-10T00:00:00"/>
    <x v="0"/>
    <n v="39"/>
    <s v="month"/>
    <n v="0"/>
    <s v="Thursday"/>
  </r>
  <r>
    <x v="480"/>
    <d v="2022-11-11T00:00:00"/>
    <d v="2022-11-12T00:00:00"/>
    <x v="0"/>
    <n v="39"/>
    <s v="month"/>
    <n v="1"/>
    <s v="Friday"/>
  </r>
  <r>
    <x v="481"/>
    <d v="2022-11-11T00:00:00"/>
    <d v="2022-12-31T00:00:00"/>
    <x v="0"/>
    <n v="39"/>
    <s v="month"/>
    <n v="50"/>
    <s v="Friday"/>
  </r>
  <r>
    <x v="482"/>
    <d v="2022-11-11T00:00:00"/>
    <d v="2022-12-16T00:00:00"/>
    <x v="0"/>
    <n v="39"/>
    <s v="month"/>
    <n v="35"/>
    <s v="Friday"/>
  </r>
  <r>
    <x v="483"/>
    <d v="2022-11-12T00:00:00"/>
    <d v="2023-04-19T00:00:00"/>
    <x v="0"/>
    <n v="39"/>
    <s v="month"/>
    <n v="158"/>
    <s v="Saturday"/>
  </r>
  <r>
    <x v="484"/>
    <d v="2022-11-12T00:00:00"/>
    <d v="2023-04-05T00:00:00"/>
    <x v="0"/>
    <n v="39"/>
    <s v="month"/>
    <n v="144"/>
    <s v="Saturday"/>
  </r>
  <r>
    <x v="485"/>
    <d v="2022-11-12T00:00:00"/>
    <d v="2023-02-19T00:00:00"/>
    <x v="0"/>
    <n v="39"/>
    <s v="month"/>
    <n v="99"/>
    <s v="Saturday"/>
  </r>
  <r>
    <x v="486"/>
    <d v="2022-11-12T00:00:00"/>
    <d v="2022-12-09T00:00:00"/>
    <x v="0"/>
    <n v="39"/>
    <s v="month"/>
    <n v="27"/>
    <s v="Saturday"/>
  </r>
  <r>
    <x v="487"/>
    <d v="2022-11-12T00:00:00"/>
    <d v="2022-11-12T00:00:00"/>
    <x v="0"/>
    <n v="39"/>
    <s v="month"/>
    <n v="0"/>
    <s v="Saturday"/>
  </r>
  <r>
    <x v="488"/>
    <d v="2022-11-13T00:00:00"/>
    <d v="2023-02-12T00:00:00"/>
    <x v="0"/>
    <n v="39"/>
    <s v="month"/>
    <n v="91"/>
    <s v="Sunday"/>
  </r>
  <r>
    <x v="489"/>
    <d v="2022-11-13T00:00:00"/>
    <d v="2022-12-05T00:00:00"/>
    <x v="0"/>
    <n v="39"/>
    <s v="month"/>
    <n v="22"/>
    <s v="Sunday"/>
  </r>
  <r>
    <x v="490"/>
    <d v="2022-11-14T00:00:00"/>
    <m/>
    <x v="0"/>
    <n v="39"/>
    <s v="month"/>
    <s v=""/>
    <s v="Monday"/>
  </r>
  <r>
    <x v="491"/>
    <d v="2022-11-14T00:00:00"/>
    <m/>
    <x v="0"/>
    <n v="39"/>
    <s v="month"/>
    <s v=""/>
    <s v="Monday"/>
  </r>
  <r>
    <x v="492"/>
    <d v="2022-11-14T00:00:00"/>
    <d v="2023-03-14T00:00:00"/>
    <x v="0"/>
    <n v="39"/>
    <s v="month"/>
    <n v="120"/>
    <s v="Monday"/>
  </r>
  <r>
    <x v="493"/>
    <d v="2022-11-14T00:00:00"/>
    <d v="2023-02-09T00:00:00"/>
    <x v="0"/>
    <n v="39"/>
    <s v="month"/>
    <n v="87"/>
    <s v="Monday"/>
  </r>
  <r>
    <x v="494"/>
    <d v="2022-11-14T00:00:00"/>
    <d v="2023-01-15T00:00:00"/>
    <x v="0"/>
    <n v="39"/>
    <s v="month"/>
    <n v="62"/>
    <s v="Monday"/>
  </r>
  <r>
    <x v="495"/>
    <d v="2022-11-14T00:00:00"/>
    <d v="2023-03-26T00:00:00"/>
    <x v="0"/>
    <n v="39"/>
    <s v="month"/>
    <n v="132"/>
    <s v="Monday"/>
  </r>
  <r>
    <x v="496"/>
    <d v="2022-11-14T00:00:00"/>
    <d v="2023-03-16T00:00:00"/>
    <x v="0"/>
    <n v="39"/>
    <s v="month"/>
    <n v="122"/>
    <s v="Monday"/>
  </r>
  <r>
    <x v="497"/>
    <d v="2022-11-14T00:00:00"/>
    <d v="2023-03-09T00:00:00"/>
    <x v="0"/>
    <n v="39"/>
    <s v="month"/>
    <n v="115"/>
    <s v="Monday"/>
  </r>
  <r>
    <x v="498"/>
    <d v="2022-11-14T00:00:00"/>
    <d v="2023-04-03T00:00:00"/>
    <x v="0"/>
    <n v="39"/>
    <s v="month"/>
    <n v="140"/>
    <s v="Monday"/>
  </r>
  <r>
    <x v="499"/>
    <d v="2022-11-14T00:00:00"/>
    <d v="2023-04-14T00:00:00"/>
    <x v="0"/>
    <n v="39"/>
    <s v="month"/>
    <n v="151"/>
    <s v="Monday"/>
  </r>
  <r>
    <x v="500"/>
    <d v="2022-11-14T00:00:00"/>
    <d v="2023-02-08T00:00:00"/>
    <x v="0"/>
    <n v="39"/>
    <s v="month"/>
    <n v="86"/>
    <s v="Monday"/>
  </r>
  <r>
    <x v="501"/>
    <d v="2022-11-14T00:00:00"/>
    <d v="2023-02-19T00:00:00"/>
    <x v="0"/>
    <n v="39"/>
    <s v="month"/>
    <n v="97"/>
    <s v="Monday"/>
  </r>
  <r>
    <x v="502"/>
    <d v="2022-11-14T00:00:00"/>
    <d v="2023-02-07T00:00:00"/>
    <x v="0"/>
    <n v="39"/>
    <s v="month"/>
    <n v="85"/>
    <s v="Monday"/>
  </r>
  <r>
    <x v="503"/>
    <d v="2022-11-14T00:00:00"/>
    <d v="2023-02-05T00:00:00"/>
    <x v="0"/>
    <n v="39"/>
    <s v="month"/>
    <n v="83"/>
    <s v="Monday"/>
  </r>
  <r>
    <x v="504"/>
    <d v="2022-11-14T00:00:00"/>
    <d v="2022-12-21T00:00:00"/>
    <x v="0"/>
    <n v="39"/>
    <s v="month"/>
    <n v="37"/>
    <s v="Monday"/>
  </r>
  <r>
    <x v="505"/>
    <d v="2022-11-14T00:00:00"/>
    <d v="2022-12-16T00:00:00"/>
    <x v="0"/>
    <n v="39"/>
    <s v="month"/>
    <n v="32"/>
    <s v="Monday"/>
  </r>
  <r>
    <x v="506"/>
    <d v="2022-11-14T00:00:00"/>
    <d v="2022-12-11T00:00:00"/>
    <x v="0"/>
    <n v="39"/>
    <s v="month"/>
    <n v="27"/>
    <s v="Monday"/>
  </r>
  <r>
    <x v="507"/>
    <d v="2022-11-14T00:00:00"/>
    <d v="2022-12-08T00:00:00"/>
    <x v="0"/>
    <n v="39"/>
    <s v="month"/>
    <n v="24"/>
    <s v="Monday"/>
  </r>
  <r>
    <x v="508"/>
    <d v="2022-11-14T00:00:00"/>
    <d v="2022-11-23T00:00:00"/>
    <x v="0"/>
    <n v="39"/>
    <s v="month"/>
    <n v="9"/>
    <s v="Monday"/>
  </r>
  <r>
    <x v="509"/>
    <d v="2022-11-14T00:00:00"/>
    <d v="2023-08-01T00:00:00"/>
    <x v="0"/>
    <n v="39"/>
    <s v="month"/>
    <n v="260"/>
    <s v="Monday"/>
  </r>
  <r>
    <x v="510"/>
    <d v="2022-11-15T00:00:00"/>
    <m/>
    <x v="0"/>
    <n v="39"/>
    <s v="month"/>
    <s v=""/>
    <s v="Tuesday"/>
  </r>
  <r>
    <x v="511"/>
    <d v="2022-11-15T00:00:00"/>
    <m/>
    <x v="0"/>
    <n v="39"/>
    <s v="month"/>
    <s v=""/>
    <s v="Tuesday"/>
  </r>
  <r>
    <x v="512"/>
    <d v="2022-11-15T00:00:00"/>
    <d v="2023-03-22T00:00:00"/>
    <x v="0"/>
    <n v="39"/>
    <s v="month"/>
    <n v="127"/>
    <s v="Tuesday"/>
  </r>
  <r>
    <x v="513"/>
    <d v="2022-11-15T00:00:00"/>
    <d v="2022-12-11T00:00:00"/>
    <x v="0"/>
    <n v="39"/>
    <s v="month"/>
    <n v="26"/>
    <s v="Tuesday"/>
  </r>
  <r>
    <x v="514"/>
    <d v="2022-11-15T00:00:00"/>
    <d v="2023-01-24T00:00:00"/>
    <x v="0"/>
    <n v="39"/>
    <s v="month"/>
    <n v="70"/>
    <s v="Tuesday"/>
  </r>
  <r>
    <x v="515"/>
    <d v="2022-11-15T00:00:00"/>
    <d v="2023-01-12T00:00:00"/>
    <x v="0"/>
    <n v="39"/>
    <s v="month"/>
    <n v="58"/>
    <s v="Tuesday"/>
  </r>
  <r>
    <x v="516"/>
    <d v="2022-11-15T00:00:00"/>
    <d v="2022-12-13T00:00:00"/>
    <x v="0"/>
    <n v="39"/>
    <s v="month"/>
    <n v="28"/>
    <s v="Tuesday"/>
  </r>
  <r>
    <x v="517"/>
    <d v="2022-11-16T00:00:00"/>
    <m/>
    <x v="0"/>
    <n v="39"/>
    <s v="month"/>
    <s v=""/>
    <s v="Wednesday"/>
  </r>
  <r>
    <x v="518"/>
    <d v="2022-11-16T00:00:00"/>
    <d v="2022-11-16T00:00:00"/>
    <x v="1"/>
    <n v="39"/>
    <s v="month"/>
    <n v="0"/>
    <s v="Wednesday"/>
  </r>
  <r>
    <x v="519"/>
    <d v="2022-11-16T00:00:00"/>
    <d v="2023-03-03T00:00:00"/>
    <x v="0"/>
    <n v="39"/>
    <s v="month"/>
    <n v="107"/>
    <s v="Wednesday"/>
  </r>
  <r>
    <x v="520"/>
    <d v="2022-11-16T00:00:00"/>
    <d v="2023-03-03T00:00:00"/>
    <x v="0"/>
    <n v="39"/>
    <s v="month"/>
    <n v="107"/>
    <s v="Wednesday"/>
  </r>
  <r>
    <x v="521"/>
    <d v="2022-11-16T00:00:00"/>
    <d v="2023-03-23T00:00:00"/>
    <x v="0"/>
    <n v="39"/>
    <s v="month"/>
    <n v="127"/>
    <s v="Wednesday"/>
  </r>
  <r>
    <x v="522"/>
    <d v="2022-11-16T00:00:00"/>
    <d v="2023-02-23T00:00:00"/>
    <x v="0"/>
    <n v="39"/>
    <s v="month"/>
    <n v="99"/>
    <s v="Wednesday"/>
  </r>
  <r>
    <x v="523"/>
    <d v="2022-11-16T00:00:00"/>
    <d v="2023-01-15T00:00:00"/>
    <x v="0"/>
    <n v="39"/>
    <s v="month"/>
    <n v="60"/>
    <s v="Wednesday"/>
  </r>
  <r>
    <x v="524"/>
    <d v="2022-11-16T00:00:00"/>
    <d v="2022-11-16T00:00:00"/>
    <x v="0"/>
    <n v="39"/>
    <s v="month"/>
    <n v="0"/>
    <s v="Wednesday"/>
  </r>
  <r>
    <x v="525"/>
    <d v="2022-11-16T00:00:00"/>
    <d v="2023-08-23T00:00:00"/>
    <x v="0"/>
    <n v="39"/>
    <s v="month"/>
    <n v="280"/>
    <s v="Wednesday"/>
  </r>
  <r>
    <x v="526"/>
    <d v="2022-11-17T00:00:00"/>
    <m/>
    <x v="0"/>
    <n v="39"/>
    <s v="month"/>
    <s v=""/>
    <s v="Thursday"/>
  </r>
  <r>
    <x v="527"/>
    <d v="2022-11-17T00:00:00"/>
    <d v="2023-01-26T00:00:00"/>
    <x v="0"/>
    <n v="39"/>
    <s v="month"/>
    <n v="70"/>
    <s v="Thursday"/>
  </r>
  <r>
    <x v="528"/>
    <d v="2022-11-17T00:00:00"/>
    <d v="2023-02-24T00:00:00"/>
    <x v="0"/>
    <n v="39"/>
    <s v="month"/>
    <n v="99"/>
    <s v="Thursday"/>
  </r>
  <r>
    <x v="529"/>
    <d v="2022-11-17T00:00:00"/>
    <d v="2023-02-12T00:00:00"/>
    <x v="0"/>
    <n v="39"/>
    <s v="month"/>
    <n v="87"/>
    <s v="Thursday"/>
  </r>
  <r>
    <x v="530"/>
    <d v="2022-11-17T00:00:00"/>
    <d v="2023-01-24T00:00:00"/>
    <x v="0"/>
    <n v="39"/>
    <s v="month"/>
    <n v="68"/>
    <s v="Thursday"/>
  </r>
  <r>
    <x v="531"/>
    <d v="2022-11-17T00:00:00"/>
    <d v="2022-12-24T00:00:00"/>
    <x v="0"/>
    <n v="39"/>
    <s v="month"/>
    <n v="37"/>
    <s v="Thursday"/>
  </r>
  <r>
    <x v="532"/>
    <d v="2022-11-17T00:00:00"/>
    <d v="2023-08-10T00:00:00"/>
    <x v="0"/>
    <n v="39"/>
    <s v="month"/>
    <n v="266"/>
    <s v="Thursday"/>
  </r>
  <r>
    <x v="533"/>
    <d v="2022-11-18T00:00:00"/>
    <m/>
    <x v="0"/>
    <n v="39"/>
    <s v="month"/>
    <s v=""/>
    <s v="Friday"/>
  </r>
  <r>
    <x v="534"/>
    <d v="2022-11-18T00:00:00"/>
    <d v="2022-11-19T00:00:00"/>
    <x v="1"/>
    <n v="39"/>
    <s v="month"/>
    <n v="1"/>
    <s v="Friday"/>
  </r>
  <r>
    <x v="535"/>
    <d v="2022-11-18T00:00:00"/>
    <d v="2022-11-19T00:00:00"/>
    <x v="1"/>
    <n v="39"/>
    <s v="month"/>
    <n v="1"/>
    <s v="Friday"/>
  </r>
  <r>
    <x v="536"/>
    <d v="2022-11-18T00:00:00"/>
    <d v="2023-01-18T00:00:00"/>
    <x v="0"/>
    <n v="39"/>
    <s v="month"/>
    <n v="61"/>
    <s v="Friday"/>
  </r>
  <r>
    <x v="537"/>
    <d v="2022-11-18T00:00:00"/>
    <d v="2023-01-09T00:00:00"/>
    <x v="0"/>
    <n v="39"/>
    <s v="month"/>
    <n v="52"/>
    <s v="Friday"/>
  </r>
  <r>
    <x v="538"/>
    <d v="2022-11-18T00:00:00"/>
    <d v="2023-01-18T00:00:00"/>
    <x v="0"/>
    <n v="39"/>
    <s v="month"/>
    <n v="61"/>
    <s v="Friday"/>
  </r>
  <r>
    <x v="539"/>
    <d v="2022-11-18T00:00:00"/>
    <d v="2022-11-18T00:00:00"/>
    <x v="0"/>
    <n v="39"/>
    <s v="month"/>
    <n v="0"/>
    <s v="Friday"/>
  </r>
  <r>
    <x v="540"/>
    <d v="2022-11-18T00:00:00"/>
    <d v="2022-11-18T00:00:00"/>
    <x v="0"/>
    <n v="39"/>
    <s v="month"/>
    <n v="0"/>
    <s v="Friday"/>
  </r>
  <r>
    <x v="541"/>
    <d v="2022-11-19T00:00:00"/>
    <d v="2023-03-11T00:00:00"/>
    <x v="0"/>
    <n v="39"/>
    <s v="month"/>
    <n v="112"/>
    <s v="Saturday"/>
  </r>
  <r>
    <x v="542"/>
    <d v="2022-11-19T00:00:00"/>
    <d v="2022-12-20T00:00:00"/>
    <x v="0"/>
    <n v="39"/>
    <s v="month"/>
    <n v="31"/>
    <s v="Saturday"/>
  </r>
  <r>
    <x v="543"/>
    <d v="2022-11-19T00:00:00"/>
    <d v="2022-12-20T00:00:00"/>
    <x v="0"/>
    <n v="39"/>
    <s v="month"/>
    <n v="31"/>
    <s v="Saturday"/>
  </r>
  <r>
    <x v="544"/>
    <d v="2022-11-20T00:00:00"/>
    <d v="2023-08-21T00:00:00"/>
    <x v="0"/>
    <n v="39"/>
    <s v="month"/>
    <n v="274"/>
    <s v="Sunday"/>
  </r>
  <r>
    <x v="545"/>
    <d v="2022-11-20T00:00:00"/>
    <d v="2023-04-27T00:00:00"/>
    <x v="0"/>
    <n v="39"/>
    <s v="month"/>
    <n v="158"/>
    <s v="Sunday"/>
  </r>
  <r>
    <x v="546"/>
    <d v="2022-11-20T00:00:00"/>
    <d v="2023-01-19T00:00:00"/>
    <x v="0"/>
    <n v="39"/>
    <s v="month"/>
    <n v="60"/>
    <s v="Sunday"/>
  </r>
  <r>
    <x v="547"/>
    <d v="2022-11-21T00:00:00"/>
    <m/>
    <x v="1"/>
    <n v="39"/>
    <s v="month"/>
    <s v=""/>
    <s v="Monday"/>
  </r>
  <r>
    <x v="548"/>
    <d v="2022-11-21T00:00:00"/>
    <d v="2023-02-20T00:00:00"/>
    <x v="0"/>
    <n v="39"/>
    <s v="month"/>
    <n v="91"/>
    <s v="Monday"/>
  </r>
  <r>
    <x v="549"/>
    <d v="2022-11-21T00:00:00"/>
    <d v="2022-12-21T00:00:00"/>
    <x v="0"/>
    <n v="39"/>
    <s v="month"/>
    <n v="30"/>
    <s v="Monday"/>
  </r>
  <r>
    <x v="550"/>
    <d v="2022-11-21T00:00:00"/>
    <d v="2022-12-28T00:00:00"/>
    <x v="0"/>
    <n v="39"/>
    <s v="month"/>
    <n v="37"/>
    <s v="Monday"/>
  </r>
  <r>
    <x v="551"/>
    <d v="2022-11-22T00:00:00"/>
    <m/>
    <x v="0"/>
    <n v="39"/>
    <s v="month"/>
    <s v=""/>
    <s v="Tuesday"/>
  </r>
  <r>
    <x v="552"/>
    <d v="2022-11-22T00:00:00"/>
    <d v="2022-11-23T00:00:00"/>
    <x v="1"/>
    <n v="39"/>
    <s v="month"/>
    <n v="1"/>
    <s v="Tuesday"/>
  </r>
  <r>
    <x v="553"/>
    <d v="2022-11-22T00:00:00"/>
    <d v="2023-03-29T00:00:00"/>
    <x v="0"/>
    <n v="39"/>
    <s v="month"/>
    <n v="127"/>
    <s v="Tuesday"/>
  </r>
  <r>
    <x v="554"/>
    <d v="2022-11-22T00:00:00"/>
    <d v="2023-01-23T00:00:00"/>
    <x v="0"/>
    <n v="39"/>
    <s v="month"/>
    <n v="62"/>
    <s v="Tuesday"/>
  </r>
  <r>
    <x v="555"/>
    <d v="2022-11-23T00:00:00"/>
    <d v="2023-01-19T00:00:00"/>
    <x v="0"/>
    <n v="39"/>
    <s v="month"/>
    <n v="57"/>
    <s v="Wednesday"/>
  </r>
  <r>
    <x v="556"/>
    <d v="2022-11-23T00:00:00"/>
    <d v="2022-11-26T00:00:00"/>
    <x v="0"/>
    <n v="39"/>
    <s v="month"/>
    <n v="3"/>
    <s v="Wednesday"/>
  </r>
  <r>
    <x v="557"/>
    <d v="2022-11-24T00:00:00"/>
    <d v="2023-04-21T00:00:00"/>
    <x v="0"/>
    <n v="39"/>
    <s v="month"/>
    <n v="148"/>
    <s v="Thursday"/>
  </r>
  <r>
    <x v="558"/>
    <d v="2022-11-25T00:00:00"/>
    <m/>
    <x v="0"/>
    <n v="39"/>
    <s v="month"/>
    <s v=""/>
    <s v="Friday"/>
  </r>
  <r>
    <x v="559"/>
    <d v="2022-11-25T00:00:00"/>
    <d v="2022-12-22T00:00:00"/>
    <x v="0"/>
    <n v="39"/>
    <s v="month"/>
    <n v="27"/>
    <s v="Friday"/>
  </r>
  <r>
    <x v="560"/>
    <d v="2022-11-25T00:00:00"/>
    <d v="2023-06-13T00:00:00"/>
    <x v="0"/>
    <n v="39"/>
    <s v="month"/>
    <n v="200"/>
    <s v="Friday"/>
  </r>
  <r>
    <x v="561"/>
    <d v="2022-11-25T00:00:00"/>
    <d v="2023-03-21T00:00:00"/>
    <x v="0"/>
    <n v="39"/>
    <s v="month"/>
    <n v="116"/>
    <s v="Friday"/>
  </r>
  <r>
    <x v="562"/>
    <d v="2022-11-25T00:00:00"/>
    <d v="2023-02-01T00:00:00"/>
    <x v="0"/>
    <n v="39"/>
    <s v="month"/>
    <n v="68"/>
    <s v="Friday"/>
  </r>
  <r>
    <x v="563"/>
    <d v="2022-11-25T00:00:00"/>
    <d v="2023-02-18T00:00:00"/>
    <x v="0"/>
    <n v="39"/>
    <s v="month"/>
    <n v="85"/>
    <s v="Friday"/>
  </r>
  <r>
    <x v="564"/>
    <d v="2022-11-25T00:00:00"/>
    <d v="2023-01-30T00:00:00"/>
    <x v="0"/>
    <n v="39"/>
    <s v="month"/>
    <n v="66"/>
    <s v="Friday"/>
  </r>
  <r>
    <x v="565"/>
    <d v="2022-11-25T00:00:00"/>
    <d v="2023-01-25T00:00:00"/>
    <x v="0"/>
    <n v="39"/>
    <s v="month"/>
    <n v="61"/>
    <s v="Friday"/>
  </r>
  <r>
    <x v="566"/>
    <d v="2022-11-25T00:00:00"/>
    <d v="2022-12-11T00:00:00"/>
    <x v="0"/>
    <n v="39"/>
    <s v="month"/>
    <n v="16"/>
    <s v="Friday"/>
  </r>
  <r>
    <x v="567"/>
    <d v="2022-11-26T00:00:00"/>
    <d v="2022-11-27T00:00:00"/>
    <x v="1"/>
    <n v="39"/>
    <s v="month"/>
    <n v="1"/>
    <s v="Saturday"/>
  </r>
  <r>
    <x v="568"/>
    <d v="2022-11-26T00:00:00"/>
    <d v="2023-05-07T00:00:00"/>
    <x v="0"/>
    <n v="39"/>
    <s v="month"/>
    <n v="162"/>
    <s v="Saturday"/>
  </r>
  <r>
    <x v="569"/>
    <d v="2022-11-26T00:00:00"/>
    <d v="2023-01-26T00:00:00"/>
    <x v="0"/>
    <n v="39"/>
    <s v="month"/>
    <n v="61"/>
    <s v="Saturday"/>
  </r>
  <r>
    <x v="570"/>
    <d v="2022-11-26T00:00:00"/>
    <d v="2023-01-04T00:00:00"/>
    <x v="0"/>
    <n v="39"/>
    <s v="month"/>
    <n v="39"/>
    <s v="Saturday"/>
  </r>
  <r>
    <x v="571"/>
    <d v="2022-11-27T00:00:00"/>
    <m/>
    <x v="0"/>
    <n v="39"/>
    <s v="month"/>
    <s v=""/>
    <s v="Sunday"/>
  </r>
  <r>
    <x v="572"/>
    <d v="2022-11-27T00:00:00"/>
    <d v="2022-11-27T00:00:00"/>
    <x v="1"/>
    <n v="39"/>
    <s v="month"/>
    <n v="0"/>
    <s v="Sunday"/>
  </r>
  <r>
    <x v="573"/>
    <d v="2022-11-27T00:00:00"/>
    <d v="2023-01-03T00:00:00"/>
    <x v="0"/>
    <n v="39"/>
    <s v="month"/>
    <n v="37"/>
    <s v="Sunday"/>
  </r>
  <r>
    <x v="574"/>
    <d v="2022-11-28T00:00:00"/>
    <m/>
    <x v="0"/>
    <n v="39"/>
    <s v="month"/>
    <s v=""/>
    <s v="Monday"/>
  </r>
  <r>
    <x v="575"/>
    <d v="2022-11-28T00:00:00"/>
    <m/>
    <x v="0"/>
    <n v="39"/>
    <s v="month"/>
    <s v=""/>
    <s v="Monday"/>
  </r>
  <r>
    <x v="576"/>
    <d v="2022-11-28T00:00:00"/>
    <d v="2022-11-29T00:00:00"/>
    <x v="1"/>
    <n v="39"/>
    <s v="month"/>
    <n v="1"/>
    <s v="Monday"/>
  </r>
  <r>
    <x v="577"/>
    <d v="2022-11-28T00:00:00"/>
    <d v="2023-01-04T00:00:00"/>
    <x v="0"/>
    <n v="39"/>
    <s v="month"/>
    <n v="37"/>
    <s v="Monday"/>
  </r>
  <r>
    <x v="578"/>
    <d v="2022-11-28T00:00:00"/>
    <d v="2023-01-12T00:00:00"/>
    <x v="0"/>
    <n v="39"/>
    <s v="month"/>
    <n v="45"/>
    <s v="Monday"/>
  </r>
  <r>
    <x v="579"/>
    <d v="2022-11-28T00:00:00"/>
    <d v="2023-01-01T00:00:00"/>
    <x v="0"/>
    <n v="39"/>
    <s v="month"/>
    <n v="34"/>
    <s v="Monday"/>
  </r>
  <r>
    <x v="580"/>
    <d v="2022-11-28T00:00:00"/>
    <d v="2022-12-28T00:00:00"/>
    <x v="0"/>
    <n v="39"/>
    <s v="month"/>
    <n v="30"/>
    <s v="Monday"/>
  </r>
  <r>
    <x v="581"/>
    <d v="2022-11-28T00:00:00"/>
    <d v="2023-08-04T00:00:00"/>
    <x v="0"/>
    <n v="39"/>
    <s v="month"/>
    <n v="249"/>
    <s v="Monday"/>
  </r>
  <r>
    <x v="582"/>
    <d v="2022-11-29T00:00:00"/>
    <m/>
    <x v="0"/>
    <n v="39"/>
    <s v="month"/>
    <s v=""/>
    <s v="Tuesday"/>
  </r>
  <r>
    <x v="583"/>
    <d v="2022-11-29T00:00:00"/>
    <d v="2023-05-15T00:00:00"/>
    <x v="0"/>
    <n v="39"/>
    <s v="month"/>
    <n v="167"/>
    <s v="Tuesday"/>
  </r>
  <r>
    <x v="584"/>
    <d v="2022-11-29T00:00:00"/>
    <d v="2023-04-02T00:00:00"/>
    <x v="0"/>
    <n v="39"/>
    <s v="month"/>
    <n v="124"/>
    <s v="Tuesday"/>
  </r>
  <r>
    <x v="585"/>
    <d v="2022-11-29T00:00:00"/>
    <d v="2023-03-01T00:00:00"/>
    <x v="0"/>
    <n v="39"/>
    <s v="month"/>
    <n v="92"/>
    <s v="Tuesday"/>
  </r>
  <r>
    <x v="586"/>
    <d v="2022-11-29T00:00:00"/>
    <d v="2023-03-09T00:00:00"/>
    <x v="0"/>
    <n v="39"/>
    <s v="month"/>
    <n v="100"/>
    <s v="Tuesday"/>
  </r>
  <r>
    <x v="587"/>
    <d v="2022-11-29T00:00:00"/>
    <d v="2023-02-05T00:00:00"/>
    <x v="0"/>
    <n v="39"/>
    <s v="month"/>
    <n v="68"/>
    <s v="Tuesday"/>
  </r>
  <r>
    <x v="588"/>
    <d v="2022-11-29T00:00:00"/>
    <d v="2023-01-23T00:00:00"/>
    <x v="0"/>
    <n v="39"/>
    <s v="month"/>
    <n v="55"/>
    <s v="Tuesday"/>
  </r>
  <r>
    <x v="589"/>
    <d v="2022-11-29T00:00:00"/>
    <d v="2022-12-15T00:00:00"/>
    <x v="0"/>
    <n v="39"/>
    <s v="month"/>
    <n v="16"/>
    <s v="Tuesday"/>
  </r>
  <r>
    <x v="590"/>
    <d v="2022-11-30T00:00:00"/>
    <m/>
    <x v="0"/>
    <n v="39"/>
    <s v="month"/>
    <s v=""/>
    <s v="Wednesday"/>
  </r>
  <r>
    <x v="591"/>
    <d v="2022-11-30T00:00:00"/>
    <d v="2023-02-14T00:00:00"/>
    <x v="0"/>
    <n v="39"/>
    <s v="month"/>
    <n v="76"/>
    <s v="Wednesday"/>
  </r>
  <r>
    <x v="592"/>
    <d v="2022-11-30T00:00:00"/>
    <d v="2023-01-31T00:00:00"/>
    <x v="0"/>
    <n v="39"/>
    <s v="month"/>
    <n v="62"/>
    <s v="Wednesday"/>
  </r>
  <r>
    <x v="593"/>
    <d v="2022-11-30T00:00:00"/>
    <d v="2023-01-01T00:00:00"/>
    <x v="0"/>
    <n v="39"/>
    <s v="month"/>
    <n v="32"/>
    <s v="Wednesday"/>
  </r>
  <r>
    <x v="594"/>
    <d v="2022-11-30T00:00:00"/>
    <d v="2023-01-06T00:00:00"/>
    <x v="0"/>
    <n v="39"/>
    <s v="month"/>
    <n v="37"/>
    <s v="Wednesday"/>
  </r>
  <r>
    <x v="595"/>
    <d v="2022-11-30T00:00:00"/>
    <d v="2022-12-23T00:00:00"/>
    <x v="0"/>
    <n v="39"/>
    <s v="month"/>
    <n v="23"/>
    <s v="Wednesday"/>
  </r>
  <r>
    <x v="596"/>
    <d v="2022-11-30T00:00:00"/>
    <d v="2022-12-11T00:00:00"/>
    <x v="0"/>
    <n v="39"/>
    <s v="month"/>
    <n v="11"/>
    <s v="Wednesday"/>
  </r>
  <r>
    <x v="597"/>
    <d v="2022-12-01T00:00:00"/>
    <m/>
    <x v="0"/>
    <n v="39"/>
    <s v="month"/>
    <s v=""/>
    <s v="Thursday"/>
  </r>
  <r>
    <x v="598"/>
    <d v="2022-12-01T00:00:00"/>
    <m/>
    <x v="0"/>
    <n v="39"/>
    <s v="month"/>
    <s v=""/>
    <s v="Thursday"/>
  </r>
  <r>
    <x v="599"/>
    <d v="2022-12-01T00:00:00"/>
    <m/>
    <x v="0"/>
    <n v="39"/>
    <s v="month"/>
    <s v=""/>
    <s v="Thursday"/>
  </r>
  <r>
    <x v="600"/>
    <d v="2022-12-01T00:00:00"/>
    <m/>
    <x v="0"/>
    <n v="39"/>
    <s v="month"/>
    <s v=""/>
    <s v="Thursday"/>
  </r>
  <r>
    <x v="601"/>
    <d v="2022-12-01T00:00:00"/>
    <d v="2022-12-29T00:00:00"/>
    <x v="0"/>
    <n v="39"/>
    <s v="month"/>
    <n v="28"/>
    <s v="Thursday"/>
  </r>
  <r>
    <x v="602"/>
    <d v="2022-12-01T00:00:00"/>
    <d v="2023-02-09T00:00:00"/>
    <x v="0"/>
    <n v="39"/>
    <s v="month"/>
    <n v="70"/>
    <s v="Thursday"/>
  </r>
  <r>
    <x v="603"/>
    <d v="2022-12-01T00:00:00"/>
    <d v="2023-04-08T00:00:00"/>
    <x v="0"/>
    <n v="39"/>
    <s v="month"/>
    <n v="128"/>
    <s v="Thursday"/>
  </r>
  <r>
    <x v="604"/>
    <d v="2022-12-01T00:00:00"/>
    <d v="2023-04-08T00:00:00"/>
    <x v="0"/>
    <n v="39"/>
    <s v="month"/>
    <n v="128"/>
    <s v="Thursday"/>
  </r>
  <r>
    <x v="605"/>
    <d v="2022-12-01T00:00:00"/>
    <d v="2023-03-01T00:00:00"/>
    <x v="0"/>
    <n v="39"/>
    <s v="month"/>
    <n v="90"/>
    <s v="Thursday"/>
  </r>
  <r>
    <x v="606"/>
    <d v="2022-12-01T00:00:00"/>
    <d v="2023-03-01T00:00:00"/>
    <x v="0"/>
    <n v="39"/>
    <s v="month"/>
    <n v="90"/>
    <s v="Thursday"/>
  </r>
  <r>
    <x v="607"/>
    <d v="2022-12-01T00:00:00"/>
    <d v="2023-02-14T00:00:00"/>
    <x v="0"/>
    <n v="39"/>
    <s v="month"/>
    <n v="75"/>
    <s v="Thursday"/>
  </r>
  <r>
    <x v="608"/>
    <d v="2022-12-01T00:00:00"/>
    <d v="2023-02-08T00:00:00"/>
    <x v="0"/>
    <n v="39"/>
    <s v="month"/>
    <n v="69"/>
    <s v="Thursday"/>
  </r>
  <r>
    <x v="609"/>
    <d v="2022-12-01T00:00:00"/>
    <d v="2023-01-19T00:00:00"/>
    <x v="0"/>
    <n v="39"/>
    <s v="month"/>
    <n v="49"/>
    <s v="Thursday"/>
  </r>
  <r>
    <x v="610"/>
    <d v="2022-12-01T00:00:00"/>
    <d v="2023-01-24T00:00:00"/>
    <x v="0"/>
    <n v="39"/>
    <s v="month"/>
    <n v="54"/>
    <s v="Thursday"/>
  </r>
  <r>
    <x v="611"/>
    <d v="2022-12-01T00:00:00"/>
    <d v="2022-12-04T00:00:00"/>
    <x v="0"/>
    <n v="39"/>
    <s v="month"/>
    <n v="3"/>
    <s v="Thursday"/>
  </r>
  <r>
    <x v="612"/>
    <d v="2022-12-01T00:00:00"/>
    <d v="2022-12-23T00:00:00"/>
    <x v="0"/>
    <n v="39"/>
    <s v="month"/>
    <n v="22"/>
    <s v="Thursday"/>
  </r>
  <r>
    <x v="613"/>
    <d v="2022-12-01T00:00:00"/>
    <d v="2023-07-20T00:00:00"/>
    <x v="0"/>
    <n v="39"/>
    <s v="month"/>
    <n v="231"/>
    <s v="Thursday"/>
  </r>
  <r>
    <x v="614"/>
    <d v="2022-12-02T00:00:00"/>
    <m/>
    <x v="0"/>
    <n v="39"/>
    <s v="month"/>
    <s v=""/>
    <s v="Friday"/>
  </r>
  <r>
    <x v="615"/>
    <d v="2022-12-02T00:00:00"/>
    <m/>
    <x v="0"/>
    <n v="39"/>
    <s v="month"/>
    <s v=""/>
    <s v="Friday"/>
  </r>
  <r>
    <x v="616"/>
    <d v="2022-12-02T00:00:00"/>
    <d v="2022-12-03T00:00:00"/>
    <x v="0"/>
    <n v="39"/>
    <s v="month"/>
    <n v="1"/>
    <s v="Friday"/>
  </r>
  <r>
    <x v="617"/>
    <d v="2022-12-02T00:00:00"/>
    <d v="2022-12-03T00:00:00"/>
    <x v="1"/>
    <n v="39"/>
    <s v="month"/>
    <n v="1"/>
    <s v="Friday"/>
  </r>
  <r>
    <x v="618"/>
    <d v="2022-12-02T00:00:00"/>
    <d v="2022-12-03T00:00:00"/>
    <x v="1"/>
    <n v="39"/>
    <s v="month"/>
    <n v="1"/>
    <s v="Friday"/>
  </r>
  <r>
    <x v="619"/>
    <d v="2022-12-02T00:00:00"/>
    <d v="2023-06-02T00:00:00"/>
    <x v="0"/>
    <n v="39"/>
    <s v="month"/>
    <n v="182"/>
    <s v="Friday"/>
  </r>
  <r>
    <x v="620"/>
    <d v="2022-12-02T00:00:00"/>
    <d v="2023-02-09T00:00:00"/>
    <x v="0"/>
    <n v="39"/>
    <s v="month"/>
    <n v="69"/>
    <s v="Friday"/>
  </r>
  <r>
    <x v="621"/>
    <d v="2022-12-02T00:00:00"/>
    <d v="2023-02-01T00:00:00"/>
    <x v="0"/>
    <n v="39"/>
    <s v="month"/>
    <n v="61"/>
    <s v="Friday"/>
  </r>
  <r>
    <x v="622"/>
    <d v="2022-12-02T00:00:00"/>
    <d v="2022-12-30T00:00:00"/>
    <x v="0"/>
    <n v="39"/>
    <s v="month"/>
    <n v="28"/>
    <s v="Friday"/>
  </r>
  <r>
    <x v="623"/>
    <d v="2022-12-02T00:00:00"/>
    <d v="2022-12-29T00:00:00"/>
    <x v="0"/>
    <n v="39"/>
    <s v="month"/>
    <n v="27"/>
    <s v="Friday"/>
  </r>
  <r>
    <x v="624"/>
    <d v="2022-12-02T00:00:00"/>
    <d v="2022-12-21T00:00:00"/>
    <x v="0"/>
    <n v="39"/>
    <s v="month"/>
    <n v="19"/>
    <s v="Friday"/>
  </r>
  <r>
    <x v="625"/>
    <d v="2022-12-02T00:00:00"/>
    <d v="2022-12-06T00:00:00"/>
    <x v="0"/>
    <n v="39"/>
    <s v="month"/>
    <n v="4"/>
    <s v="Friday"/>
  </r>
  <r>
    <x v="626"/>
    <d v="2022-12-02T00:00:00"/>
    <d v="2023-07-06T00:00:00"/>
    <x v="0"/>
    <n v="39"/>
    <s v="month"/>
    <n v="216"/>
    <s v="Friday"/>
  </r>
  <r>
    <x v="627"/>
    <d v="2022-12-03T00:00:00"/>
    <m/>
    <x v="0"/>
    <n v="39"/>
    <s v="month"/>
    <s v=""/>
    <s v="Saturday"/>
  </r>
  <r>
    <x v="628"/>
    <d v="2022-12-03T00:00:00"/>
    <m/>
    <x v="0"/>
    <n v="39"/>
    <s v="month"/>
    <s v=""/>
    <s v="Saturday"/>
  </r>
  <r>
    <x v="629"/>
    <d v="2022-12-03T00:00:00"/>
    <m/>
    <x v="0"/>
    <n v="39"/>
    <s v="month"/>
    <s v=""/>
    <s v="Saturday"/>
  </r>
  <r>
    <x v="630"/>
    <d v="2022-12-03T00:00:00"/>
    <m/>
    <x v="0"/>
    <n v="39"/>
    <s v="month"/>
    <s v=""/>
    <s v="Saturday"/>
  </r>
  <r>
    <x v="631"/>
    <d v="2022-12-03T00:00:00"/>
    <d v="2022-12-04T00:00:00"/>
    <x v="1"/>
    <n v="39"/>
    <s v="month"/>
    <n v="1"/>
    <s v="Saturday"/>
  </r>
  <r>
    <x v="632"/>
    <d v="2022-12-03T00:00:00"/>
    <d v="2023-06-10T00:00:00"/>
    <x v="0"/>
    <n v="39"/>
    <s v="month"/>
    <n v="189"/>
    <s v="Saturday"/>
  </r>
  <r>
    <x v="633"/>
    <d v="2022-12-03T00:00:00"/>
    <d v="2023-03-02T00:00:00"/>
    <x v="0"/>
    <n v="39"/>
    <s v="month"/>
    <n v="89"/>
    <s v="Saturday"/>
  </r>
  <r>
    <x v="634"/>
    <d v="2022-12-03T00:00:00"/>
    <d v="2023-01-29T00:00:00"/>
    <x v="0"/>
    <n v="39"/>
    <s v="month"/>
    <n v="57"/>
    <s v="Saturday"/>
  </r>
  <r>
    <x v="635"/>
    <d v="2022-12-04T00:00:00"/>
    <d v="2023-04-19T00:00:00"/>
    <x v="0"/>
    <n v="39"/>
    <s v="month"/>
    <n v="136"/>
    <s v="Sunday"/>
  </r>
  <r>
    <x v="636"/>
    <d v="2022-12-04T00:00:00"/>
    <d v="2023-05-04T00:00:00"/>
    <x v="0"/>
    <n v="39"/>
    <s v="month"/>
    <n v="151"/>
    <s v="Sunday"/>
  </r>
  <r>
    <x v="637"/>
    <d v="2022-12-04T00:00:00"/>
    <d v="2023-03-25T00:00:00"/>
    <x v="0"/>
    <n v="39"/>
    <s v="month"/>
    <n v="111"/>
    <s v="Sunday"/>
  </r>
  <r>
    <x v="638"/>
    <d v="2022-12-05T00:00:00"/>
    <m/>
    <x v="0"/>
    <n v="39"/>
    <s v="month"/>
    <s v=""/>
    <s v="Monday"/>
  </r>
  <r>
    <x v="639"/>
    <d v="2022-12-05T00:00:00"/>
    <d v="2022-12-06T00:00:00"/>
    <x v="0"/>
    <n v="39"/>
    <s v="month"/>
    <n v="1"/>
    <s v="Monday"/>
  </r>
  <r>
    <x v="640"/>
    <d v="2022-12-05T00:00:00"/>
    <d v="2023-07-03T00:00:00"/>
    <x v="0"/>
    <n v="39"/>
    <s v="month"/>
    <n v="210"/>
    <s v="Monday"/>
  </r>
  <r>
    <x v="641"/>
    <d v="2022-12-05T00:00:00"/>
    <d v="2023-02-05T00:00:00"/>
    <x v="0"/>
    <n v="39"/>
    <s v="month"/>
    <n v="62"/>
    <s v="Monday"/>
  </r>
  <r>
    <x v="642"/>
    <d v="2022-12-05T00:00:00"/>
    <d v="2023-02-06T00:00:00"/>
    <x v="0"/>
    <n v="39"/>
    <s v="month"/>
    <n v="63"/>
    <s v="Monday"/>
  </r>
  <r>
    <x v="643"/>
    <d v="2022-12-05T00:00:00"/>
    <d v="2023-01-13T00:00:00"/>
    <x v="0"/>
    <n v="39"/>
    <s v="month"/>
    <n v="39"/>
    <s v="Monday"/>
  </r>
  <r>
    <x v="644"/>
    <d v="2022-12-05T00:00:00"/>
    <d v="2023-01-05T00:00:00"/>
    <x v="0"/>
    <n v="39"/>
    <s v="month"/>
    <n v="31"/>
    <s v="Monday"/>
  </r>
  <r>
    <x v="645"/>
    <d v="2022-12-05T00:00:00"/>
    <d v="2022-12-29T00:00:00"/>
    <x v="0"/>
    <n v="39"/>
    <s v="month"/>
    <n v="24"/>
    <s v="Monday"/>
  </r>
  <r>
    <x v="646"/>
    <d v="2022-12-06T00:00:00"/>
    <d v="2023-04-11T00:00:00"/>
    <x v="0"/>
    <n v="39"/>
    <s v="month"/>
    <n v="126"/>
    <s v="Tuesday"/>
  </r>
  <r>
    <x v="647"/>
    <d v="2022-12-06T00:00:00"/>
    <d v="2023-05-04T00:00:00"/>
    <x v="0"/>
    <n v="39"/>
    <s v="month"/>
    <n v="149"/>
    <s v="Tuesday"/>
  </r>
  <r>
    <x v="648"/>
    <d v="2022-12-06T00:00:00"/>
    <d v="2023-03-02T00:00:00"/>
    <x v="0"/>
    <n v="39"/>
    <s v="month"/>
    <n v="86"/>
    <s v="Tuesday"/>
  </r>
  <r>
    <x v="649"/>
    <d v="2022-12-06T00:00:00"/>
    <d v="2023-02-01T00:00:00"/>
    <x v="0"/>
    <n v="39"/>
    <s v="month"/>
    <n v="57"/>
    <s v="Tuesday"/>
  </r>
  <r>
    <x v="650"/>
    <d v="2022-12-06T00:00:00"/>
    <d v="2023-02-13T00:00:00"/>
    <x v="0"/>
    <n v="39"/>
    <s v="month"/>
    <n v="69"/>
    <s v="Tuesday"/>
  </r>
  <r>
    <x v="651"/>
    <d v="2022-12-06T00:00:00"/>
    <d v="2023-01-31T00:00:00"/>
    <x v="0"/>
    <n v="39"/>
    <s v="month"/>
    <n v="56"/>
    <s v="Tuesday"/>
  </r>
  <r>
    <x v="652"/>
    <d v="2022-12-06T00:00:00"/>
    <d v="2023-01-13T00:00:00"/>
    <x v="0"/>
    <n v="39"/>
    <s v="month"/>
    <n v="38"/>
    <s v="Tuesday"/>
  </r>
  <r>
    <x v="653"/>
    <d v="2022-12-06T00:00:00"/>
    <d v="2023-01-26T00:00:00"/>
    <x v="0"/>
    <n v="39"/>
    <s v="month"/>
    <n v="51"/>
    <s v="Tuesday"/>
  </r>
  <r>
    <x v="654"/>
    <d v="2022-12-06T00:00:00"/>
    <d v="2023-01-13T00:00:00"/>
    <x v="0"/>
    <n v="39"/>
    <s v="month"/>
    <n v="38"/>
    <s v="Tuesday"/>
  </r>
  <r>
    <x v="655"/>
    <d v="2022-12-07T00:00:00"/>
    <m/>
    <x v="0"/>
    <n v="39"/>
    <s v="month"/>
    <s v=""/>
    <s v="Wednesday"/>
  </r>
  <r>
    <x v="656"/>
    <d v="2022-12-07T00:00:00"/>
    <d v="2023-01-02T00:00:00"/>
    <x v="0"/>
    <n v="39"/>
    <s v="month"/>
    <n v="26"/>
    <s v="Wednesday"/>
  </r>
  <r>
    <x v="657"/>
    <d v="2022-12-07T00:00:00"/>
    <d v="2023-02-14T00:00:00"/>
    <x v="0"/>
    <n v="39"/>
    <s v="month"/>
    <n v="69"/>
    <s v="Wednesday"/>
  </r>
  <r>
    <x v="658"/>
    <d v="2022-12-07T00:00:00"/>
    <d v="2023-02-27T00:00:00"/>
    <x v="0"/>
    <n v="39"/>
    <s v="month"/>
    <n v="82"/>
    <s v="Wednesday"/>
  </r>
  <r>
    <x v="659"/>
    <d v="2022-12-07T00:00:00"/>
    <d v="2022-12-28T00:00:00"/>
    <x v="0"/>
    <n v="39"/>
    <s v="month"/>
    <n v="21"/>
    <s v="Wednesday"/>
  </r>
  <r>
    <x v="660"/>
    <d v="2022-12-07T00:00:00"/>
    <d v="2022-12-22T00:00:00"/>
    <x v="0"/>
    <n v="39"/>
    <s v="month"/>
    <n v="15"/>
    <s v="Wednesday"/>
  </r>
  <r>
    <x v="661"/>
    <d v="2022-12-08T00:00:00"/>
    <m/>
    <x v="0"/>
    <n v="39"/>
    <s v="month"/>
    <s v=""/>
    <s v="Thursday"/>
  </r>
  <r>
    <x v="662"/>
    <d v="2022-12-08T00:00:00"/>
    <m/>
    <x v="0"/>
    <n v="39"/>
    <s v="month"/>
    <s v=""/>
    <s v="Thursday"/>
  </r>
  <r>
    <x v="663"/>
    <d v="2022-12-08T00:00:00"/>
    <m/>
    <x v="0"/>
    <n v="39"/>
    <s v="month"/>
    <s v=""/>
    <s v="Thursday"/>
  </r>
  <r>
    <x v="664"/>
    <d v="2022-12-08T00:00:00"/>
    <d v="2022-12-09T00:00:00"/>
    <x v="1"/>
    <n v="39"/>
    <s v="month"/>
    <n v="1"/>
    <s v="Thursday"/>
  </r>
  <r>
    <x v="639"/>
    <d v="2022-12-08T00:00:00"/>
    <d v="2023-05-15T00:00:00"/>
    <x v="0"/>
    <n v="39"/>
    <s v="month"/>
    <n v="158"/>
    <s v="Thursday"/>
  </r>
  <r>
    <x v="665"/>
    <d v="2022-12-08T00:00:00"/>
    <d v="2023-02-03T00:00:00"/>
    <x v="0"/>
    <n v="39"/>
    <s v="month"/>
    <n v="57"/>
    <s v="Thursday"/>
  </r>
  <r>
    <x v="666"/>
    <d v="2022-12-08T00:00:00"/>
    <d v="2023-01-15T00:00:00"/>
    <x v="0"/>
    <n v="39"/>
    <s v="month"/>
    <n v="38"/>
    <s v="Thursday"/>
  </r>
  <r>
    <x v="667"/>
    <d v="2022-12-08T00:00:00"/>
    <d v="2022-12-12T00:00:00"/>
    <x v="0"/>
    <n v="39"/>
    <s v="month"/>
    <n v="4"/>
    <s v="Thursday"/>
  </r>
  <r>
    <x v="668"/>
    <d v="2022-12-08T00:00:00"/>
    <d v="2022-12-27T00:00:00"/>
    <x v="0"/>
    <n v="39"/>
    <s v="month"/>
    <n v="19"/>
    <s v="Thursday"/>
  </r>
  <r>
    <x v="669"/>
    <d v="2022-12-09T00:00:00"/>
    <d v="2023-07-05T00:00:00"/>
    <x v="0"/>
    <n v="39"/>
    <s v="month"/>
    <n v="208"/>
    <s v="Friday"/>
  </r>
  <r>
    <x v="670"/>
    <d v="2022-12-09T00:00:00"/>
    <d v="2023-04-22T00:00:00"/>
    <x v="0"/>
    <n v="39"/>
    <s v="month"/>
    <n v="134"/>
    <s v="Friday"/>
  </r>
  <r>
    <x v="671"/>
    <d v="2022-12-09T00:00:00"/>
    <d v="2023-02-06T00:00:00"/>
    <x v="0"/>
    <n v="39"/>
    <s v="month"/>
    <n v="59"/>
    <s v="Friday"/>
  </r>
  <r>
    <x v="672"/>
    <d v="2022-12-09T00:00:00"/>
    <d v="2023-01-13T00:00:00"/>
    <x v="0"/>
    <n v="39"/>
    <s v="month"/>
    <n v="35"/>
    <s v="Friday"/>
  </r>
  <r>
    <x v="673"/>
    <d v="2022-12-09T00:00:00"/>
    <d v="2023-01-20T00:00:00"/>
    <x v="0"/>
    <n v="39"/>
    <s v="month"/>
    <n v="42"/>
    <s v="Friday"/>
  </r>
  <r>
    <x v="674"/>
    <d v="2022-12-09T00:00:00"/>
    <d v="2023-07-16T00:00:00"/>
    <x v="0"/>
    <n v="39"/>
    <s v="month"/>
    <n v="219"/>
    <s v="Friday"/>
  </r>
  <r>
    <x v="675"/>
    <d v="2022-12-10T00:00:00"/>
    <d v="2023-03-04T00:00:00"/>
    <x v="0"/>
    <n v="39"/>
    <s v="month"/>
    <n v="84"/>
    <s v="Saturday"/>
  </r>
  <r>
    <x v="676"/>
    <d v="2022-12-10T00:00:00"/>
    <d v="2023-02-08T00:00:00"/>
    <x v="0"/>
    <n v="39"/>
    <s v="month"/>
    <n v="60"/>
    <s v="Saturday"/>
  </r>
  <r>
    <x v="677"/>
    <d v="2022-12-10T00:00:00"/>
    <d v="2023-01-14T00:00:00"/>
    <x v="0"/>
    <n v="39"/>
    <s v="month"/>
    <n v="35"/>
    <s v="Saturday"/>
  </r>
  <r>
    <x v="678"/>
    <d v="2022-12-10T00:00:00"/>
    <d v="2023-01-03T00:00:00"/>
    <x v="0"/>
    <n v="39"/>
    <s v="month"/>
    <n v="24"/>
    <s v="Saturday"/>
  </r>
  <r>
    <x v="679"/>
    <d v="2022-12-11T00:00:00"/>
    <m/>
    <x v="0"/>
    <n v="39"/>
    <s v="month"/>
    <s v=""/>
    <s v="Sunday"/>
  </r>
  <r>
    <x v="680"/>
    <d v="2022-12-11T00:00:00"/>
    <m/>
    <x v="0"/>
    <n v="39"/>
    <s v="month"/>
    <s v=""/>
    <s v="Sunday"/>
  </r>
  <r>
    <x v="681"/>
    <d v="2022-12-11T00:00:00"/>
    <d v="2022-12-12T00:00:00"/>
    <x v="0"/>
    <n v="39"/>
    <s v="month"/>
    <n v="1"/>
    <s v="Sunday"/>
  </r>
  <r>
    <x v="682"/>
    <d v="2022-12-11T00:00:00"/>
    <d v="2023-06-18T00:00:00"/>
    <x v="0"/>
    <n v="39"/>
    <s v="month"/>
    <n v="189"/>
    <s v="Sunday"/>
  </r>
  <r>
    <x v="683"/>
    <d v="2022-12-11T00:00:00"/>
    <d v="2023-04-11T00:00:00"/>
    <x v="0"/>
    <n v="39"/>
    <s v="month"/>
    <n v="121"/>
    <s v="Sunday"/>
  </r>
  <r>
    <x v="684"/>
    <d v="2022-12-11T00:00:00"/>
    <d v="2023-05-01T00:00:00"/>
    <x v="0"/>
    <n v="39"/>
    <s v="month"/>
    <n v="141"/>
    <s v="Sunday"/>
  </r>
  <r>
    <x v="685"/>
    <d v="2022-12-11T00:00:00"/>
    <d v="2023-02-26T00:00:00"/>
    <x v="0"/>
    <n v="39"/>
    <s v="month"/>
    <n v="77"/>
    <s v="Sunday"/>
  </r>
  <r>
    <x v="686"/>
    <d v="2022-12-11T00:00:00"/>
    <d v="2023-01-18T00:00:00"/>
    <x v="0"/>
    <n v="39"/>
    <s v="month"/>
    <n v="38"/>
    <s v="Sunday"/>
  </r>
  <r>
    <x v="687"/>
    <d v="2022-12-12T00:00:00"/>
    <m/>
    <x v="0"/>
    <n v="39"/>
    <s v="month"/>
    <s v=""/>
    <s v="Monday"/>
  </r>
  <r>
    <x v="688"/>
    <d v="2022-12-12T00:00:00"/>
    <m/>
    <x v="0"/>
    <n v="39"/>
    <s v="month"/>
    <s v=""/>
    <s v="Monday"/>
  </r>
  <r>
    <x v="689"/>
    <d v="2022-12-12T00:00:00"/>
    <m/>
    <x v="1"/>
    <n v="39"/>
    <s v="month"/>
    <s v=""/>
    <s v="Monday"/>
  </r>
  <r>
    <x v="690"/>
    <d v="2022-12-12T00:00:00"/>
    <d v="2023-01-27T00:00:00"/>
    <x v="0"/>
    <n v="39"/>
    <s v="month"/>
    <n v="46"/>
    <s v="Monday"/>
  </r>
  <r>
    <x v="691"/>
    <d v="2022-12-12T00:00:00"/>
    <d v="2023-03-13T00:00:00"/>
    <x v="0"/>
    <n v="39"/>
    <s v="month"/>
    <n v="91"/>
    <s v="Monday"/>
  </r>
  <r>
    <x v="692"/>
    <d v="2022-12-12T00:00:00"/>
    <d v="2023-03-07T00:00:00"/>
    <x v="0"/>
    <n v="39"/>
    <s v="month"/>
    <n v="85"/>
    <s v="Monday"/>
  </r>
  <r>
    <x v="693"/>
    <d v="2022-12-12T00:00:00"/>
    <d v="2023-01-30T00:00:00"/>
    <x v="0"/>
    <n v="39"/>
    <s v="month"/>
    <n v="49"/>
    <s v="Monday"/>
  </r>
  <r>
    <x v="694"/>
    <d v="2022-12-12T00:00:00"/>
    <d v="2023-01-23T00:00:00"/>
    <x v="0"/>
    <n v="39"/>
    <s v="month"/>
    <n v="42"/>
    <s v="Monday"/>
  </r>
  <r>
    <x v="695"/>
    <d v="2022-12-12T00:00:00"/>
    <d v="2023-08-09T00:00:00"/>
    <x v="0"/>
    <n v="39"/>
    <s v="month"/>
    <n v="240"/>
    <s v="Monday"/>
  </r>
  <r>
    <x v="696"/>
    <d v="2022-12-13T00:00:00"/>
    <m/>
    <x v="0"/>
    <n v="39"/>
    <s v="month"/>
    <s v=""/>
    <s v="Tuesday"/>
  </r>
  <r>
    <x v="697"/>
    <d v="2022-12-13T00:00:00"/>
    <d v="2023-03-20T00:00:00"/>
    <x v="0"/>
    <n v="39"/>
    <s v="month"/>
    <n v="97"/>
    <s v="Tuesday"/>
  </r>
  <r>
    <x v="698"/>
    <d v="2022-12-13T00:00:00"/>
    <d v="2023-03-13T00:00:00"/>
    <x v="0"/>
    <n v="39"/>
    <s v="month"/>
    <n v="90"/>
    <s v="Tuesday"/>
  </r>
  <r>
    <x v="699"/>
    <d v="2022-12-13T00:00:00"/>
    <d v="2023-02-13T00:00:00"/>
    <x v="0"/>
    <n v="39"/>
    <s v="month"/>
    <n v="62"/>
    <s v="Tuesday"/>
  </r>
  <r>
    <x v="700"/>
    <d v="2022-12-13T00:00:00"/>
    <d v="2023-02-21T00:00:00"/>
    <x v="0"/>
    <n v="39"/>
    <s v="month"/>
    <n v="70"/>
    <s v="Tuesday"/>
  </r>
  <r>
    <x v="701"/>
    <d v="2022-12-14T00:00:00"/>
    <m/>
    <x v="0"/>
    <n v="39"/>
    <s v="month"/>
    <s v=""/>
    <s v="Wednesday"/>
  </r>
  <r>
    <x v="702"/>
    <d v="2022-12-14T00:00:00"/>
    <m/>
    <x v="1"/>
    <n v="39"/>
    <s v="month"/>
    <s v=""/>
    <s v="Wednesday"/>
  </r>
  <r>
    <x v="703"/>
    <d v="2022-12-14T00:00:00"/>
    <d v="2023-02-11T00:00:00"/>
    <x v="0"/>
    <n v="39"/>
    <s v="month"/>
    <n v="59"/>
    <s v="Wednesday"/>
  </r>
  <r>
    <x v="704"/>
    <d v="2022-12-14T00:00:00"/>
    <d v="2023-02-21T00:00:00"/>
    <x v="0"/>
    <n v="39"/>
    <s v="month"/>
    <n v="69"/>
    <s v="Wednesday"/>
  </r>
  <r>
    <x v="705"/>
    <d v="2022-12-14T00:00:00"/>
    <d v="2023-01-02T00:00:00"/>
    <x v="0"/>
    <n v="39"/>
    <s v="month"/>
    <n v="19"/>
    <s v="Wednesday"/>
  </r>
  <r>
    <x v="706"/>
    <d v="2022-12-14T00:00:00"/>
    <d v="2023-01-31T00:00:00"/>
    <x v="0"/>
    <n v="39"/>
    <s v="month"/>
    <n v="48"/>
    <s v="Wednesday"/>
  </r>
  <r>
    <x v="707"/>
    <d v="2022-12-14T00:00:00"/>
    <d v="2023-01-14T00:00:00"/>
    <x v="0"/>
    <n v="39"/>
    <s v="month"/>
    <n v="31"/>
    <s v="Wednesday"/>
  </r>
  <r>
    <x v="708"/>
    <d v="2022-12-14T00:00:00"/>
    <d v="2023-07-04T00:00:00"/>
    <x v="0"/>
    <n v="39"/>
    <s v="month"/>
    <n v="202"/>
    <s v="Wednesday"/>
  </r>
  <r>
    <x v="709"/>
    <d v="2022-12-14T00:00:00"/>
    <d v="2023-08-04T00:00:00"/>
    <x v="0"/>
    <n v="39"/>
    <s v="month"/>
    <n v="233"/>
    <s v="Wednesday"/>
  </r>
  <r>
    <x v="710"/>
    <d v="2022-12-15T00:00:00"/>
    <m/>
    <x v="0"/>
    <n v="39"/>
    <s v="month"/>
    <s v=""/>
    <s v="Thursday"/>
  </r>
  <r>
    <x v="711"/>
    <d v="2022-12-15T00:00:00"/>
    <d v="2023-04-18T00:00:00"/>
    <x v="0"/>
    <n v="39"/>
    <s v="month"/>
    <n v="124"/>
    <s v="Thursday"/>
  </r>
  <r>
    <x v="712"/>
    <d v="2022-12-15T00:00:00"/>
    <d v="2023-05-30T00:00:00"/>
    <x v="0"/>
    <n v="39"/>
    <s v="month"/>
    <n v="166"/>
    <s v="Thursday"/>
  </r>
  <r>
    <x v="713"/>
    <d v="2022-12-15T00:00:00"/>
    <d v="2023-03-14T00:00:00"/>
    <x v="0"/>
    <n v="39"/>
    <s v="month"/>
    <n v="89"/>
    <s v="Thursday"/>
  </r>
  <r>
    <x v="714"/>
    <d v="2022-12-15T00:00:00"/>
    <d v="2023-01-18T00:00:00"/>
    <x v="0"/>
    <n v="39"/>
    <s v="month"/>
    <n v="34"/>
    <s v="Thursday"/>
  </r>
  <r>
    <x v="715"/>
    <d v="2022-12-15T00:00:00"/>
    <d v="2022-12-15T00:00:00"/>
    <x v="0"/>
    <n v="39"/>
    <s v="month"/>
    <n v="0"/>
    <s v="Thursday"/>
  </r>
  <r>
    <x v="716"/>
    <d v="2022-12-16T00:00:00"/>
    <d v="2022-12-17T00:00:00"/>
    <x v="1"/>
    <n v="39"/>
    <s v="month"/>
    <n v="1"/>
    <s v="Friday"/>
  </r>
  <r>
    <x v="717"/>
    <d v="2022-12-16T00:00:00"/>
    <d v="2023-03-23T00:00:00"/>
    <x v="0"/>
    <n v="39"/>
    <s v="month"/>
    <n v="97"/>
    <s v="Friday"/>
  </r>
  <r>
    <x v="718"/>
    <d v="2022-12-16T00:00:00"/>
    <d v="2023-04-13T00:00:00"/>
    <x v="0"/>
    <n v="39"/>
    <s v="month"/>
    <n v="118"/>
    <s v="Friday"/>
  </r>
  <r>
    <x v="719"/>
    <d v="2022-12-16T00:00:00"/>
    <d v="2023-04-14T00:00:00"/>
    <x v="0"/>
    <n v="39"/>
    <s v="month"/>
    <n v="119"/>
    <s v="Friday"/>
  </r>
  <r>
    <x v="720"/>
    <d v="2022-12-16T00:00:00"/>
    <d v="2023-05-17T00:00:00"/>
    <x v="0"/>
    <n v="39"/>
    <s v="month"/>
    <n v="152"/>
    <s v="Friday"/>
  </r>
  <r>
    <x v="721"/>
    <d v="2022-12-16T00:00:00"/>
    <d v="2023-03-18T00:00:00"/>
    <x v="0"/>
    <n v="39"/>
    <s v="month"/>
    <n v="92"/>
    <s v="Friday"/>
  </r>
  <r>
    <x v="722"/>
    <d v="2022-12-16T00:00:00"/>
    <d v="2023-02-13T00:00:00"/>
    <x v="0"/>
    <n v="39"/>
    <s v="month"/>
    <n v="59"/>
    <s v="Friday"/>
  </r>
  <r>
    <x v="723"/>
    <d v="2022-12-16T00:00:00"/>
    <d v="2023-02-22T00:00:00"/>
    <x v="0"/>
    <n v="39"/>
    <s v="month"/>
    <n v="68"/>
    <s v="Friday"/>
  </r>
  <r>
    <x v="724"/>
    <d v="2022-12-16T00:00:00"/>
    <d v="2023-01-16T00:00:00"/>
    <x v="0"/>
    <n v="39"/>
    <s v="month"/>
    <n v="31"/>
    <s v="Friday"/>
  </r>
  <r>
    <x v="725"/>
    <d v="2022-12-16T00:00:00"/>
    <d v="2023-01-23T00:00:00"/>
    <x v="0"/>
    <n v="39"/>
    <s v="month"/>
    <n v="38"/>
    <s v="Friday"/>
  </r>
  <r>
    <x v="726"/>
    <d v="2022-12-17T00:00:00"/>
    <d v="2022-12-18T00:00:00"/>
    <x v="0"/>
    <n v="39"/>
    <s v="month"/>
    <n v="1"/>
    <s v="Saturday"/>
  </r>
  <r>
    <x v="727"/>
    <d v="2022-12-17T00:00:00"/>
    <d v="2023-02-20T00:00:00"/>
    <x v="0"/>
    <n v="39"/>
    <s v="month"/>
    <n v="65"/>
    <s v="Saturday"/>
  </r>
  <r>
    <x v="728"/>
    <d v="2022-12-17T00:00:00"/>
    <d v="2023-02-01T00:00:00"/>
    <x v="0"/>
    <n v="39"/>
    <s v="month"/>
    <n v="46"/>
    <s v="Saturday"/>
  </r>
  <r>
    <x v="729"/>
    <d v="2022-12-17T00:00:00"/>
    <d v="2023-02-10T00:00:00"/>
    <x v="0"/>
    <n v="39"/>
    <s v="month"/>
    <n v="55"/>
    <s v="Saturday"/>
  </r>
  <r>
    <x v="730"/>
    <d v="2022-12-17T00:00:00"/>
    <d v="2022-12-17T00:00:00"/>
    <x v="0"/>
    <n v="39"/>
    <s v="month"/>
    <n v="0"/>
    <s v="Saturday"/>
  </r>
  <r>
    <x v="731"/>
    <d v="2022-12-18T00:00:00"/>
    <m/>
    <x v="0"/>
    <n v="39"/>
    <s v="month"/>
    <s v=""/>
    <s v="Sunday"/>
  </r>
  <r>
    <x v="732"/>
    <d v="2022-12-18T00:00:00"/>
    <d v="2022-12-19T00:00:00"/>
    <x v="1"/>
    <n v="39"/>
    <s v="month"/>
    <n v="1"/>
    <s v="Sunday"/>
  </r>
  <r>
    <x v="733"/>
    <d v="2022-12-18T00:00:00"/>
    <d v="2023-03-21T00:00:00"/>
    <x v="0"/>
    <n v="39"/>
    <s v="month"/>
    <n v="93"/>
    <s v="Sunday"/>
  </r>
  <r>
    <x v="734"/>
    <d v="2022-12-18T00:00:00"/>
    <d v="2023-01-13T00:00:00"/>
    <x v="0"/>
    <n v="39"/>
    <s v="month"/>
    <n v="26"/>
    <s v="Sunday"/>
  </r>
  <r>
    <x v="735"/>
    <d v="2022-12-18T00:00:00"/>
    <d v="2023-01-27T00:00:00"/>
    <x v="0"/>
    <n v="39"/>
    <s v="month"/>
    <n v="40"/>
    <s v="Sunday"/>
  </r>
  <r>
    <x v="736"/>
    <d v="2022-12-18T00:00:00"/>
    <d v="2023-01-07T00:00:00"/>
    <x v="0"/>
    <n v="39"/>
    <s v="month"/>
    <n v="20"/>
    <s v="Sunday"/>
  </r>
  <r>
    <x v="737"/>
    <d v="2022-12-19T00:00:00"/>
    <m/>
    <x v="0"/>
    <n v="39"/>
    <s v="month"/>
    <s v=""/>
    <s v="Monday"/>
  </r>
  <r>
    <x v="738"/>
    <d v="2022-12-19T00:00:00"/>
    <d v="2023-02-26T00:00:00"/>
    <x v="0"/>
    <n v="39"/>
    <s v="month"/>
    <n v="69"/>
    <s v="Monday"/>
  </r>
  <r>
    <x v="739"/>
    <d v="2022-12-19T00:00:00"/>
    <d v="2023-02-23T00:00:00"/>
    <x v="0"/>
    <n v="39"/>
    <s v="month"/>
    <n v="66"/>
    <s v="Monday"/>
  </r>
  <r>
    <x v="740"/>
    <d v="2022-12-19T00:00:00"/>
    <d v="2023-01-26T00:00:00"/>
    <x v="0"/>
    <n v="39"/>
    <s v="month"/>
    <n v="38"/>
    <s v="Monday"/>
  </r>
  <r>
    <x v="741"/>
    <d v="2022-12-19T00:00:00"/>
    <d v="2023-01-02T00:00:00"/>
    <x v="0"/>
    <n v="39"/>
    <s v="month"/>
    <n v="14"/>
    <s v="Monday"/>
  </r>
  <r>
    <x v="742"/>
    <d v="2022-12-19T00:00:00"/>
    <d v="2023-08-26T00:00:00"/>
    <x v="0"/>
    <n v="39"/>
    <s v="month"/>
    <n v="250"/>
    <s v="Monday"/>
  </r>
  <r>
    <x v="726"/>
    <d v="2022-12-20T00:00:00"/>
    <m/>
    <x v="0"/>
    <n v="39"/>
    <s v="month"/>
    <s v=""/>
    <s v="Tuesday"/>
  </r>
  <r>
    <x v="743"/>
    <d v="2022-12-20T00:00:00"/>
    <m/>
    <x v="0"/>
    <n v="39"/>
    <s v="month"/>
    <s v=""/>
    <s v="Tuesday"/>
  </r>
  <r>
    <x v="744"/>
    <d v="2022-12-20T00:00:00"/>
    <m/>
    <x v="0"/>
    <n v="39"/>
    <s v="month"/>
    <s v=""/>
    <s v="Tuesday"/>
  </r>
  <r>
    <x v="745"/>
    <d v="2022-12-20T00:00:00"/>
    <d v="2022-12-21T00:00:00"/>
    <x v="1"/>
    <n v="39"/>
    <s v="month"/>
    <n v="1"/>
    <s v="Tuesday"/>
  </r>
  <r>
    <x v="746"/>
    <d v="2022-12-20T00:00:00"/>
    <d v="2023-03-27T00:00:00"/>
    <x v="0"/>
    <n v="39"/>
    <s v="month"/>
    <n v="97"/>
    <s v="Tuesday"/>
  </r>
  <r>
    <x v="747"/>
    <d v="2022-12-20T00:00:00"/>
    <d v="2023-04-29T00:00:00"/>
    <x v="0"/>
    <n v="39"/>
    <s v="month"/>
    <n v="130"/>
    <s v="Tuesday"/>
  </r>
  <r>
    <x v="748"/>
    <d v="2022-12-20T00:00:00"/>
    <d v="2023-03-03T00:00:00"/>
    <x v="0"/>
    <n v="39"/>
    <s v="month"/>
    <n v="73"/>
    <s v="Tuesday"/>
  </r>
  <r>
    <x v="749"/>
    <d v="2022-12-20T00:00:00"/>
    <d v="2023-02-10T00:00:00"/>
    <x v="0"/>
    <n v="39"/>
    <s v="month"/>
    <n v="52"/>
    <s v="Tuesday"/>
  </r>
  <r>
    <x v="750"/>
    <d v="2022-12-20T00:00:00"/>
    <d v="2023-02-22T00:00:00"/>
    <x v="0"/>
    <n v="39"/>
    <s v="month"/>
    <n v="64"/>
    <s v="Tuesday"/>
  </r>
  <r>
    <x v="751"/>
    <d v="2022-12-21T00:00:00"/>
    <m/>
    <x v="0"/>
    <n v="39"/>
    <s v="month"/>
    <s v=""/>
    <s v="Wednesday"/>
  </r>
  <r>
    <x v="752"/>
    <d v="2022-12-21T00:00:00"/>
    <d v="2023-03-28T00:00:00"/>
    <x v="0"/>
    <n v="39"/>
    <s v="month"/>
    <n v="97"/>
    <s v="Wednesday"/>
  </r>
  <r>
    <x v="753"/>
    <d v="2022-12-21T00:00:00"/>
    <d v="2023-03-28T00:00:00"/>
    <x v="0"/>
    <n v="39"/>
    <s v="month"/>
    <n v="97"/>
    <s v="Wednesday"/>
  </r>
  <r>
    <x v="754"/>
    <d v="2022-12-21T00:00:00"/>
    <d v="2023-03-18T00:00:00"/>
    <x v="0"/>
    <n v="39"/>
    <s v="month"/>
    <n v="87"/>
    <s v="Wednesday"/>
  </r>
  <r>
    <x v="755"/>
    <d v="2022-12-21T00:00:00"/>
    <d v="2023-02-25T00:00:00"/>
    <x v="0"/>
    <n v="39"/>
    <s v="month"/>
    <n v="66"/>
    <s v="Wednesday"/>
  </r>
  <r>
    <x v="756"/>
    <d v="2022-12-21T00:00:00"/>
    <d v="2023-02-25T00:00:00"/>
    <x v="0"/>
    <n v="39"/>
    <s v="month"/>
    <n v="66"/>
    <s v="Wednesday"/>
  </r>
  <r>
    <x v="757"/>
    <d v="2022-12-21T00:00:00"/>
    <d v="2023-01-22T00:00:00"/>
    <x v="0"/>
    <n v="39"/>
    <s v="month"/>
    <n v="32"/>
    <s v="Wednesday"/>
  </r>
  <r>
    <x v="758"/>
    <d v="2022-12-21T00:00:00"/>
    <d v="2022-12-21T00:00:00"/>
    <x v="0"/>
    <n v="39"/>
    <s v="month"/>
    <n v="0"/>
    <s v="Wednesday"/>
  </r>
  <r>
    <x v="759"/>
    <d v="2022-12-21T00:00:00"/>
    <d v="2023-07-07T00:00:00"/>
    <x v="0"/>
    <n v="39"/>
    <s v="month"/>
    <n v="198"/>
    <s v="Wednesday"/>
  </r>
  <r>
    <x v="760"/>
    <d v="2022-12-22T00:00:00"/>
    <m/>
    <x v="0"/>
    <n v="39"/>
    <s v="month"/>
    <s v=""/>
    <s v="Thursday"/>
  </r>
  <r>
    <x v="761"/>
    <d v="2022-12-22T00:00:00"/>
    <m/>
    <x v="0"/>
    <n v="39"/>
    <s v="month"/>
    <s v=""/>
    <s v="Thursday"/>
  </r>
  <r>
    <x v="762"/>
    <d v="2022-12-22T00:00:00"/>
    <m/>
    <x v="0"/>
    <n v="39"/>
    <s v="month"/>
    <s v=""/>
    <s v="Thursday"/>
  </r>
  <r>
    <x v="763"/>
    <d v="2022-12-22T00:00:00"/>
    <m/>
    <x v="0"/>
    <n v="39"/>
    <s v="month"/>
    <s v=""/>
    <s v="Thursday"/>
  </r>
  <r>
    <x v="505"/>
    <d v="2022-12-22T00:00:00"/>
    <d v="2022-12-23T00:00:00"/>
    <x v="0"/>
    <n v="39"/>
    <s v="month"/>
    <n v="1"/>
    <s v="Thursday"/>
  </r>
  <r>
    <x v="764"/>
    <d v="2022-12-22T00:00:00"/>
    <d v="2022-12-23T00:00:00"/>
    <x v="1"/>
    <n v="39"/>
    <s v="month"/>
    <n v="1"/>
    <s v="Thursday"/>
  </r>
  <r>
    <x v="765"/>
    <d v="2022-12-22T00:00:00"/>
    <d v="2023-01-24T00:00:00"/>
    <x v="0"/>
    <n v="39"/>
    <s v="month"/>
    <n v="33"/>
    <s v="Thursday"/>
  </r>
  <r>
    <x v="766"/>
    <d v="2022-12-22T00:00:00"/>
    <d v="2023-05-12T00:00:00"/>
    <x v="0"/>
    <n v="39"/>
    <s v="month"/>
    <n v="141"/>
    <s v="Thursday"/>
  </r>
  <r>
    <x v="767"/>
    <d v="2022-12-22T00:00:00"/>
    <d v="2023-03-15T00:00:00"/>
    <x v="0"/>
    <n v="39"/>
    <s v="month"/>
    <n v="83"/>
    <s v="Thursday"/>
  </r>
  <r>
    <x v="768"/>
    <d v="2022-12-22T00:00:00"/>
    <d v="2023-01-01T00:00:00"/>
    <x v="0"/>
    <n v="39"/>
    <s v="month"/>
    <n v="10"/>
    <s v="Thursday"/>
  </r>
  <r>
    <x v="769"/>
    <d v="2022-12-22T00:00:00"/>
    <d v="2022-12-23T00:00:00"/>
    <x v="0"/>
    <n v="39"/>
    <s v="month"/>
    <n v="1"/>
    <s v="Thursday"/>
  </r>
  <r>
    <x v="770"/>
    <d v="2022-12-23T00:00:00"/>
    <m/>
    <x v="0"/>
    <n v="39"/>
    <s v="month"/>
    <s v=""/>
    <s v="Friday"/>
  </r>
  <r>
    <x v="771"/>
    <d v="2022-12-23T00:00:00"/>
    <m/>
    <x v="0"/>
    <n v="39"/>
    <s v="month"/>
    <s v=""/>
    <s v="Friday"/>
  </r>
  <r>
    <x v="772"/>
    <d v="2022-12-23T00:00:00"/>
    <d v="2023-03-20T00:00:00"/>
    <x v="0"/>
    <n v="39"/>
    <s v="month"/>
    <n v="87"/>
    <s v="Friday"/>
  </r>
  <r>
    <x v="773"/>
    <d v="2022-12-23T00:00:00"/>
    <d v="2023-01-30T00:00:00"/>
    <x v="0"/>
    <n v="39"/>
    <s v="month"/>
    <n v="38"/>
    <s v="Friday"/>
  </r>
  <r>
    <x v="774"/>
    <d v="2022-12-24T00:00:00"/>
    <m/>
    <x v="0"/>
    <n v="39"/>
    <s v="month"/>
    <s v=""/>
    <s v="Saturday"/>
  </r>
  <r>
    <x v="775"/>
    <d v="2022-12-24T00:00:00"/>
    <d v="2022-12-24T00:00:00"/>
    <x v="0"/>
    <n v="39"/>
    <s v="month"/>
    <n v="0"/>
    <s v="Saturday"/>
  </r>
  <r>
    <x v="776"/>
    <d v="2022-12-24T00:00:00"/>
    <d v="2023-04-19T00:00:00"/>
    <x v="0"/>
    <n v="39"/>
    <s v="month"/>
    <n v="116"/>
    <s v="Saturday"/>
  </r>
  <r>
    <x v="777"/>
    <d v="2022-12-24T00:00:00"/>
    <d v="2023-03-13T00:00:00"/>
    <x v="0"/>
    <n v="39"/>
    <s v="month"/>
    <n v="79"/>
    <s v="Saturday"/>
  </r>
  <r>
    <x v="778"/>
    <d v="2022-12-24T00:00:00"/>
    <d v="2023-01-23T00:00:00"/>
    <x v="0"/>
    <n v="39"/>
    <s v="month"/>
    <n v="30"/>
    <s v="Saturday"/>
  </r>
  <r>
    <x v="779"/>
    <d v="2022-12-24T00:00:00"/>
    <d v="2023-01-09T00:00:00"/>
    <x v="0"/>
    <n v="39"/>
    <s v="month"/>
    <n v="16"/>
    <s v="Saturday"/>
  </r>
  <r>
    <x v="780"/>
    <d v="2022-12-24T00:00:00"/>
    <d v="2023-01-08T00:00:00"/>
    <x v="0"/>
    <n v="39"/>
    <s v="month"/>
    <n v="15"/>
    <s v="Saturday"/>
  </r>
  <r>
    <x v="781"/>
    <d v="2022-12-24T00:00:00"/>
    <d v="2022-12-25T00:00:00"/>
    <x v="0"/>
    <n v="39"/>
    <s v="month"/>
    <n v="1"/>
    <s v="Saturday"/>
  </r>
  <r>
    <x v="782"/>
    <d v="2022-12-25T00:00:00"/>
    <m/>
    <x v="0"/>
    <n v="39"/>
    <s v="month"/>
    <s v=""/>
    <s v="Sunday"/>
  </r>
  <r>
    <x v="783"/>
    <d v="2022-12-25T00:00:00"/>
    <d v="2023-02-22T00:00:00"/>
    <x v="0"/>
    <n v="39"/>
    <s v="month"/>
    <n v="59"/>
    <s v="Sunday"/>
  </r>
  <r>
    <x v="784"/>
    <d v="2022-12-25T00:00:00"/>
    <d v="2023-01-24T00:00:00"/>
    <x v="0"/>
    <n v="39"/>
    <s v="month"/>
    <n v="30"/>
    <s v="Sunday"/>
  </r>
  <r>
    <x v="785"/>
    <d v="2022-12-26T00:00:00"/>
    <m/>
    <x v="0"/>
    <n v="39"/>
    <s v="month"/>
    <s v=""/>
    <s v="Monday"/>
  </r>
  <r>
    <x v="786"/>
    <d v="2022-12-26T00:00:00"/>
    <d v="2023-01-14T00:00:00"/>
    <x v="0"/>
    <n v="39"/>
    <s v="month"/>
    <n v="19"/>
    <s v="Monday"/>
  </r>
  <r>
    <x v="787"/>
    <d v="2022-12-27T00:00:00"/>
    <m/>
    <x v="0"/>
    <n v="39"/>
    <s v="month"/>
    <s v=""/>
    <s v="Tuesday"/>
  </r>
  <r>
    <x v="788"/>
    <d v="2022-12-27T00:00:00"/>
    <d v="2022-12-28T00:00:00"/>
    <x v="0"/>
    <n v="39"/>
    <s v="month"/>
    <n v="1"/>
    <s v="Tuesday"/>
  </r>
  <r>
    <x v="789"/>
    <d v="2022-12-27T00:00:00"/>
    <d v="2023-04-01T00:00:00"/>
    <x v="0"/>
    <n v="39"/>
    <s v="month"/>
    <n v="95"/>
    <s v="Tuesday"/>
  </r>
  <r>
    <x v="790"/>
    <d v="2022-12-27T00:00:00"/>
    <d v="2023-03-06T00:00:00"/>
    <x v="0"/>
    <n v="39"/>
    <s v="month"/>
    <n v="69"/>
    <s v="Tuesday"/>
  </r>
  <r>
    <x v="791"/>
    <d v="2022-12-27T00:00:00"/>
    <d v="2023-02-03T00:00:00"/>
    <x v="0"/>
    <n v="39"/>
    <s v="month"/>
    <n v="38"/>
    <s v="Tuesday"/>
  </r>
  <r>
    <x v="792"/>
    <d v="2022-12-27T00:00:00"/>
    <d v="2023-02-03T00:00:00"/>
    <x v="0"/>
    <n v="39"/>
    <s v="month"/>
    <n v="38"/>
    <s v="Tuesday"/>
  </r>
  <r>
    <x v="793"/>
    <d v="2022-12-27T00:00:00"/>
    <d v="2023-01-27T00:00:00"/>
    <x v="0"/>
    <n v="39"/>
    <s v="month"/>
    <n v="31"/>
    <s v="Tuesday"/>
  </r>
  <r>
    <x v="794"/>
    <d v="2022-12-27T00:00:00"/>
    <d v="2023-06-29T00:00:00"/>
    <x v="0"/>
    <n v="39"/>
    <s v="month"/>
    <n v="184"/>
    <s v="Tuesday"/>
  </r>
  <r>
    <x v="795"/>
    <d v="2022-12-27T00:00:00"/>
    <d v="2023-07-19T00:00:00"/>
    <x v="0"/>
    <n v="39"/>
    <s v="month"/>
    <n v="204"/>
    <s v="Tuesday"/>
  </r>
  <r>
    <x v="796"/>
    <d v="2022-12-28T00:00:00"/>
    <d v="2023-01-14T00:00:00"/>
    <x v="0"/>
    <n v="39"/>
    <s v="month"/>
    <n v="17"/>
    <s v="Wednesday"/>
  </r>
  <r>
    <x v="797"/>
    <d v="2022-12-28T00:00:00"/>
    <d v="2023-04-24T00:00:00"/>
    <x v="0"/>
    <n v="39"/>
    <s v="month"/>
    <n v="117"/>
    <s v="Wednesday"/>
  </r>
  <r>
    <x v="798"/>
    <d v="2022-12-28T00:00:00"/>
    <d v="2023-05-27T00:00:00"/>
    <x v="0"/>
    <n v="39"/>
    <s v="month"/>
    <n v="150"/>
    <s v="Wednesday"/>
  </r>
  <r>
    <x v="799"/>
    <d v="2022-12-28T00:00:00"/>
    <d v="2023-02-12T00:00:00"/>
    <x v="0"/>
    <n v="39"/>
    <s v="month"/>
    <n v="46"/>
    <s v="Wednesday"/>
  </r>
  <r>
    <x v="800"/>
    <d v="2022-12-28T00:00:00"/>
    <d v="2022-12-28T00:00:00"/>
    <x v="0"/>
    <n v="39"/>
    <s v="month"/>
    <n v="0"/>
    <s v="Wednesday"/>
  </r>
  <r>
    <x v="801"/>
    <d v="2022-12-29T00:00:00"/>
    <m/>
    <x v="0"/>
    <n v="39"/>
    <s v="month"/>
    <s v=""/>
    <s v="Thursday"/>
  </r>
  <r>
    <x v="802"/>
    <d v="2022-12-29T00:00:00"/>
    <m/>
    <x v="0"/>
    <n v="39"/>
    <s v="month"/>
    <s v=""/>
    <s v="Thursday"/>
  </r>
  <r>
    <x v="803"/>
    <d v="2022-12-29T00:00:00"/>
    <m/>
    <x v="0"/>
    <n v="39"/>
    <s v="month"/>
    <s v=""/>
    <s v="Thursday"/>
  </r>
  <r>
    <x v="804"/>
    <d v="2022-12-29T00:00:00"/>
    <d v="2023-02-13T00:00:00"/>
    <x v="0"/>
    <n v="39"/>
    <s v="month"/>
    <n v="46"/>
    <s v="Thursday"/>
  </r>
  <r>
    <x v="805"/>
    <d v="2022-12-29T00:00:00"/>
    <d v="2023-02-12T00:00:00"/>
    <x v="0"/>
    <n v="39"/>
    <s v="month"/>
    <n v="45"/>
    <s v="Thursday"/>
  </r>
  <r>
    <x v="806"/>
    <d v="2022-12-29T00:00:00"/>
    <d v="2023-06-06T00:00:00"/>
    <x v="0"/>
    <n v="39"/>
    <s v="month"/>
    <n v="159"/>
    <s v="Thursday"/>
  </r>
  <r>
    <x v="788"/>
    <d v="2022-12-29T00:00:00"/>
    <d v="2023-03-27T00:00:00"/>
    <x v="0"/>
    <n v="39"/>
    <s v="month"/>
    <n v="88"/>
    <s v="Thursday"/>
  </r>
  <r>
    <x v="807"/>
    <d v="2022-12-29T00:00:00"/>
    <d v="2023-01-27T00:00:00"/>
    <x v="0"/>
    <n v="39"/>
    <s v="month"/>
    <n v="29"/>
    <s v="Thursday"/>
  </r>
  <r>
    <x v="808"/>
    <d v="2022-12-29T00:00:00"/>
    <d v="2023-01-28T00:00:00"/>
    <x v="0"/>
    <n v="39"/>
    <s v="month"/>
    <n v="30"/>
    <s v="Thursday"/>
  </r>
  <r>
    <x v="809"/>
    <d v="2022-12-30T00:00:00"/>
    <d v="2023-06-09T00:00:00"/>
    <x v="0"/>
    <n v="39"/>
    <s v="month"/>
    <n v="161"/>
    <s v="Friday"/>
  </r>
  <r>
    <x v="810"/>
    <d v="2022-12-30T00:00:00"/>
    <d v="2023-02-02T00:00:00"/>
    <x v="0"/>
    <n v="39"/>
    <s v="month"/>
    <n v="34"/>
    <s v="Friday"/>
  </r>
  <r>
    <x v="811"/>
    <d v="2022-12-30T00:00:00"/>
    <d v="2023-04-06T00:00:00"/>
    <x v="0"/>
    <n v="39"/>
    <s v="month"/>
    <n v="97"/>
    <s v="Friday"/>
  </r>
  <r>
    <x v="812"/>
    <d v="2022-12-30T00:00:00"/>
    <d v="2023-02-28T00:00:00"/>
    <x v="0"/>
    <n v="39"/>
    <s v="month"/>
    <n v="60"/>
    <s v="Friday"/>
  </r>
  <r>
    <x v="813"/>
    <d v="2022-12-30T00:00:00"/>
    <d v="2023-01-30T00:00:00"/>
    <x v="0"/>
    <n v="39"/>
    <s v="month"/>
    <n v="31"/>
    <s v="Friday"/>
  </r>
  <r>
    <x v="814"/>
    <d v="2022-12-30T00:00:00"/>
    <d v="2023-01-21T00:00:00"/>
    <x v="0"/>
    <n v="39"/>
    <s v="month"/>
    <n v="22"/>
    <s v="Friday"/>
  </r>
  <r>
    <x v="815"/>
    <d v="2022-12-30T00:00:00"/>
    <d v="2023-07-03T00:00:00"/>
    <x v="0"/>
    <n v="39"/>
    <s v="month"/>
    <n v="185"/>
    <s v="Friday"/>
  </r>
  <r>
    <x v="816"/>
    <d v="2022-12-31T00:00:00"/>
    <d v="2023-01-02T00:00:00"/>
    <x v="0"/>
    <n v="39"/>
    <s v="month"/>
    <n v="2"/>
    <s v="Saturday"/>
  </r>
  <r>
    <x v="817"/>
    <d v="2022-12-31T00:00:00"/>
    <d v="2023-01-21T00:00:00"/>
    <x v="0"/>
    <n v="39"/>
    <s v="month"/>
    <n v="21"/>
    <s v="Saturday"/>
  </r>
  <r>
    <x v="818"/>
    <d v="2022-12-31T00:00:00"/>
    <d v="2023-05-07T00:00:00"/>
    <x v="0"/>
    <n v="39"/>
    <s v="month"/>
    <n v="127"/>
    <s v="Saturday"/>
  </r>
  <r>
    <x v="819"/>
    <d v="2022-12-31T00:00:00"/>
    <d v="2023-03-24T00:00:00"/>
    <x v="0"/>
    <n v="39"/>
    <s v="month"/>
    <n v="83"/>
    <s v="Saturday"/>
  </r>
  <r>
    <x v="820"/>
    <d v="2022-12-31T00:00:00"/>
    <d v="2023-02-07T00:00:00"/>
    <x v="0"/>
    <n v="39"/>
    <s v="month"/>
    <n v="38"/>
    <s v="Saturday"/>
  </r>
  <r>
    <x v="821"/>
    <d v="2022-12-31T00:00:00"/>
    <d v="2023-01-30T00:00:00"/>
    <x v="0"/>
    <n v="39"/>
    <s v="month"/>
    <n v="30"/>
    <s v="Saturday"/>
  </r>
  <r>
    <x v="822"/>
    <d v="2022-12-31T00:00:00"/>
    <d v="2023-01-16T00:00:00"/>
    <x v="0"/>
    <n v="39"/>
    <s v="month"/>
    <n v="16"/>
    <s v="Saturday"/>
  </r>
  <r>
    <x v="823"/>
    <d v="2023-01-01T00:00:00"/>
    <d v="2023-06-15T00:00:00"/>
    <x v="0"/>
    <n v="39"/>
    <s v="month"/>
    <n v="165"/>
    <s v="Sunday"/>
  </r>
  <r>
    <x v="824"/>
    <d v="2023-01-01T00:00:00"/>
    <d v="2023-04-24T00:00:00"/>
    <x v="0"/>
    <n v="39"/>
    <s v="month"/>
    <n v="113"/>
    <s v="Sunday"/>
  </r>
  <r>
    <x v="825"/>
    <d v="2023-01-01T00:00:00"/>
    <d v="2023-02-08T00:00:00"/>
    <x v="0"/>
    <n v="39"/>
    <s v="month"/>
    <n v="38"/>
    <s v="Sunday"/>
  </r>
  <r>
    <x v="826"/>
    <d v="2023-01-02T00:00:00"/>
    <m/>
    <x v="0"/>
    <n v="39"/>
    <s v="month"/>
    <s v=""/>
    <s v="Monday"/>
  </r>
  <r>
    <x v="827"/>
    <d v="2023-01-02T00:00:00"/>
    <m/>
    <x v="0"/>
    <n v="39"/>
    <s v="month"/>
    <s v=""/>
    <s v="Monday"/>
  </r>
  <r>
    <x v="828"/>
    <d v="2023-01-02T00:00:00"/>
    <d v="2023-01-02T00:00:00"/>
    <x v="1"/>
    <n v="39"/>
    <s v="month"/>
    <n v="0"/>
    <s v="Monday"/>
  </r>
  <r>
    <x v="829"/>
    <d v="2023-01-02T00:00:00"/>
    <d v="2023-03-09T00:00:00"/>
    <x v="0"/>
    <n v="39"/>
    <s v="month"/>
    <n v="66"/>
    <s v="Monday"/>
  </r>
  <r>
    <x v="830"/>
    <d v="2023-01-02T00:00:00"/>
    <d v="2023-05-06T00:00:00"/>
    <x v="0"/>
    <n v="39"/>
    <s v="month"/>
    <n v="124"/>
    <s v="Monday"/>
  </r>
  <r>
    <x v="831"/>
    <d v="2023-01-02T00:00:00"/>
    <d v="2023-04-23T00:00:00"/>
    <x v="0"/>
    <n v="39"/>
    <s v="month"/>
    <n v="111"/>
    <s v="Monday"/>
  </r>
  <r>
    <x v="832"/>
    <d v="2023-01-02T00:00:00"/>
    <d v="2023-04-18T00:00:00"/>
    <x v="0"/>
    <n v="39"/>
    <s v="month"/>
    <n v="106"/>
    <s v="Monday"/>
  </r>
  <r>
    <x v="833"/>
    <d v="2023-01-02T00:00:00"/>
    <d v="2023-03-24T00:00:00"/>
    <x v="0"/>
    <n v="39"/>
    <s v="month"/>
    <n v="81"/>
    <s v="Monday"/>
  </r>
  <r>
    <x v="834"/>
    <d v="2023-01-02T00:00:00"/>
    <d v="2023-03-10T00:00:00"/>
    <x v="0"/>
    <n v="39"/>
    <s v="month"/>
    <n v="67"/>
    <s v="Monday"/>
  </r>
  <r>
    <x v="835"/>
    <d v="2023-01-02T00:00:00"/>
    <d v="2023-03-19T00:00:00"/>
    <x v="0"/>
    <n v="39"/>
    <s v="month"/>
    <n v="76"/>
    <s v="Monday"/>
  </r>
  <r>
    <x v="836"/>
    <d v="2023-01-02T00:00:00"/>
    <d v="2023-02-09T00:00:00"/>
    <x v="0"/>
    <n v="39"/>
    <s v="month"/>
    <n v="38"/>
    <s v="Monday"/>
  </r>
  <r>
    <x v="837"/>
    <d v="2023-01-03T00:00:00"/>
    <m/>
    <x v="0"/>
    <n v="39"/>
    <s v="month"/>
    <s v=""/>
    <s v="Tuesday"/>
  </r>
  <r>
    <x v="838"/>
    <d v="2023-01-03T00:00:00"/>
    <m/>
    <x v="0"/>
    <n v="39"/>
    <s v="month"/>
    <s v=""/>
    <s v="Tuesday"/>
  </r>
  <r>
    <x v="839"/>
    <d v="2023-01-03T00:00:00"/>
    <d v="2023-07-03T00:00:00"/>
    <x v="0"/>
    <n v="39"/>
    <s v="month"/>
    <n v="181"/>
    <s v="Tuesday"/>
  </r>
  <r>
    <x v="840"/>
    <d v="2023-01-03T00:00:00"/>
    <d v="2023-04-23T00:00:00"/>
    <x v="0"/>
    <n v="39"/>
    <s v="month"/>
    <n v="110"/>
    <s v="Tuesday"/>
  </r>
  <r>
    <x v="841"/>
    <d v="2023-01-03T00:00:00"/>
    <d v="2023-03-27T00:00:00"/>
    <x v="0"/>
    <n v="39"/>
    <s v="month"/>
    <n v="83"/>
    <s v="Tuesday"/>
  </r>
  <r>
    <x v="842"/>
    <d v="2023-01-03T00:00:00"/>
    <d v="2023-03-08T00:00:00"/>
    <x v="0"/>
    <n v="39"/>
    <s v="month"/>
    <n v="64"/>
    <s v="Tuesday"/>
  </r>
  <r>
    <x v="843"/>
    <d v="2023-01-03T00:00:00"/>
    <d v="2023-02-18T00:00:00"/>
    <x v="0"/>
    <n v="39"/>
    <s v="month"/>
    <n v="46"/>
    <s v="Tuesday"/>
  </r>
  <r>
    <x v="844"/>
    <d v="2023-01-03T00:00:00"/>
    <d v="2023-01-31T00:00:00"/>
    <x v="0"/>
    <n v="39"/>
    <s v="month"/>
    <n v="28"/>
    <s v="Tuesday"/>
  </r>
  <r>
    <x v="845"/>
    <d v="2023-01-03T00:00:00"/>
    <d v="2023-01-25T00:00:00"/>
    <x v="0"/>
    <n v="39"/>
    <s v="month"/>
    <n v="22"/>
    <s v="Tuesday"/>
  </r>
  <r>
    <x v="846"/>
    <d v="2023-01-03T00:00:00"/>
    <d v="2023-08-23T00:00:00"/>
    <x v="0"/>
    <n v="39"/>
    <s v="month"/>
    <n v="232"/>
    <s v="Tuesday"/>
  </r>
  <r>
    <x v="847"/>
    <d v="2023-01-04T00:00:00"/>
    <m/>
    <x v="0"/>
    <n v="39"/>
    <s v="month"/>
    <s v=""/>
    <s v="Wednesday"/>
  </r>
  <r>
    <x v="848"/>
    <d v="2023-01-04T00:00:00"/>
    <d v="2023-01-05T00:00:00"/>
    <x v="1"/>
    <n v="39"/>
    <s v="month"/>
    <n v="1"/>
    <s v="Wednesday"/>
  </r>
  <r>
    <x v="849"/>
    <d v="2023-01-04T00:00:00"/>
    <d v="2023-03-04T00:00:00"/>
    <x v="0"/>
    <n v="39"/>
    <s v="month"/>
    <n v="59"/>
    <s v="Wednesday"/>
  </r>
  <r>
    <x v="850"/>
    <d v="2023-01-04T00:00:00"/>
    <d v="2023-02-12T00:00:00"/>
    <x v="0"/>
    <n v="39"/>
    <s v="month"/>
    <n v="39"/>
    <s v="Wednesday"/>
  </r>
  <r>
    <x v="851"/>
    <d v="2023-01-04T00:00:00"/>
    <d v="2023-02-28T00:00:00"/>
    <x v="0"/>
    <n v="39"/>
    <s v="month"/>
    <n v="55"/>
    <s v="Wednesday"/>
  </r>
  <r>
    <x v="852"/>
    <d v="2023-01-04T00:00:00"/>
    <d v="2023-07-11T00:00:00"/>
    <x v="0"/>
    <n v="39"/>
    <s v="month"/>
    <n v="188"/>
    <s v="Wednesday"/>
  </r>
  <r>
    <x v="853"/>
    <d v="2023-01-05T00:00:00"/>
    <m/>
    <x v="0"/>
    <n v="39"/>
    <s v="month"/>
    <s v=""/>
    <s v="Thursday"/>
  </r>
  <r>
    <x v="854"/>
    <d v="2023-01-05T00:00:00"/>
    <m/>
    <x v="0"/>
    <n v="39"/>
    <s v="month"/>
    <s v=""/>
    <s v="Thursday"/>
  </r>
  <r>
    <x v="855"/>
    <d v="2023-01-05T00:00:00"/>
    <d v="2023-01-06T00:00:00"/>
    <x v="1"/>
    <n v="39"/>
    <s v="month"/>
    <n v="1"/>
    <s v="Thursday"/>
  </r>
  <r>
    <x v="856"/>
    <d v="2023-01-05T00:00:00"/>
    <d v="2023-01-05T00:00:00"/>
    <x v="1"/>
    <n v="39"/>
    <s v="month"/>
    <n v="0"/>
    <s v="Thursday"/>
  </r>
  <r>
    <x v="857"/>
    <d v="2023-01-05T00:00:00"/>
    <d v="2023-05-04T00:00:00"/>
    <x v="0"/>
    <n v="39"/>
    <s v="month"/>
    <n v="119"/>
    <s v="Thursday"/>
  </r>
  <r>
    <x v="858"/>
    <d v="2023-01-05T00:00:00"/>
    <d v="2023-03-12T00:00:00"/>
    <x v="0"/>
    <n v="39"/>
    <s v="month"/>
    <n v="66"/>
    <s v="Thursday"/>
  </r>
  <r>
    <x v="859"/>
    <d v="2023-01-05T00:00:00"/>
    <d v="2023-03-02T00:00:00"/>
    <x v="0"/>
    <n v="39"/>
    <s v="month"/>
    <n v="56"/>
    <s v="Thursday"/>
  </r>
  <r>
    <x v="860"/>
    <d v="2023-01-05T00:00:00"/>
    <d v="2023-02-12T00:00:00"/>
    <x v="0"/>
    <n v="39"/>
    <s v="month"/>
    <n v="38"/>
    <s v="Thursday"/>
  </r>
  <r>
    <x v="861"/>
    <d v="2023-01-05T00:00:00"/>
    <d v="2023-02-12T00:00:00"/>
    <x v="0"/>
    <n v="39"/>
    <s v="month"/>
    <n v="38"/>
    <s v="Thursday"/>
  </r>
  <r>
    <x v="862"/>
    <d v="2023-01-06T00:00:00"/>
    <m/>
    <x v="0"/>
    <n v="39"/>
    <s v="month"/>
    <s v=""/>
    <s v="Friday"/>
  </r>
  <r>
    <x v="863"/>
    <d v="2023-01-06T00:00:00"/>
    <m/>
    <x v="0"/>
    <n v="39"/>
    <s v="month"/>
    <s v=""/>
    <s v="Friday"/>
  </r>
  <r>
    <x v="864"/>
    <d v="2023-01-06T00:00:00"/>
    <d v="2023-05-04T00:00:00"/>
    <x v="0"/>
    <n v="39"/>
    <s v="month"/>
    <n v="118"/>
    <s v="Friday"/>
  </r>
  <r>
    <x v="865"/>
    <d v="2023-01-06T00:00:00"/>
    <d v="2023-05-10T00:00:00"/>
    <x v="0"/>
    <n v="39"/>
    <s v="month"/>
    <n v="124"/>
    <s v="Friday"/>
  </r>
  <r>
    <x v="866"/>
    <d v="2023-01-06T00:00:00"/>
    <d v="2023-06-30T00:00:00"/>
    <x v="0"/>
    <n v="39"/>
    <s v="month"/>
    <n v="175"/>
    <s v="Friday"/>
  </r>
  <r>
    <x v="867"/>
    <d v="2023-01-06T00:00:00"/>
    <d v="2023-04-13T00:00:00"/>
    <x v="0"/>
    <n v="39"/>
    <s v="month"/>
    <n v="97"/>
    <s v="Friday"/>
  </r>
  <r>
    <x v="868"/>
    <d v="2023-01-06T00:00:00"/>
    <d v="2023-03-26T00:00:00"/>
    <x v="0"/>
    <n v="39"/>
    <s v="month"/>
    <n v="79"/>
    <s v="Friday"/>
  </r>
  <r>
    <x v="869"/>
    <d v="2023-01-06T00:00:00"/>
    <d v="2023-02-06T00:00:00"/>
    <x v="0"/>
    <n v="39"/>
    <s v="month"/>
    <n v="31"/>
    <s v="Friday"/>
  </r>
  <r>
    <x v="870"/>
    <d v="2023-01-06T00:00:00"/>
    <d v="2023-02-03T00:00:00"/>
    <x v="0"/>
    <n v="39"/>
    <s v="month"/>
    <n v="28"/>
    <s v="Friday"/>
  </r>
  <r>
    <x v="871"/>
    <d v="2023-01-06T00:00:00"/>
    <d v="2023-01-06T00:00:00"/>
    <x v="0"/>
    <n v="39"/>
    <s v="month"/>
    <n v="0"/>
    <s v="Friday"/>
  </r>
  <r>
    <x v="872"/>
    <d v="2023-01-06T00:00:00"/>
    <d v="2023-01-06T00:00:00"/>
    <x v="0"/>
    <n v="39"/>
    <s v="month"/>
    <n v="0"/>
    <s v="Friday"/>
  </r>
  <r>
    <x v="873"/>
    <d v="2023-01-07T00:00:00"/>
    <d v="2023-06-14T00:00:00"/>
    <x v="0"/>
    <n v="39"/>
    <s v="month"/>
    <n v="158"/>
    <s v="Saturday"/>
  </r>
  <r>
    <x v="874"/>
    <d v="2023-01-07T00:00:00"/>
    <d v="2023-06-21T00:00:00"/>
    <x v="0"/>
    <n v="39"/>
    <s v="month"/>
    <n v="165"/>
    <s v="Saturday"/>
  </r>
  <r>
    <x v="875"/>
    <d v="2023-01-07T00:00:00"/>
    <d v="2023-04-08T00:00:00"/>
    <x v="0"/>
    <n v="39"/>
    <s v="month"/>
    <n v="91"/>
    <s v="Saturday"/>
  </r>
  <r>
    <x v="876"/>
    <d v="2023-01-07T00:00:00"/>
    <d v="2023-02-07T00:00:00"/>
    <x v="0"/>
    <n v="39"/>
    <s v="month"/>
    <n v="31"/>
    <s v="Saturday"/>
  </r>
  <r>
    <x v="877"/>
    <d v="2023-01-07T00:00:00"/>
    <d v="2023-01-07T00:00:00"/>
    <x v="0"/>
    <n v="39"/>
    <s v="month"/>
    <n v="0"/>
    <s v="Saturday"/>
  </r>
  <r>
    <x v="878"/>
    <d v="2023-01-08T00:00:00"/>
    <m/>
    <x v="0"/>
    <n v="39"/>
    <s v="month"/>
    <s v=""/>
    <s v="Sunday"/>
  </r>
  <r>
    <x v="879"/>
    <d v="2023-01-08T00:00:00"/>
    <d v="2023-01-08T00:00:00"/>
    <x v="0"/>
    <n v="39"/>
    <s v="month"/>
    <n v="0"/>
    <s v="Sunday"/>
  </r>
  <r>
    <x v="880"/>
    <d v="2023-01-08T00:00:00"/>
    <d v="2023-02-10T00:00:00"/>
    <x v="0"/>
    <n v="39"/>
    <s v="month"/>
    <n v="33"/>
    <s v="Sunday"/>
  </r>
  <r>
    <x v="881"/>
    <d v="2023-01-08T00:00:00"/>
    <d v="2023-04-03T00:00:00"/>
    <x v="0"/>
    <n v="39"/>
    <s v="month"/>
    <n v="85"/>
    <s v="Sunday"/>
  </r>
  <r>
    <x v="882"/>
    <d v="2023-01-08T00:00:00"/>
    <d v="2023-03-01T00:00:00"/>
    <x v="0"/>
    <n v="39"/>
    <s v="month"/>
    <n v="52"/>
    <s v="Sunday"/>
  </r>
  <r>
    <x v="883"/>
    <d v="2023-01-08T00:00:00"/>
    <d v="2023-01-15T00:00:00"/>
    <x v="0"/>
    <n v="39"/>
    <s v="month"/>
    <n v="7"/>
    <s v="Sunday"/>
  </r>
  <r>
    <x v="884"/>
    <d v="2023-01-09T00:00:00"/>
    <m/>
    <x v="0"/>
    <n v="39"/>
    <s v="month"/>
    <s v=""/>
    <s v="Monday"/>
  </r>
  <r>
    <x v="885"/>
    <d v="2023-01-09T00:00:00"/>
    <d v="2023-01-10T00:00:00"/>
    <x v="1"/>
    <n v="39"/>
    <s v="month"/>
    <n v="1"/>
    <s v="Monday"/>
  </r>
  <r>
    <x v="886"/>
    <d v="2023-01-09T00:00:00"/>
    <d v="2023-01-12T00:00:00"/>
    <x v="0"/>
    <n v="39"/>
    <s v="month"/>
    <n v="3"/>
    <s v="Monday"/>
  </r>
  <r>
    <x v="887"/>
    <d v="2023-01-09T00:00:00"/>
    <d v="2023-01-09T00:00:00"/>
    <x v="0"/>
    <n v="39"/>
    <s v="month"/>
    <n v="0"/>
    <s v="Monday"/>
  </r>
  <r>
    <x v="888"/>
    <d v="2023-01-09T00:00:00"/>
    <d v="2023-05-08T00:00:00"/>
    <x v="0"/>
    <n v="39"/>
    <s v="month"/>
    <n v="119"/>
    <s v="Monday"/>
  </r>
  <r>
    <x v="889"/>
    <d v="2023-01-09T00:00:00"/>
    <d v="2023-04-10T00:00:00"/>
    <x v="0"/>
    <n v="39"/>
    <s v="month"/>
    <n v="91"/>
    <s v="Monday"/>
  </r>
  <r>
    <x v="890"/>
    <d v="2023-01-09T00:00:00"/>
    <d v="2023-04-08T00:00:00"/>
    <x v="0"/>
    <n v="39"/>
    <s v="month"/>
    <n v="89"/>
    <s v="Monday"/>
  </r>
  <r>
    <x v="891"/>
    <d v="2023-01-09T00:00:00"/>
    <d v="2023-03-08T00:00:00"/>
    <x v="0"/>
    <n v="39"/>
    <s v="month"/>
    <n v="58"/>
    <s v="Monday"/>
  </r>
  <r>
    <x v="892"/>
    <d v="2023-01-09T00:00:00"/>
    <d v="2023-02-08T00:00:00"/>
    <x v="0"/>
    <n v="39"/>
    <s v="month"/>
    <n v="30"/>
    <s v="Monday"/>
  </r>
  <r>
    <x v="893"/>
    <d v="2023-01-10T00:00:00"/>
    <m/>
    <x v="0"/>
    <n v="39"/>
    <s v="month"/>
    <s v=""/>
    <s v="Tuesday"/>
  </r>
  <r>
    <x v="894"/>
    <d v="2023-01-10T00:00:00"/>
    <d v="2023-04-11T00:00:00"/>
    <x v="0"/>
    <n v="39"/>
    <s v="month"/>
    <n v="91"/>
    <s v="Tuesday"/>
  </r>
  <r>
    <x v="895"/>
    <d v="2023-01-10T00:00:00"/>
    <d v="2023-03-17T00:00:00"/>
    <x v="0"/>
    <n v="39"/>
    <s v="month"/>
    <n v="66"/>
    <s v="Tuesday"/>
  </r>
  <r>
    <x v="896"/>
    <d v="2023-01-10T00:00:00"/>
    <d v="2023-03-11T00:00:00"/>
    <x v="0"/>
    <n v="39"/>
    <s v="month"/>
    <n v="60"/>
    <s v="Tuesday"/>
  </r>
  <r>
    <x v="897"/>
    <d v="2023-01-10T00:00:00"/>
    <d v="2023-02-23T00:00:00"/>
    <x v="0"/>
    <n v="39"/>
    <s v="month"/>
    <n v="44"/>
    <s v="Tuesday"/>
  </r>
  <r>
    <x v="898"/>
    <d v="2023-01-10T00:00:00"/>
    <d v="2023-02-05T00:00:00"/>
    <x v="0"/>
    <n v="39"/>
    <s v="month"/>
    <n v="26"/>
    <s v="Tuesday"/>
  </r>
  <r>
    <x v="899"/>
    <d v="2023-01-10T00:00:00"/>
    <d v="2023-02-18T00:00:00"/>
    <x v="0"/>
    <n v="39"/>
    <s v="month"/>
    <n v="39"/>
    <s v="Tuesday"/>
  </r>
  <r>
    <x v="900"/>
    <d v="2023-01-10T00:00:00"/>
    <d v="2023-02-08T00:00:00"/>
    <x v="0"/>
    <n v="39"/>
    <s v="month"/>
    <n v="29"/>
    <s v="Tuesday"/>
  </r>
  <r>
    <x v="901"/>
    <d v="2023-01-10T00:00:00"/>
    <d v="2023-02-17T00:00:00"/>
    <x v="0"/>
    <n v="39"/>
    <s v="month"/>
    <n v="38"/>
    <s v="Tuesday"/>
  </r>
  <r>
    <x v="902"/>
    <d v="2023-01-11T00:00:00"/>
    <m/>
    <x v="0"/>
    <n v="39"/>
    <s v="month"/>
    <s v=""/>
    <s v="Wednesday"/>
  </r>
  <r>
    <x v="903"/>
    <d v="2023-01-11T00:00:00"/>
    <m/>
    <x v="0"/>
    <n v="39"/>
    <s v="month"/>
    <s v=""/>
    <s v="Wednesday"/>
  </r>
  <r>
    <x v="904"/>
    <d v="2023-01-11T00:00:00"/>
    <m/>
    <x v="0"/>
    <n v="39"/>
    <s v="month"/>
    <s v=""/>
    <s v="Wednesday"/>
  </r>
  <r>
    <x v="905"/>
    <d v="2023-01-11T00:00:00"/>
    <d v="2023-04-07T00:00:00"/>
    <x v="0"/>
    <n v="39"/>
    <s v="month"/>
    <n v="86"/>
    <s v="Wednesday"/>
  </r>
  <r>
    <x v="906"/>
    <d v="2023-01-11T00:00:00"/>
    <d v="2023-03-18T00:00:00"/>
    <x v="0"/>
    <n v="39"/>
    <s v="month"/>
    <n v="66"/>
    <s v="Wednesday"/>
  </r>
  <r>
    <x v="907"/>
    <d v="2023-01-11T00:00:00"/>
    <d v="2023-02-07T00:00:00"/>
    <x v="0"/>
    <n v="39"/>
    <s v="month"/>
    <n v="27"/>
    <s v="Wednesday"/>
  </r>
  <r>
    <x v="908"/>
    <d v="2023-01-12T00:00:00"/>
    <m/>
    <x v="0"/>
    <n v="39"/>
    <s v="month"/>
    <s v=""/>
    <s v="Thursday"/>
  </r>
  <r>
    <x v="909"/>
    <d v="2023-01-12T00:00:00"/>
    <m/>
    <x v="0"/>
    <n v="39"/>
    <s v="month"/>
    <s v=""/>
    <s v="Thursday"/>
  </r>
  <r>
    <x v="910"/>
    <d v="2023-01-12T00:00:00"/>
    <m/>
    <x v="0"/>
    <n v="39"/>
    <s v="month"/>
    <s v=""/>
    <s v="Thursday"/>
  </r>
  <r>
    <x v="487"/>
    <d v="2023-01-12T00:00:00"/>
    <d v="2023-01-13T00:00:00"/>
    <x v="0"/>
    <n v="39"/>
    <s v="month"/>
    <n v="1"/>
    <s v="Thursday"/>
  </r>
  <r>
    <x v="911"/>
    <d v="2023-01-12T00:00:00"/>
    <d v="2023-01-13T00:00:00"/>
    <x v="1"/>
    <n v="39"/>
    <s v="month"/>
    <n v="1"/>
    <s v="Thursday"/>
  </r>
  <r>
    <x v="912"/>
    <d v="2023-01-12T00:00:00"/>
    <d v="2023-01-13T00:00:00"/>
    <x v="1"/>
    <n v="39"/>
    <s v="month"/>
    <n v="1"/>
    <s v="Thursday"/>
  </r>
  <r>
    <x v="913"/>
    <d v="2023-01-12T00:00:00"/>
    <d v="2023-03-01T00:00:00"/>
    <x v="0"/>
    <n v="39"/>
    <s v="month"/>
    <n v="48"/>
    <s v="Thursday"/>
  </r>
  <r>
    <x v="914"/>
    <d v="2023-01-12T00:00:00"/>
    <d v="2023-03-05T00:00:00"/>
    <x v="0"/>
    <n v="39"/>
    <s v="month"/>
    <n v="52"/>
    <s v="Thursday"/>
  </r>
  <r>
    <x v="915"/>
    <d v="2023-01-12T00:00:00"/>
    <d v="2023-02-12T00:00:00"/>
    <x v="0"/>
    <n v="39"/>
    <s v="month"/>
    <n v="31"/>
    <s v="Thursday"/>
  </r>
  <r>
    <x v="916"/>
    <d v="2023-01-12T00:00:00"/>
    <d v="2023-01-25T00:00:00"/>
    <x v="0"/>
    <n v="39"/>
    <s v="month"/>
    <n v="13"/>
    <s v="Thursday"/>
  </r>
  <r>
    <x v="917"/>
    <d v="2023-01-12T00:00:00"/>
    <d v="2023-01-12T00:00:00"/>
    <x v="0"/>
    <n v="39"/>
    <s v="month"/>
    <n v="0"/>
    <s v="Thursday"/>
  </r>
  <r>
    <x v="918"/>
    <d v="2023-01-12T00:00:00"/>
    <d v="2023-01-23T00:00:00"/>
    <x v="0"/>
    <n v="39"/>
    <s v="month"/>
    <n v="11"/>
    <s v="Thursday"/>
  </r>
  <r>
    <x v="919"/>
    <d v="2023-01-12T00:00:00"/>
    <d v="2023-07-05T00:00:00"/>
    <x v="0"/>
    <n v="39"/>
    <s v="month"/>
    <n v="174"/>
    <s v="Thursday"/>
  </r>
  <r>
    <x v="920"/>
    <d v="2023-01-12T00:00:00"/>
    <d v="2023-06-28T00:00:00"/>
    <x v="0"/>
    <n v="39"/>
    <s v="month"/>
    <n v="167"/>
    <s v="Thursday"/>
  </r>
  <r>
    <x v="921"/>
    <d v="2023-01-12T00:00:00"/>
    <d v="2023-07-27T00:00:00"/>
    <x v="0"/>
    <n v="39"/>
    <s v="month"/>
    <n v="196"/>
    <s v="Thursday"/>
  </r>
  <r>
    <x v="347"/>
    <d v="2023-01-13T00:00:00"/>
    <m/>
    <x v="0"/>
    <n v="39"/>
    <s v="month"/>
    <s v=""/>
    <s v="Friday"/>
  </r>
  <r>
    <x v="922"/>
    <d v="2023-01-13T00:00:00"/>
    <m/>
    <x v="0"/>
    <n v="39"/>
    <s v="month"/>
    <s v=""/>
    <s v="Friday"/>
  </r>
  <r>
    <x v="923"/>
    <d v="2023-01-13T00:00:00"/>
    <d v="2023-01-14T00:00:00"/>
    <x v="0"/>
    <n v="39"/>
    <s v="month"/>
    <n v="1"/>
    <s v="Friday"/>
  </r>
  <r>
    <x v="924"/>
    <d v="2023-01-13T00:00:00"/>
    <d v="2023-01-14T00:00:00"/>
    <x v="1"/>
    <n v="39"/>
    <s v="month"/>
    <n v="1"/>
    <s v="Friday"/>
  </r>
  <r>
    <x v="925"/>
    <d v="2023-01-13T00:00:00"/>
    <d v="2023-04-06T00:00:00"/>
    <x v="0"/>
    <n v="39"/>
    <s v="month"/>
    <n v="83"/>
    <s v="Friday"/>
  </r>
  <r>
    <x v="879"/>
    <d v="2023-01-13T00:00:00"/>
    <d v="2023-02-20T00:00:00"/>
    <x v="0"/>
    <n v="39"/>
    <s v="month"/>
    <n v="38"/>
    <s v="Friday"/>
  </r>
  <r>
    <x v="926"/>
    <d v="2023-01-14T00:00:00"/>
    <d v="2023-05-06T00:00:00"/>
    <x v="0"/>
    <n v="39"/>
    <s v="month"/>
    <n v="112"/>
    <s v="Saturday"/>
  </r>
  <r>
    <x v="927"/>
    <d v="2023-01-14T00:00:00"/>
    <d v="2023-05-04T00:00:00"/>
    <x v="0"/>
    <n v="39"/>
    <s v="month"/>
    <n v="110"/>
    <s v="Saturday"/>
  </r>
  <r>
    <x v="928"/>
    <d v="2023-01-14T00:00:00"/>
    <d v="2023-03-05T00:00:00"/>
    <x v="0"/>
    <n v="39"/>
    <s v="month"/>
    <n v="50"/>
    <s v="Saturday"/>
  </r>
  <r>
    <x v="929"/>
    <d v="2023-01-14T00:00:00"/>
    <d v="2023-02-05T00:00:00"/>
    <x v="0"/>
    <n v="39"/>
    <s v="month"/>
    <n v="22"/>
    <s v="Saturday"/>
  </r>
  <r>
    <x v="930"/>
    <d v="2023-01-14T00:00:00"/>
    <d v="2023-07-11T00:00:00"/>
    <x v="0"/>
    <n v="39"/>
    <s v="month"/>
    <n v="178"/>
    <s v="Saturday"/>
  </r>
  <r>
    <x v="931"/>
    <d v="2023-01-14T00:00:00"/>
    <d v="2023-08-13T00:00:00"/>
    <x v="0"/>
    <n v="39"/>
    <s v="month"/>
    <n v="211"/>
    <s v="Saturday"/>
  </r>
  <r>
    <x v="932"/>
    <d v="2023-01-15T00:00:00"/>
    <m/>
    <x v="0"/>
    <n v="39"/>
    <s v="month"/>
    <s v=""/>
    <s v="Sunday"/>
  </r>
  <r>
    <x v="933"/>
    <d v="2023-01-15T00:00:00"/>
    <d v="2023-05-03T00:00:00"/>
    <x v="0"/>
    <n v="39"/>
    <s v="month"/>
    <n v="108"/>
    <s v="Sunday"/>
  </r>
  <r>
    <x v="934"/>
    <d v="2023-01-15T00:00:00"/>
    <d v="2023-05-02T00:00:00"/>
    <x v="0"/>
    <n v="39"/>
    <s v="month"/>
    <n v="107"/>
    <s v="Sunday"/>
  </r>
  <r>
    <x v="935"/>
    <d v="2023-01-15T00:00:00"/>
    <d v="2023-04-16T00:00:00"/>
    <x v="0"/>
    <n v="39"/>
    <s v="month"/>
    <n v="91"/>
    <s v="Sunday"/>
  </r>
  <r>
    <x v="936"/>
    <d v="2023-01-15T00:00:00"/>
    <d v="2023-03-07T00:00:00"/>
    <x v="0"/>
    <n v="39"/>
    <s v="month"/>
    <n v="51"/>
    <s v="Sunday"/>
  </r>
  <r>
    <x v="937"/>
    <d v="2023-01-15T00:00:00"/>
    <d v="2023-03-07T00:00:00"/>
    <x v="0"/>
    <n v="39"/>
    <s v="month"/>
    <n v="51"/>
    <s v="Sunday"/>
  </r>
  <r>
    <x v="938"/>
    <d v="2023-01-15T00:00:00"/>
    <d v="2023-03-12T00:00:00"/>
    <x v="0"/>
    <n v="39"/>
    <s v="month"/>
    <n v="56"/>
    <s v="Sunday"/>
  </r>
  <r>
    <x v="939"/>
    <d v="2023-01-15T00:00:00"/>
    <d v="2023-02-06T00:00:00"/>
    <x v="0"/>
    <n v="39"/>
    <s v="month"/>
    <n v="22"/>
    <s v="Sunday"/>
  </r>
  <r>
    <x v="940"/>
    <d v="2023-01-15T00:00:00"/>
    <d v="2023-06-30T00:00:00"/>
    <x v="0"/>
    <n v="39"/>
    <s v="month"/>
    <n v="166"/>
    <s v="Sunday"/>
  </r>
  <r>
    <x v="941"/>
    <d v="2023-01-16T00:00:00"/>
    <m/>
    <x v="0"/>
    <n v="39"/>
    <s v="month"/>
    <s v=""/>
    <s v="Monday"/>
  </r>
  <r>
    <x v="942"/>
    <d v="2023-01-16T00:00:00"/>
    <m/>
    <x v="0"/>
    <n v="39"/>
    <s v="month"/>
    <s v=""/>
    <s v="Monday"/>
  </r>
  <r>
    <x v="943"/>
    <d v="2023-01-16T00:00:00"/>
    <d v="2023-05-16T00:00:00"/>
    <x v="0"/>
    <n v="39"/>
    <s v="month"/>
    <n v="120"/>
    <s v="Monday"/>
  </r>
  <r>
    <x v="944"/>
    <d v="2023-01-16T00:00:00"/>
    <d v="2023-05-31T00:00:00"/>
    <x v="0"/>
    <n v="39"/>
    <s v="month"/>
    <n v="135"/>
    <s v="Monday"/>
  </r>
  <r>
    <x v="945"/>
    <d v="2023-01-16T00:00:00"/>
    <d v="2023-04-15T00:00:00"/>
    <x v="0"/>
    <n v="39"/>
    <s v="month"/>
    <n v="89"/>
    <s v="Monday"/>
  </r>
  <r>
    <x v="946"/>
    <d v="2023-01-16T00:00:00"/>
    <d v="2023-04-26T00:00:00"/>
    <x v="0"/>
    <n v="39"/>
    <s v="month"/>
    <n v="100"/>
    <s v="Monday"/>
  </r>
  <r>
    <x v="947"/>
    <d v="2023-01-16T00:00:00"/>
    <d v="2023-04-07T00:00:00"/>
    <x v="0"/>
    <n v="39"/>
    <s v="month"/>
    <n v="81"/>
    <s v="Monday"/>
  </r>
  <r>
    <x v="948"/>
    <d v="2023-01-16T00:00:00"/>
    <d v="2023-03-13T00:00:00"/>
    <x v="0"/>
    <n v="39"/>
    <s v="month"/>
    <n v="56"/>
    <s v="Monday"/>
  </r>
  <r>
    <x v="949"/>
    <d v="2023-01-16T00:00:00"/>
    <d v="2023-03-14T00:00:00"/>
    <x v="0"/>
    <n v="39"/>
    <s v="month"/>
    <n v="57"/>
    <s v="Monday"/>
  </r>
  <r>
    <x v="950"/>
    <d v="2023-01-16T00:00:00"/>
    <d v="2023-02-15T00:00:00"/>
    <x v="0"/>
    <n v="39"/>
    <s v="month"/>
    <n v="30"/>
    <s v="Monday"/>
  </r>
  <r>
    <x v="951"/>
    <d v="2023-01-16T00:00:00"/>
    <d v="2023-01-16T00:00:00"/>
    <x v="0"/>
    <n v="39"/>
    <s v="month"/>
    <n v="0"/>
    <s v="Monday"/>
  </r>
  <r>
    <x v="952"/>
    <d v="2023-01-17T00:00:00"/>
    <m/>
    <x v="1"/>
    <n v="39"/>
    <s v="month"/>
    <s v=""/>
    <s v="Tuesday"/>
  </r>
  <r>
    <x v="953"/>
    <d v="2023-01-17T00:00:00"/>
    <m/>
    <x v="1"/>
    <n v="39"/>
    <s v="month"/>
    <s v=""/>
    <s v="Tuesday"/>
  </r>
  <r>
    <x v="954"/>
    <d v="2023-01-17T00:00:00"/>
    <d v="2023-01-18T00:00:00"/>
    <x v="0"/>
    <n v="39"/>
    <s v="month"/>
    <n v="1"/>
    <s v="Tuesday"/>
  </r>
  <r>
    <x v="955"/>
    <d v="2023-01-17T00:00:00"/>
    <d v="2023-03-24T00:00:00"/>
    <x v="0"/>
    <n v="39"/>
    <s v="month"/>
    <n v="66"/>
    <s v="Tuesday"/>
  </r>
  <r>
    <x v="956"/>
    <d v="2023-01-17T00:00:00"/>
    <d v="2023-02-17T00:00:00"/>
    <x v="0"/>
    <n v="39"/>
    <s v="month"/>
    <n v="31"/>
    <s v="Tuesday"/>
  </r>
  <r>
    <x v="957"/>
    <d v="2023-01-17T00:00:00"/>
    <d v="2023-02-19T00:00:00"/>
    <x v="0"/>
    <n v="39"/>
    <s v="month"/>
    <n v="33"/>
    <s v="Tuesday"/>
  </r>
  <r>
    <x v="958"/>
    <d v="2023-01-17T00:00:00"/>
    <d v="2023-02-24T00:00:00"/>
    <x v="0"/>
    <n v="39"/>
    <s v="month"/>
    <n v="38"/>
    <s v="Tuesday"/>
  </r>
  <r>
    <x v="959"/>
    <d v="2023-01-17T00:00:00"/>
    <d v="2023-02-25T00:00:00"/>
    <x v="0"/>
    <n v="39"/>
    <s v="month"/>
    <n v="39"/>
    <s v="Tuesday"/>
  </r>
  <r>
    <x v="960"/>
    <d v="2023-01-17T00:00:00"/>
    <d v="2023-02-24T00:00:00"/>
    <x v="0"/>
    <n v="39"/>
    <s v="month"/>
    <n v="38"/>
    <s v="Tuesday"/>
  </r>
  <r>
    <x v="961"/>
    <d v="2023-01-17T00:00:00"/>
    <d v="2023-07-28T00:00:00"/>
    <x v="0"/>
    <n v="39"/>
    <s v="month"/>
    <n v="192"/>
    <s v="Tuesday"/>
  </r>
  <r>
    <x v="962"/>
    <d v="2023-01-18T00:00:00"/>
    <m/>
    <x v="0"/>
    <n v="39"/>
    <s v="month"/>
    <s v=""/>
    <s v="Wednesday"/>
  </r>
  <r>
    <x v="963"/>
    <d v="2023-01-18T00:00:00"/>
    <d v="2023-01-19T00:00:00"/>
    <x v="1"/>
    <n v="39"/>
    <s v="month"/>
    <n v="1"/>
    <s v="Wednesday"/>
  </r>
  <r>
    <x v="964"/>
    <d v="2023-01-18T00:00:00"/>
    <d v="2023-01-18T00:00:00"/>
    <x v="1"/>
    <n v="39"/>
    <s v="month"/>
    <n v="0"/>
    <s v="Wednesday"/>
  </r>
  <r>
    <x v="965"/>
    <d v="2023-01-18T00:00:00"/>
    <d v="2023-01-18T00:00:00"/>
    <x v="1"/>
    <n v="39"/>
    <s v="month"/>
    <n v="0"/>
    <s v="Wednesday"/>
  </r>
  <r>
    <x v="966"/>
    <d v="2023-01-18T00:00:00"/>
    <d v="2023-02-25T00:00:00"/>
    <x v="0"/>
    <n v="39"/>
    <s v="month"/>
    <n v="38"/>
    <s v="Wednesday"/>
  </r>
  <r>
    <x v="967"/>
    <d v="2023-01-18T00:00:00"/>
    <d v="2023-05-22T00:00:00"/>
    <x v="0"/>
    <n v="39"/>
    <s v="month"/>
    <n v="124"/>
    <s v="Wednesday"/>
  </r>
  <r>
    <x v="968"/>
    <d v="2023-01-18T00:00:00"/>
    <d v="2023-06-13T00:00:00"/>
    <x v="0"/>
    <n v="39"/>
    <s v="month"/>
    <n v="146"/>
    <s v="Wednesday"/>
  </r>
  <r>
    <x v="969"/>
    <d v="2023-01-18T00:00:00"/>
    <d v="2023-04-16T00:00:00"/>
    <x v="0"/>
    <n v="39"/>
    <s v="month"/>
    <n v="88"/>
    <s v="Wednesday"/>
  </r>
  <r>
    <x v="970"/>
    <d v="2023-01-18T00:00:00"/>
    <d v="2023-03-26T00:00:00"/>
    <x v="0"/>
    <n v="39"/>
    <s v="month"/>
    <n v="67"/>
    <s v="Wednesday"/>
  </r>
  <r>
    <x v="971"/>
    <d v="2023-01-18T00:00:00"/>
    <d v="2023-03-14T00:00:00"/>
    <x v="0"/>
    <n v="39"/>
    <s v="month"/>
    <n v="55"/>
    <s v="Wednesday"/>
  </r>
  <r>
    <x v="972"/>
    <d v="2023-01-18T00:00:00"/>
    <d v="2023-02-25T00:00:00"/>
    <x v="0"/>
    <n v="39"/>
    <s v="month"/>
    <n v="38"/>
    <s v="Wednesday"/>
  </r>
  <r>
    <x v="973"/>
    <d v="2023-01-18T00:00:00"/>
    <d v="2023-02-18T00:00:00"/>
    <x v="0"/>
    <n v="39"/>
    <s v="month"/>
    <n v="31"/>
    <s v="Wednesday"/>
  </r>
  <r>
    <x v="974"/>
    <d v="2023-01-18T00:00:00"/>
    <d v="2023-02-17T00:00:00"/>
    <x v="0"/>
    <n v="39"/>
    <s v="month"/>
    <n v="30"/>
    <s v="Wednesday"/>
  </r>
  <r>
    <x v="975"/>
    <d v="2023-01-18T00:00:00"/>
    <d v="2023-02-19T00:00:00"/>
    <x v="0"/>
    <n v="39"/>
    <s v="month"/>
    <n v="32"/>
    <s v="Wednesday"/>
  </r>
  <r>
    <x v="976"/>
    <d v="2023-01-18T00:00:00"/>
    <d v="2023-07-03T00:00:00"/>
    <x v="0"/>
    <n v="39"/>
    <s v="month"/>
    <n v="166"/>
    <s v="Wednesday"/>
  </r>
  <r>
    <x v="977"/>
    <d v="2023-01-18T00:00:00"/>
    <d v="2023-06-18T00:00:00"/>
    <x v="0"/>
    <n v="39"/>
    <s v="month"/>
    <n v="151"/>
    <s v="Wednesday"/>
  </r>
  <r>
    <x v="978"/>
    <d v="2023-01-19T00:00:00"/>
    <m/>
    <x v="0"/>
    <n v="39"/>
    <s v="month"/>
    <s v=""/>
    <s v="Thursday"/>
  </r>
  <r>
    <x v="979"/>
    <d v="2023-01-19T00:00:00"/>
    <m/>
    <x v="0"/>
    <n v="39"/>
    <s v="month"/>
    <s v=""/>
    <s v="Thursday"/>
  </r>
  <r>
    <x v="980"/>
    <d v="2023-01-19T00:00:00"/>
    <d v="2023-05-12T00:00:00"/>
    <x v="0"/>
    <n v="39"/>
    <s v="month"/>
    <n v="113"/>
    <s v="Thursday"/>
  </r>
  <r>
    <x v="981"/>
    <d v="2023-01-19T00:00:00"/>
    <d v="2023-04-20T00:00:00"/>
    <x v="0"/>
    <n v="39"/>
    <s v="month"/>
    <n v="91"/>
    <s v="Thursday"/>
  </r>
  <r>
    <x v="982"/>
    <d v="2023-01-19T00:00:00"/>
    <d v="2023-03-19T00:00:00"/>
    <x v="0"/>
    <n v="39"/>
    <s v="month"/>
    <n v="59"/>
    <s v="Thursday"/>
  </r>
  <r>
    <x v="983"/>
    <d v="2023-01-19T00:00:00"/>
    <d v="2023-02-15T00:00:00"/>
    <x v="0"/>
    <n v="39"/>
    <s v="month"/>
    <n v="27"/>
    <s v="Thursday"/>
  </r>
  <r>
    <x v="984"/>
    <d v="2023-01-19T00:00:00"/>
    <d v="2023-01-19T00:00:00"/>
    <x v="0"/>
    <n v="39"/>
    <s v="month"/>
    <n v="0"/>
    <s v="Thursday"/>
  </r>
  <r>
    <x v="985"/>
    <d v="2023-01-19T00:00:00"/>
    <d v="2023-01-26T00:00:00"/>
    <x v="0"/>
    <n v="39"/>
    <s v="month"/>
    <n v="7"/>
    <s v="Thursday"/>
  </r>
  <r>
    <x v="986"/>
    <d v="2023-01-20T00:00:00"/>
    <m/>
    <x v="0"/>
    <n v="39"/>
    <s v="month"/>
    <s v=""/>
    <s v="Friday"/>
  </r>
  <r>
    <x v="987"/>
    <d v="2023-01-20T00:00:00"/>
    <m/>
    <x v="0"/>
    <n v="39"/>
    <s v="month"/>
    <s v=""/>
    <s v="Friday"/>
  </r>
  <r>
    <x v="988"/>
    <d v="2023-01-20T00:00:00"/>
    <m/>
    <x v="0"/>
    <n v="39"/>
    <s v="month"/>
    <s v=""/>
    <s v="Friday"/>
  </r>
  <r>
    <x v="989"/>
    <d v="2023-01-20T00:00:00"/>
    <d v="2023-05-09T00:00:00"/>
    <x v="0"/>
    <n v="39"/>
    <s v="month"/>
    <n v="109"/>
    <s v="Friday"/>
  </r>
  <r>
    <x v="990"/>
    <d v="2023-01-20T00:00:00"/>
    <d v="2023-05-01T00:00:00"/>
    <x v="0"/>
    <n v="39"/>
    <s v="month"/>
    <n v="101"/>
    <s v="Friday"/>
  </r>
  <r>
    <x v="991"/>
    <d v="2023-01-20T00:00:00"/>
    <d v="2023-03-08T00:00:00"/>
    <x v="0"/>
    <n v="39"/>
    <s v="month"/>
    <n v="47"/>
    <s v="Friday"/>
  </r>
  <r>
    <x v="992"/>
    <d v="2023-01-20T00:00:00"/>
    <d v="2023-02-19T00:00:00"/>
    <x v="0"/>
    <n v="39"/>
    <s v="month"/>
    <n v="30"/>
    <s v="Friday"/>
  </r>
  <r>
    <x v="993"/>
    <d v="2023-01-20T00:00:00"/>
    <d v="2023-02-27T00:00:00"/>
    <x v="0"/>
    <n v="39"/>
    <s v="month"/>
    <n v="38"/>
    <s v="Friday"/>
  </r>
  <r>
    <x v="994"/>
    <d v="2023-01-20T00:00:00"/>
    <d v="2023-02-13T00:00:00"/>
    <x v="0"/>
    <n v="39"/>
    <s v="month"/>
    <n v="24"/>
    <s v="Friday"/>
  </r>
  <r>
    <x v="995"/>
    <d v="2023-01-21T00:00:00"/>
    <m/>
    <x v="0"/>
    <n v="39"/>
    <s v="month"/>
    <s v=""/>
    <s v="Saturday"/>
  </r>
  <r>
    <x v="996"/>
    <d v="2023-01-21T00:00:00"/>
    <d v="2023-05-02T00:00:00"/>
    <x v="0"/>
    <n v="39"/>
    <s v="month"/>
    <n v="101"/>
    <s v="Saturday"/>
  </r>
  <r>
    <x v="997"/>
    <d v="2023-01-21T00:00:00"/>
    <d v="2023-04-25T00:00:00"/>
    <x v="0"/>
    <n v="39"/>
    <s v="month"/>
    <n v="94"/>
    <s v="Saturday"/>
  </r>
  <r>
    <x v="998"/>
    <d v="2023-01-21T00:00:00"/>
    <d v="2023-04-20T00:00:00"/>
    <x v="0"/>
    <n v="39"/>
    <s v="month"/>
    <n v="89"/>
    <s v="Saturday"/>
  </r>
  <r>
    <x v="999"/>
    <d v="2023-01-21T00:00:00"/>
    <d v="2023-02-15T00:00:00"/>
    <x v="0"/>
    <n v="39"/>
    <s v="month"/>
    <n v="25"/>
    <s v="Saturday"/>
  </r>
  <r>
    <x v="1000"/>
    <d v="2023-01-21T00:00:00"/>
    <d v="2023-02-03T00:00:00"/>
    <x v="0"/>
    <n v="39"/>
    <s v="month"/>
    <n v="13"/>
    <s v="Saturday"/>
  </r>
  <r>
    <x v="1001"/>
    <d v="2023-01-22T00:00:00"/>
    <d v="2023-01-23T00:00:00"/>
    <x v="0"/>
    <n v="39"/>
    <s v="month"/>
    <n v="1"/>
    <s v="Sunday"/>
  </r>
  <r>
    <x v="954"/>
    <d v="2023-01-22T00:00:00"/>
    <d v="2023-03-09T00:00:00"/>
    <x v="0"/>
    <n v="39"/>
    <s v="month"/>
    <n v="46"/>
    <s v="Sunday"/>
  </r>
  <r>
    <x v="1002"/>
    <d v="2023-01-22T00:00:00"/>
    <d v="2023-03-21T00:00:00"/>
    <x v="0"/>
    <n v="39"/>
    <s v="month"/>
    <n v="58"/>
    <s v="Sunday"/>
  </r>
  <r>
    <x v="1003"/>
    <d v="2023-01-22T00:00:00"/>
    <d v="2023-03-21T00:00:00"/>
    <x v="0"/>
    <n v="39"/>
    <s v="month"/>
    <n v="58"/>
    <s v="Sunday"/>
  </r>
  <r>
    <x v="1004"/>
    <d v="2023-01-23T00:00:00"/>
    <m/>
    <x v="0"/>
    <n v="39"/>
    <s v="month"/>
    <s v=""/>
    <s v="Monday"/>
  </r>
  <r>
    <x v="1005"/>
    <d v="2023-01-23T00:00:00"/>
    <m/>
    <x v="0"/>
    <n v="39"/>
    <s v="month"/>
    <s v=""/>
    <s v="Monday"/>
  </r>
  <r>
    <x v="1006"/>
    <d v="2023-01-23T00:00:00"/>
    <m/>
    <x v="0"/>
    <n v="39"/>
    <s v="month"/>
    <s v=""/>
    <s v="Monday"/>
  </r>
  <r>
    <x v="1007"/>
    <d v="2023-01-23T00:00:00"/>
    <d v="2023-05-30T00:00:00"/>
    <x v="0"/>
    <n v="39"/>
    <s v="month"/>
    <n v="127"/>
    <s v="Monday"/>
  </r>
  <r>
    <x v="1001"/>
    <d v="2023-01-23T00:00:00"/>
    <d v="2023-03-02T00:00:00"/>
    <x v="0"/>
    <n v="39"/>
    <s v="month"/>
    <n v="38"/>
    <s v="Monday"/>
  </r>
  <r>
    <x v="1008"/>
    <d v="2023-01-23T00:00:00"/>
    <d v="2023-02-13T00:00:00"/>
    <x v="0"/>
    <n v="39"/>
    <s v="month"/>
    <n v="21"/>
    <s v="Monday"/>
  </r>
  <r>
    <x v="1009"/>
    <d v="2023-01-23T00:00:00"/>
    <d v="2023-08-30T00:00:00"/>
    <x v="0"/>
    <n v="39"/>
    <s v="month"/>
    <n v="219"/>
    <s v="Monday"/>
  </r>
  <r>
    <x v="1010"/>
    <d v="2023-01-24T00:00:00"/>
    <m/>
    <x v="0"/>
    <n v="39"/>
    <s v="month"/>
    <s v=""/>
    <s v="Tuesday"/>
  </r>
  <r>
    <x v="281"/>
    <d v="2023-01-24T00:00:00"/>
    <d v="2023-09-07T00:00:00"/>
    <x v="0"/>
    <n v="39"/>
    <s v="month"/>
    <n v="226"/>
    <s v="Tuesday"/>
  </r>
  <r>
    <x v="1011"/>
    <d v="2023-01-24T00:00:00"/>
    <d v="2023-06-16T00:00:00"/>
    <x v="0"/>
    <n v="39"/>
    <s v="month"/>
    <n v="143"/>
    <s v="Tuesday"/>
  </r>
  <r>
    <x v="1012"/>
    <d v="2023-01-24T00:00:00"/>
    <d v="2023-03-20T00:00:00"/>
    <x v="0"/>
    <n v="39"/>
    <s v="month"/>
    <n v="55"/>
    <s v="Tuesday"/>
  </r>
  <r>
    <x v="1013"/>
    <d v="2023-01-24T00:00:00"/>
    <d v="2023-02-28T00:00:00"/>
    <x v="0"/>
    <n v="39"/>
    <s v="month"/>
    <n v="35"/>
    <s v="Tuesday"/>
  </r>
  <r>
    <x v="1014"/>
    <d v="2023-01-24T00:00:00"/>
    <d v="2023-02-20T00:00:00"/>
    <x v="0"/>
    <n v="39"/>
    <s v="month"/>
    <n v="27"/>
    <s v="Tuesday"/>
  </r>
  <r>
    <x v="1015"/>
    <d v="2023-01-25T00:00:00"/>
    <m/>
    <x v="0"/>
    <n v="39"/>
    <s v="month"/>
    <s v=""/>
    <s v="Wednesday"/>
  </r>
  <r>
    <x v="1016"/>
    <d v="2023-01-25T00:00:00"/>
    <m/>
    <x v="0"/>
    <n v="39"/>
    <s v="month"/>
    <s v=""/>
    <s v="Wednesday"/>
  </r>
  <r>
    <x v="1017"/>
    <d v="2023-01-25T00:00:00"/>
    <m/>
    <x v="0"/>
    <n v="39"/>
    <s v="month"/>
    <s v=""/>
    <s v="Wednesday"/>
  </r>
  <r>
    <x v="1018"/>
    <d v="2023-01-25T00:00:00"/>
    <d v="2023-01-26T00:00:00"/>
    <x v="0"/>
    <n v="39"/>
    <s v="month"/>
    <n v="1"/>
    <s v="Wednesday"/>
  </r>
  <r>
    <x v="1019"/>
    <d v="2023-01-25T00:00:00"/>
    <d v="2023-01-25T00:00:00"/>
    <x v="1"/>
    <n v="39"/>
    <s v="month"/>
    <n v="0"/>
    <s v="Wednesday"/>
  </r>
  <r>
    <x v="1020"/>
    <d v="2023-01-25T00:00:00"/>
    <d v="2023-01-25T00:00:00"/>
    <x v="1"/>
    <n v="39"/>
    <s v="month"/>
    <n v="0"/>
    <s v="Wednesday"/>
  </r>
  <r>
    <x v="1021"/>
    <d v="2023-01-25T00:00:00"/>
    <d v="2023-05-25T00:00:00"/>
    <x v="0"/>
    <n v="39"/>
    <s v="month"/>
    <n v="120"/>
    <s v="Wednesday"/>
  </r>
  <r>
    <x v="1022"/>
    <d v="2023-01-25T00:00:00"/>
    <d v="2023-04-06T00:00:00"/>
    <x v="0"/>
    <n v="39"/>
    <s v="month"/>
    <n v="71"/>
    <s v="Wednesday"/>
  </r>
  <r>
    <x v="1023"/>
    <d v="2023-01-25T00:00:00"/>
    <d v="2023-03-22T00:00:00"/>
    <x v="0"/>
    <n v="39"/>
    <s v="month"/>
    <n v="56"/>
    <s v="Wednesday"/>
  </r>
  <r>
    <x v="1024"/>
    <d v="2023-01-25T00:00:00"/>
    <d v="2023-03-12T00:00:00"/>
    <x v="0"/>
    <n v="39"/>
    <s v="month"/>
    <n v="46"/>
    <s v="Wednesday"/>
  </r>
  <r>
    <x v="1025"/>
    <d v="2023-01-25T00:00:00"/>
    <d v="2023-03-15T00:00:00"/>
    <x v="0"/>
    <n v="39"/>
    <s v="month"/>
    <n v="49"/>
    <s v="Wednesday"/>
  </r>
  <r>
    <x v="1026"/>
    <d v="2023-01-25T00:00:00"/>
    <d v="2023-03-15T00:00:00"/>
    <x v="0"/>
    <n v="39"/>
    <s v="month"/>
    <n v="49"/>
    <s v="Wednesday"/>
  </r>
  <r>
    <x v="1027"/>
    <d v="2023-01-25T00:00:00"/>
    <d v="2023-03-01T00:00:00"/>
    <x v="0"/>
    <n v="39"/>
    <s v="month"/>
    <n v="35"/>
    <s v="Wednesday"/>
  </r>
  <r>
    <x v="1028"/>
    <d v="2023-01-26T00:00:00"/>
    <m/>
    <x v="0"/>
    <n v="39"/>
    <s v="month"/>
    <s v=""/>
    <s v="Thursday"/>
  </r>
  <r>
    <x v="1029"/>
    <d v="2023-01-26T00:00:00"/>
    <m/>
    <x v="0"/>
    <n v="39"/>
    <s v="month"/>
    <s v=""/>
    <s v="Thursday"/>
  </r>
  <r>
    <x v="1030"/>
    <d v="2023-01-26T00:00:00"/>
    <m/>
    <x v="0"/>
    <n v="39"/>
    <s v="month"/>
    <s v=""/>
    <s v="Thursday"/>
  </r>
  <r>
    <x v="1031"/>
    <d v="2023-01-26T00:00:00"/>
    <m/>
    <x v="0"/>
    <n v="39"/>
    <s v="month"/>
    <s v=""/>
    <s v="Thursday"/>
  </r>
  <r>
    <x v="1032"/>
    <d v="2023-01-26T00:00:00"/>
    <m/>
    <x v="0"/>
    <n v="39"/>
    <s v="month"/>
    <s v=""/>
    <s v="Thursday"/>
  </r>
  <r>
    <x v="524"/>
    <d v="2023-01-26T00:00:00"/>
    <m/>
    <x v="0"/>
    <n v="39"/>
    <s v="month"/>
    <s v=""/>
    <s v="Thursday"/>
  </r>
  <r>
    <x v="1033"/>
    <d v="2023-01-26T00:00:00"/>
    <d v="2023-06-23T00:00:00"/>
    <x v="0"/>
    <n v="39"/>
    <s v="month"/>
    <n v="148"/>
    <s v="Thursday"/>
  </r>
  <r>
    <x v="1034"/>
    <d v="2023-01-26T00:00:00"/>
    <d v="2023-04-04T00:00:00"/>
    <x v="0"/>
    <n v="39"/>
    <s v="month"/>
    <n v="68"/>
    <s v="Thursday"/>
  </r>
  <r>
    <x v="1035"/>
    <d v="2023-01-26T00:00:00"/>
    <d v="2023-04-23T00:00:00"/>
    <x v="0"/>
    <n v="39"/>
    <s v="month"/>
    <n v="87"/>
    <s v="Thursday"/>
  </r>
  <r>
    <x v="1036"/>
    <d v="2023-01-26T00:00:00"/>
    <d v="2023-03-30T00:00:00"/>
    <x v="0"/>
    <n v="39"/>
    <s v="month"/>
    <n v="63"/>
    <s v="Thursday"/>
  </r>
  <r>
    <x v="1037"/>
    <d v="2023-01-26T00:00:00"/>
    <d v="2023-03-05T00:00:00"/>
    <x v="0"/>
    <n v="39"/>
    <s v="month"/>
    <n v="38"/>
    <s v="Thursday"/>
  </r>
  <r>
    <x v="1038"/>
    <d v="2023-01-26T00:00:00"/>
    <d v="2023-02-02T00:00:00"/>
    <x v="0"/>
    <n v="39"/>
    <s v="month"/>
    <n v="7"/>
    <s v="Thursday"/>
  </r>
  <r>
    <x v="1039"/>
    <d v="2023-01-26T00:00:00"/>
    <d v="2023-02-23T00:00:00"/>
    <x v="0"/>
    <n v="39"/>
    <s v="month"/>
    <n v="28"/>
    <s v="Thursday"/>
  </r>
  <r>
    <x v="1040"/>
    <d v="2023-01-26T00:00:00"/>
    <d v="2023-02-23T00:00:00"/>
    <x v="0"/>
    <n v="39"/>
    <s v="month"/>
    <n v="28"/>
    <s v="Thursday"/>
  </r>
  <r>
    <x v="1041"/>
    <d v="2023-01-26T00:00:00"/>
    <d v="2023-01-26T00:00:00"/>
    <x v="0"/>
    <n v="39"/>
    <s v="month"/>
    <n v="0"/>
    <s v="Thursday"/>
  </r>
  <r>
    <x v="1042"/>
    <d v="2023-01-26T00:00:00"/>
    <d v="2023-06-27T00:00:00"/>
    <x v="0"/>
    <n v="39"/>
    <s v="month"/>
    <n v="152"/>
    <s v="Thursday"/>
  </r>
  <r>
    <x v="1043"/>
    <d v="2023-01-27T00:00:00"/>
    <m/>
    <x v="0"/>
    <n v="39"/>
    <s v="month"/>
    <s v=""/>
    <s v="Friday"/>
  </r>
  <r>
    <x v="1044"/>
    <d v="2023-01-27T00:00:00"/>
    <m/>
    <x v="0"/>
    <n v="39"/>
    <s v="month"/>
    <s v=""/>
    <s v="Friday"/>
  </r>
  <r>
    <x v="1045"/>
    <d v="2023-01-27T00:00:00"/>
    <m/>
    <x v="0"/>
    <n v="39"/>
    <s v="month"/>
    <s v=""/>
    <s v="Friday"/>
  </r>
  <r>
    <x v="1046"/>
    <d v="2023-01-27T00:00:00"/>
    <m/>
    <x v="0"/>
    <n v="39"/>
    <s v="month"/>
    <s v=""/>
    <s v="Friday"/>
  </r>
  <r>
    <x v="1047"/>
    <d v="2023-01-27T00:00:00"/>
    <m/>
    <x v="0"/>
    <n v="39"/>
    <s v="month"/>
    <s v=""/>
    <s v="Friday"/>
  </r>
  <r>
    <x v="1048"/>
    <d v="2023-01-27T00:00:00"/>
    <d v="2023-09-05T00:00:00"/>
    <x v="0"/>
    <n v="39"/>
    <s v="month"/>
    <n v="221"/>
    <s v="Friday"/>
  </r>
  <r>
    <x v="1049"/>
    <d v="2023-01-27T00:00:00"/>
    <d v="2023-01-28T00:00:00"/>
    <x v="1"/>
    <n v="39"/>
    <s v="month"/>
    <n v="1"/>
    <s v="Friday"/>
  </r>
  <r>
    <x v="1050"/>
    <d v="2023-01-27T00:00:00"/>
    <d v="2023-04-24T00:00:00"/>
    <x v="0"/>
    <n v="39"/>
    <s v="month"/>
    <n v="87"/>
    <s v="Friday"/>
  </r>
  <r>
    <x v="1051"/>
    <d v="2023-01-27T00:00:00"/>
    <d v="2023-03-31T00:00:00"/>
    <x v="0"/>
    <n v="39"/>
    <s v="month"/>
    <n v="63"/>
    <s v="Friday"/>
  </r>
  <r>
    <x v="1052"/>
    <d v="2023-01-27T00:00:00"/>
    <d v="2023-03-27T00:00:00"/>
    <x v="0"/>
    <n v="39"/>
    <s v="month"/>
    <n v="59"/>
    <s v="Friday"/>
  </r>
  <r>
    <x v="1053"/>
    <d v="2023-01-27T00:00:00"/>
    <d v="2023-03-06T00:00:00"/>
    <x v="0"/>
    <n v="39"/>
    <s v="month"/>
    <n v="38"/>
    <s v="Friday"/>
  </r>
  <r>
    <x v="1054"/>
    <d v="2023-01-27T00:00:00"/>
    <d v="2023-03-28T00:00:00"/>
    <x v="0"/>
    <n v="39"/>
    <s v="month"/>
    <n v="60"/>
    <s v="Friday"/>
  </r>
  <r>
    <x v="1055"/>
    <d v="2023-01-27T00:00:00"/>
    <d v="2023-02-23T00:00:00"/>
    <x v="0"/>
    <n v="39"/>
    <s v="month"/>
    <n v="27"/>
    <s v="Friday"/>
  </r>
  <r>
    <x v="1056"/>
    <d v="2023-01-27T00:00:00"/>
    <d v="2023-08-16T00:00:00"/>
    <x v="0"/>
    <n v="39"/>
    <s v="month"/>
    <n v="201"/>
    <s v="Friday"/>
  </r>
  <r>
    <x v="1057"/>
    <d v="2023-01-27T00:00:00"/>
    <d v="2023-08-19T00:00:00"/>
    <x v="0"/>
    <n v="39"/>
    <s v="month"/>
    <n v="204"/>
    <s v="Friday"/>
  </r>
  <r>
    <x v="1058"/>
    <d v="2023-01-28T00:00:00"/>
    <m/>
    <x v="0"/>
    <n v="39"/>
    <s v="month"/>
    <s v=""/>
    <s v="Saturday"/>
  </r>
  <r>
    <x v="1059"/>
    <d v="2023-01-28T00:00:00"/>
    <d v="2023-01-28T00:00:00"/>
    <x v="0"/>
    <n v="39"/>
    <s v="month"/>
    <n v="0"/>
    <s v="Saturday"/>
  </r>
  <r>
    <x v="1060"/>
    <d v="2023-01-28T00:00:00"/>
    <d v="2023-03-24T00:00:00"/>
    <x v="0"/>
    <n v="39"/>
    <s v="month"/>
    <n v="55"/>
    <s v="Saturday"/>
  </r>
  <r>
    <x v="1061"/>
    <d v="2023-01-28T00:00:00"/>
    <d v="2023-03-07T00:00:00"/>
    <x v="0"/>
    <n v="39"/>
    <s v="month"/>
    <n v="38"/>
    <s v="Saturday"/>
  </r>
  <r>
    <x v="1062"/>
    <d v="2023-01-28T00:00:00"/>
    <d v="2023-02-17T00:00:00"/>
    <x v="0"/>
    <n v="39"/>
    <s v="month"/>
    <n v="20"/>
    <s v="Saturday"/>
  </r>
  <r>
    <x v="1063"/>
    <d v="2023-01-29T00:00:00"/>
    <m/>
    <x v="0"/>
    <n v="39"/>
    <s v="month"/>
    <s v=""/>
    <s v="Sunday"/>
  </r>
  <r>
    <x v="1064"/>
    <d v="2023-01-29T00:00:00"/>
    <d v="2023-05-25T00:00:00"/>
    <x v="0"/>
    <n v="39"/>
    <s v="month"/>
    <n v="116"/>
    <s v="Sunday"/>
  </r>
  <r>
    <x v="1065"/>
    <d v="2023-01-29T00:00:00"/>
    <d v="2023-07-06T00:00:00"/>
    <x v="0"/>
    <n v="39"/>
    <s v="month"/>
    <n v="158"/>
    <s v="Sunday"/>
  </r>
  <r>
    <x v="1066"/>
    <d v="2023-01-29T00:00:00"/>
    <d v="2023-03-01T00:00:00"/>
    <x v="0"/>
    <n v="39"/>
    <s v="month"/>
    <n v="31"/>
    <s v="Sunday"/>
  </r>
  <r>
    <x v="1067"/>
    <d v="2023-01-29T00:00:00"/>
    <d v="2023-03-13T00:00:00"/>
    <x v="0"/>
    <n v="39"/>
    <s v="month"/>
    <n v="43"/>
    <s v="Sunday"/>
  </r>
  <r>
    <x v="1068"/>
    <d v="2023-01-29T00:00:00"/>
    <d v="2023-02-15T00:00:00"/>
    <x v="0"/>
    <n v="39"/>
    <s v="month"/>
    <n v="17"/>
    <s v="Sunday"/>
  </r>
  <r>
    <x v="1069"/>
    <d v="2023-01-30T00:00:00"/>
    <m/>
    <x v="0"/>
    <n v="39"/>
    <s v="month"/>
    <s v=""/>
    <s v="Monday"/>
  </r>
  <r>
    <x v="1070"/>
    <d v="2023-01-30T00:00:00"/>
    <d v="2023-07-31T00:00:00"/>
    <x v="0"/>
    <n v="39"/>
    <s v="month"/>
    <n v="182"/>
    <s v="Monday"/>
  </r>
  <r>
    <x v="1071"/>
    <d v="2023-01-30T00:00:00"/>
    <d v="2023-06-06T00:00:00"/>
    <x v="0"/>
    <n v="39"/>
    <s v="month"/>
    <n v="127"/>
    <s v="Monday"/>
  </r>
  <r>
    <x v="1072"/>
    <d v="2023-01-30T00:00:00"/>
    <d v="2023-06-21T00:00:00"/>
    <x v="0"/>
    <n v="39"/>
    <s v="month"/>
    <n v="142"/>
    <s v="Monday"/>
  </r>
  <r>
    <x v="1073"/>
    <d v="2023-01-30T00:00:00"/>
    <d v="2023-04-06T00:00:00"/>
    <x v="0"/>
    <n v="39"/>
    <s v="month"/>
    <n v="66"/>
    <s v="Monday"/>
  </r>
  <r>
    <x v="1074"/>
    <d v="2023-01-30T00:00:00"/>
    <d v="2023-02-04T00:00:00"/>
    <x v="0"/>
    <n v="39"/>
    <s v="month"/>
    <n v="5"/>
    <s v="Monday"/>
  </r>
  <r>
    <x v="1075"/>
    <d v="2023-01-30T00:00:00"/>
    <d v="2023-02-02T00:00:00"/>
    <x v="0"/>
    <n v="39"/>
    <s v="month"/>
    <n v="3"/>
    <s v="Monday"/>
  </r>
  <r>
    <x v="1076"/>
    <d v="2023-01-30T00:00:00"/>
    <d v="2023-02-02T00:00:00"/>
    <x v="0"/>
    <n v="39"/>
    <s v="month"/>
    <n v="3"/>
    <s v="Monday"/>
  </r>
  <r>
    <x v="1077"/>
    <d v="2023-01-30T00:00:00"/>
    <d v="2023-08-09T00:00:00"/>
    <x v="0"/>
    <n v="39"/>
    <s v="month"/>
    <n v="191"/>
    <s v="Monday"/>
  </r>
  <r>
    <x v="1078"/>
    <d v="2023-01-30T00:00:00"/>
    <d v="2023-07-20T00:00:00"/>
    <x v="0"/>
    <n v="39"/>
    <s v="month"/>
    <n v="171"/>
    <s v="Monday"/>
  </r>
  <r>
    <x v="1079"/>
    <d v="2023-01-31T00:00:00"/>
    <m/>
    <x v="0"/>
    <n v="39"/>
    <s v="month"/>
    <s v=""/>
    <s v="Tuesday"/>
  </r>
  <r>
    <x v="1080"/>
    <d v="2023-01-31T00:00:00"/>
    <m/>
    <x v="0"/>
    <n v="39"/>
    <s v="month"/>
    <s v=""/>
    <s v="Tuesday"/>
  </r>
  <r>
    <x v="1081"/>
    <d v="2023-01-31T00:00:00"/>
    <m/>
    <x v="0"/>
    <n v="39"/>
    <s v="month"/>
    <s v=""/>
    <s v="Tuesday"/>
  </r>
  <r>
    <x v="1082"/>
    <d v="2023-01-31T00:00:00"/>
    <d v="2023-05-28T00:00:00"/>
    <x v="0"/>
    <n v="39"/>
    <s v="month"/>
    <n v="117"/>
    <s v="Tuesday"/>
  </r>
  <r>
    <x v="1083"/>
    <d v="2023-01-31T00:00:00"/>
    <d v="2023-06-07T00:00:00"/>
    <x v="0"/>
    <n v="39"/>
    <s v="month"/>
    <n v="127"/>
    <s v="Tuesday"/>
  </r>
  <r>
    <x v="1084"/>
    <d v="2023-01-31T00:00:00"/>
    <d v="2023-04-17T00:00:00"/>
    <x v="0"/>
    <n v="39"/>
    <s v="month"/>
    <n v="76"/>
    <s v="Tuesday"/>
  </r>
  <r>
    <x v="1085"/>
    <d v="2023-01-31T00:00:00"/>
    <d v="2023-04-30T00:00:00"/>
    <x v="0"/>
    <n v="39"/>
    <s v="month"/>
    <n v="89"/>
    <s v="Tuesday"/>
  </r>
  <r>
    <x v="1086"/>
    <d v="2023-01-31T00:00:00"/>
    <d v="2023-04-15T00:00:00"/>
    <x v="0"/>
    <n v="39"/>
    <s v="month"/>
    <n v="74"/>
    <s v="Tuesday"/>
  </r>
  <r>
    <x v="1087"/>
    <d v="2023-01-31T00:00:00"/>
    <d v="2023-02-27T00:00:00"/>
    <x v="0"/>
    <n v="39"/>
    <s v="month"/>
    <n v="27"/>
    <s v="Tuesday"/>
  </r>
  <r>
    <x v="1088"/>
    <d v="2023-01-31T00:00:00"/>
    <d v="2023-08-18T00:00:00"/>
    <x v="0"/>
    <n v="39"/>
    <s v="month"/>
    <n v="199"/>
    <s v="Tuesday"/>
  </r>
  <r>
    <x v="1089"/>
    <d v="2023-02-01T00:00:00"/>
    <m/>
    <x v="0"/>
    <n v="39"/>
    <s v="month"/>
    <s v=""/>
    <s v="Wednesday"/>
  </r>
  <r>
    <x v="1090"/>
    <d v="2023-02-01T00:00:00"/>
    <m/>
    <x v="0"/>
    <n v="39"/>
    <s v="month"/>
    <s v=""/>
    <s v="Wednesday"/>
  </r>
  <r>
    <x v="1091"/>
    <d v="2023-02-01T00:00:00"/>
    <m/>
    <x v="0"/>
    <n v="39"/>
    <s v="month"/>
    <s v=""/>
    <s v="Wednesday"/>
  </r>
  <r>
    <x v="1092"/>
    <d v="2023-02-01T00:00:00"/>
    <m/>
    <x v="0"/>
    <n v="39"/>
    <s v="month"/>
    <s v=""/>
    <s v="Wednesday"/>
  </r>
  <r>
    <x v="1093"/>
    <d v="2023-02-01T00:00:00"/>
    <m/>
    <x v="0"/>
    <n v="39"/>
    <s v="month"/>
    <s v=""/>
    <s v="Wednesday"/>
  </r>
  <r>
    <x v="1094"/>
    <d v="2023-02-01T00:00:00"/>
    <d v="2023-02-02T00:00:00"/>
    <x v="1"/>
    <n v="39"/>
    <s v="month"/>
    <n v="1"/>
    <s v="Wednesday"/>
  </r>
  <r>
    <x v="1095"/>
    <d v="2023-02-01T00:00:00"/>
    <d v="2023-06-29T00:00:00"/>
    <x v="0"/>
    <n v="39"/>
    <s v="month"/>
    <n v="148"/>
    <s v="Wednesday"/>
  </r>
  <r>
    <x v="1096"/>
    <d v="2023-02-01T00:00:00"/>
    <d v="2023-06-27T00:00:00"/>
    <x v="0"/>
    <n v="39"/>
    <s v="month"/>
    <n v="146"/>
    <s v="Wednesday"/>
  </r>
  <r>
    <x v="1097"/>
    <d v="2023-02-01T00:00:00"/>
    <d v="2023-05-25T00:00:00"/>
    <x v="0"/>
    <n v="39"/>
    <s v="month"/>
    <n v="113"/>
    <s v="Wednesday"/>
  </r>
  <r>
    <x v="1098"/>
    <d v="2023-02-01T00:00:00"/>
    <d v="2023-05-01T00:00:00"/>
    <x v="0"/>
    <n v="39"/>
    <s v="month"/>
    <n v="89"/>
    <s v="Wednesday"/>
  </r>
  <r>
    <x v="1099"/>
    <d v="2023-02-01T00:00:00"/>
    <d v="2023-04-25T00:00:00"/>
    <x v="0"/>
    <n v="39"/>
    <s v="month"/>
    <n v="83"/>
    <s v="Wednesday"/>
  </r>
  <r>
    <x v="1100"/>
    <d v="2023-02-01T00:00:00"/>
    <d v="2023-04-23T00:00:00"/>
    <x v="0"/>
    <n v="39"/>
    <s v="month"/>
    <n v="81"/>
    <s v="Wednesday"/>
  </r>
  <r>
    <x v="1101"/>
    <d v="2023-02-01T00:00:00"/>
    <d v="2023-04-13T00:00:00"/>
    <x v="0"/>
    <n v="39"/>
    <s v="month"/>
    <n v="71"/>
    <s v="Wednesday"/>
  </r>
  <r>
    <x v="1102"/>
    <d v="2023-02-01T00:00:00"/>
    <d v="2023-02-19T00:00:00"/>
    <x v="0"/>
    <n v="39"/>
    <s v="month"/>
    <n v="18"/>
    <s v="Wednesday"/>
  </r>
  <r>
    <x v="1103"/>
    <d v="2023-02-01T00:00:00"/>
    <d v="2023-02-03T00:00:00"/>
    <x v="0"/>
    <n v="39"/>
    <s v="month"/>
    <n v="2"/>
    <s v="Wednesday"/>
  </r>
  <r>
    <x v="1104"/>
    <d v="2023-02-01T00:00:00"/>
    <d v="2023-02-14T00:00:00"/>
    <x v="0"/>
    <n v="39"/>
    <s v="month"/>
    <n v="13"/>
    <s v="Wednesday"/>
  </r>
  <r>
    <x v="1105"/>
    <d v="2023-02-01T00:00:00"/>
    <d v="2023-02-06T00:00:00"/>
    <x v="0"/>
    <n v="39"/>
    <s v="month"/>
    <n v="5"/>
    <s v="Wednesday"/>
  </r>
  <r>
    <x v="1106"/>
    <d v="2023-02-01T00:00:00"/>
    <d v="2023-03-10T00:00:00"/>
    <x v="0"/>
    <n v="39"/>
    <s v="month"/>
    <n v="37"/>
    <s v="Wednesday"/>
  </r>
  <r>
    <x v="1107"/>
    <d v="2023-02-01T00:00:00"/>
    <d v="2023-08-11T00:00:00"/>
    <x v="0"/>
    <n v="39"/>
    <s v="month"/>
    <n v="191"/>
    <s v="Wednesday"/>
  </r>
  <r>
    <x v="1108"/>
    <d v="2023-02-02T00:00:00"/>
    <m/>
    <x v="0"/>
    <n v="39"/>
    <s v="month"/>
    <s v=""/>
    <s v="Thursday"/>
  </r>
  <r>
    <x v="1109"/>
    <d v="2023-02-02T00:00:00"/>
    <m/>
    <x v="0"/>
    <n v="39"/>
    <s v="month"/>
    <s v=""/>
    <s v="Thursday"/>
  </r>
  <r>
    <x v="1110"/>
    <d v="2023-02-02T00:00:00"/>
    <m/>
    <x v="0"/>
    <n v="39"/>
    <s v="month"/>
    <s v=""/>
    <s v="Thursday"/>
  </r>
  <r>
    <x v="1111"/>
    <d v="2023-02-02T00:00:00"/>
    <d v="2023-07-06T00:00:00"/>
    <x v="0"/>
    <n v="39"/>
    <s v="month"/>
    <n v="154"/>
    <s v="Thursday"/>
  </r>
  <r>
    <x v="1112"/>
    <d v="2023-02-02T00:00:00"/>
    <d v="2023-05-30T00:00:00"/>
    <x v="0"/>
    <n v="39"/>
    <s v="month"/>
    <n v="117"/>
    <s v="Thursday"/>
  </r>
  <r>
    <x v="1113"/>
    <d v="2023-02-02T00:00:00"/>
    <d v="2023-05-31T00:00:00"/>
    <x v="0"/>
    <n v="39"/>
    <s v="month"/>
    <n v="118"/>
    <s v="Thursday"/>
  </r>
  <r>
    <x v="1114"/>
    <d v="2023-02-02T00:00:00"/>
    <d v="2023-05-27T00:00:00"/>
    <x v="0"/>
    <n v="39"/>
    <s v="month"/>
    <n v="114"/>
    <s v="Thursday"/>
  </r>
  <r>
    <x v="1115"/>
    <d v="2023-02-02T00:00:00"/>
    <d v="2023-05-09T00:00:00"/>
    <x v="0"/>
    <n v="39"/>
    <s v="month"/>
    <n v="96"/>
    <s v="Thursday"/>
  </r>
  <r>
    <x v="1116"/>
    <d v="2023-02-02T00:00:00"/>
    <d v="2023-04-03T00:00:00"/>
    <x v="0"/>
    <n v="39"/>
    <s v="month"/>
    <n v="60"/>
    <s v="Thursday"/>
  </r>
  <r>
    <x v="1117"/>
    <d v="2023-02-02T00:00:00"/>
    <d v="2023-04-02T00:00:00"/>
    <x v="0"/>
    <n v="39"/>
    <s v="month"/>
    <n v="59"/>
    <s v="Thursday"/>
  </r>
  <r>
    <x v="1118"/>
    <d v="2023-02-02T00:00:00"/>
    <d v="2023-03-06T00:00:00"/>
    <x v="0"/>
    <n v="39"/>
    <s v="month"/>
    <n v="32"/>
    <s v="Thursday"/>
  </r>
  <r>
    <x v="1119"/>
    <d v="2023-02-02T00:00:00"/>
    <d v="2023-03-10T00:00:00"/>
    <x v="0"/>
    <n v="39"/>
    <s v="month"/>
    <n v="36"/>
    <s v="Thursday"/>
  </r>
  <r>
    <x v="1120"/>
    <d v="2023-02-02T00:00:00"/>
    <d v="2023-03-02T00:00:00"/>
    <x v="0"/>
    <n v="39"/>
    <s v="month"/>
    <n v="28"/>
    <s v="Thursday"/>
  </r>
  <r>
    <x v="1121"/>
    <d v="2023-02-02T00:00:00"/>
    <d v="2023-03-01T00:00:00"/>
    <x v="0"/>
    <n v="39"/>
    <s v="month"/>
    <n v="27"/>
    <s v="Thursday"/>
  </r>
  <r>
    <x v="1122"/>
    <d v="2023-02-03T00:00:00"/>
    <d v="2023-09-03T00:00:00"/>
    <x v="0"/>
    <n v="39"/>
    <s v="month"/>
    <n v="212"/>
    <s v="Friday"/>
  </r>
  <r>
    <x v="1123"/>
    <d v="2023-02-03T00:00:00"/>
    <d v="2023-04-01T00:00:00"/>
    <x v="0"/>
    <n v="39"/>
    <s v="month"/>
    <n v="57"/>
    <s v="Friday"/>
  </r>
  <r>
    <x v="1124"/>
    <d v="2023-02-03T00:00:00"/>
    <d v="2023-03-09T00:00:00"/>
    <x v="0"/>
    <n v="39"/>
    <s v="month"/>
    <n v="34"/>
    <s v="Friday"/>
  </r>
  <r>
    <x v="1125"/>
    <d v="2023-02-03T00:00:00"/>
    <d v="2023-02-16T00:00:00"/>
    <x v="0"/>
    <n v="39"/>
    <s v="month"/>
    <n v="13"/>
    <s v="Friday"/>
  </r>
  <r>
    <x v="1126"/>
    <d v="2023-02-03T00:00:00"/>
    <d v="2023-03-13T00:00:00"/>
    <x v="0"/>
    <n v="39"/>
    <s v="month"/>
    <n v="38"/>
    <s v="Friday"/>
  </r>
  <r>
    <x v="1127"/>
    <d v="2023-02-03T00:00:00"/>
    <d v="2023-03-30T00:00:00"/>
    <x v="0"/>
    <n v="39"/>
    <s v="month"/>
    <n v="55"/>
    <s v="Friday"/>
  </r>
  <r>
    <x v="1128"/>
    <d v="2023-02-03T00:00:00"/>
    <d v="2023-03-10T00:00:00"/>
    <x v="0"/>
    <n v="39"/>
    <s v="month"/>
    <n v="35"/>
    <s v="Friday"/>
  </r>
  <r>
    <x v="1129"/>
    <d v="2023-02-03T00:00:00"/>
    <d v="2023-03-26T00:00:00"/>
    <x v="0"/>
    <n v="39"/>
    <s v="month"/>
    <n v="51"/>
    <s v="Friday"/>
  </r>
  <r>
    <x v="1130"/>
    <d v="2023-02-03T00:00:00"/>
    <d v="2023-08-21T00:00:00"/>
    <x v="0"/>
    <n v="39"/>
    <s v="month"/>
    <n v="199"/>
    <s v="Friday"/>
  </r>
  <r>
    <x v="1131"/>
    <d v="2023-02-03T00:00:00"/>
    <d v="2023-07-03T00:00:00"/>
    <x v="0"/>
    <n v="39"/>
    <s v="month"/>
    <n v="150"/>
    <s v="Friday"/>
  </r>
  <r>
    <x v="1132"/>
    <d v="2023-02-04T00:00:00"/>
    <m/>
    <x v="0"/>
    <n v="39"/>
    <s v="month"/>
    <s v=""/>
    <s v="Saturday"/>
  </r>
  <r>
    <x v="1133"/>
    <d v="2023-02-04T00:00:00"/>
    <d v="2023-05-02T00:00:00"/>
    <x v="0"/>
    <n v="39"/>
    <s v="month"/>
    <n v="87"/>
    <s v="Saturday"/>
  </r>
  <r>
    <x v="1134"/>
    <d v="2023-02-04T00:00:00"/>
    <d v="2023-05-08T00:00:00"/>
    <x v="0"/>
    <n v="39"/>
    <s v="month"/>
    <n v="93"/>
    <s v="Saturday"/>
  </r>
  <r>
    <x v="1135"/>
    <d v="2023-02-04T00:00:00"/>
    <d v="2023-02-25T00:00:00"/>
    <x v="0"/>
    <n v="39"/>
    <s v="month"/>
    <n v="21"/>
    <s v="Saturday"/>
  </r>
  <r>
    <x v="1136"/>
    <d v="2023-02-04T00:00:00"/>
    <d v="2023-03-21T00:00:00"/>
    <x v="0"/>
    <n v="39"/>
    <s v="month"/>
    <n v="45"/>
    <s v="Saturday"/>
  </r>
  <r>
    <x v="1137"/>
    <d v="2023-02-04T00:00:00"/>
    <d v="2023-03-19T00:00:00"/>
    <x v="0"/>
    <n v="39"/>
    <s v="month"/>
    <n v="43"/>
    <s v="Saturday"/>
  </r>
  <r>
    <x v="1138"/>
    <d v="2023-02-05T00:00:00"/>
    <m/>
    <x v="0"/>
    <n v="39"/>
    <s v="month"/>
    <s v=""/>
    <s v="Sunday"/>
  </r>
  <r>
    <x v="1139"/>
    <d v="2023-02-05T00:00:00"/>
    <m/>
    <x v="0"/>
    <n v="39"/>
    <s v="month"/>
    <s v=""/>
    <s v="Sunday"/>
  </r>
  <r>
    <x v="1140"/>
    <d v="2023-02-05T00:00:00"/>
    <m/>
    <x v="0"/>
    <n v="39"/>
    <s v="month"/>
    <s v=""/>
    <s v="Sunday"/>
  </r>
  <r>
    <x v="1141"/>
    <d v="2023-02-05T00:00:00"/>
    <m/>
    <x v="0"/>
    <n v="39"/>
    <s v="month"/>
    <s v=""/>
    <s v="Sunday"/>
  </r>
  <r>
    <x v="1142"/>
    <d v="2023-02-05T00:00:00"/>
    <m/>
    <x v="0"/>
    <n v="39"/>
    <s v="month"/>
    <s v=""/>
    <s v="Sunday"/>
  </r>
  <r>
    <x v="1143"/>
    <d v="2023-02-05T00:00:00"/>
    <d v="2023-03-12T00:00:00"/>
    <x v="0"/>
    <n v="39"/>
    <s v="month"/>
    <n v="35"/>
    <s v="Sunday"/>
  </r>
  <r>
    <x v="1144"/>
    <d v="2023-02-05T00:00:00"/>
    <d v="2023-06-12T00:00:00"/>
    <x v="0"/>
    <n v="39"/>
    <s v="month"/>
    <n v="127"/>
    <s v="Sunday"/>
  </r>
  <r>
    <x v="1145"/>
    <d v="2023-02-05T00:00:00"/>
    <d v="2023-05-06T00:00:00"/>
    <x v="0"/>
    <n v="39"/>
    <s v="month"/>
    <n v="90"/>
    <s v="Sunday"/>
  </r>
  <r>
    <x v="1146"/>
    <d v="2023-02-05T00:00:00"/>
    <d v="2023-03-14T00:00:00"/>
    <x v="0"/>
    <n v="39"/>
    <s v="month"/>
    <n v="37"/>
    <s v="Sunday"/>
  </r>
  <r>
    <x v="1147"/>
    <d v="2023-02-06T00:00:00"/>
    <m/>
    <x v="0"/>
    <n v="39"/>
    <s v="month"/>
    <s v=""/>
    <s v="Monday"/>
  </r>
  <r>
    <x v="1148"/>
    <d v="2023-02-06T00:00:00"/>
    <m/>
    <x v="0"/>
    <n v="39"/>
    <s v="month"/>
    <s v=""/>
    <s v="Monday"/>
  </r>
  <r>
    <x v="1149"/>
    <d v="2023-02-06T00:00:00"/>
    <m/>
    <x v="0"/>
    <n v="39"/>
    <s v="month"/>
    <s v=""/>
    <s v="Monday"/>
  </r>
  <r>
    <x v="1150"/>
    <d v="2023-02-06T00:00:00"/>
    <m/>
    <x v="0"/>
    <n v="39"/>
    <s v="month"/>
    <s v=""/>
    <s v="Monday"/>
  </r>
  <r>
    <x v="1151"/>
    <d v="2023-02-06T00:00:00"/>
    <m/>
    <x v="0"/>
    <n v="39"/>
    <s v="month"/>
    <s v=""/>
    <s v="Monday"/>
  </r>
  <r>
    <x v="313"/>
    <d v="2023-02-06T00:00:00"/>
    <m/>
    <x v="0"/>
    <n v="39"/>
    <s v="month"/>
    <s v=""/>
    <s v="Monday"/>
  </r>
  <r>
    <x v="1152"/>
    <d v="2023-02-06T00:00:00"/>
    <d v="2023-02-07T00:00:00"/>
    <x v="1"/>
    <n v="39"/>
    <s v="month"/>
    <n v="1"/>
    <s v="Monday"/>
  </r>
  <r>
    <x v="1153"/>
    <d v="2023-02-06T00:00:00"/>
    <d v="2023-02-17T00:00:00"/>
    <x v="0"/>
    <n v="39"/>
    <s v="month"/>
    <n v="11"/>
    <s v="Monday"/>
  </r>
  <r>
    <x v="1154"/>
    <d v="2023-02-06T00:00:00"/>
    <d v="2023-03-21T00:00:00"/>
    <x v="0"/>
    <n v="39"/>
    <s v="month"/>
    <n v="43"/>
    <s v="Monday"/>
  </r>
  <r>
    <x v="1155"/>
    <d v="2023-02-06T00:00:00"/>
    <d v="2023-06-05T00:00:00"/>
    <x v="0"/>
    <n v="39"/>
    <s v="month"/>
    <n v="119"/>
    <s v="Monday"/>
  </r>
  <r>
    <x v="1156"/>
    <d v="2023-02-06T00:00:00"/>
    <d v="2023-06-21T00:00:00"/>
    <x v="0"/>
    <n v="39"/>
    <s v="month"/>
    <n v="135"/>
    <s v="Monday"/>
  </r>
  <r>
    <x v="1157"/>
    <d v="2023-02-06T00:00:00"/>
    <d v="2023-05-09T00:00:00"/>
    <x v="0"/>
    <n v="39"/>
    <s v="month"/>
    <n v="92"/>
    <s v="Monday"/>
  </r>
  <r>
    <x v="1158"/>
    <d v="2023-02-06T00:00:00"/>
    <d v="2023-02-08T00:00:00"/>
    <x v="0"/>
    <n v="39"/>
    <s v="month"/>
    <n v="2"/>
    <s v="Monday"/>
  </r>
  <r>
    <x v="1159"/>
    <d v="2023-02-06T00:00:00"/>
    <d v="2023-03-04T00:00:00"/>
    <x v="0"/>
    <n v="39"/>
    <s v="month"/>
    <n v="26"/>
    <s v="Monday"/>
  </r>
  <r>
    <x v="1160"/>
    <d v="2023-02-06T00:00:00"/>
    <d v="2023-03-04T00:00:00"/>
    <x v="0"/>
    <n v="39"/>
    <s v="month"/>
    <n v="26"/>
    <s v="Monday"/>
  </r>
  <r>
    <x v="1161"/>
    <d v="2023-02-06T00:00:00"/>
    <d v="2023-03-25T00:00:00"/>
    <x v="0"/>
    <n v="39"/>
    <s v="month"/>
    <n v="47"/>
    <s v="Monday"/>
  </r>
  <r>
    <x v="1162"/>
    <d v="2023-02-06T00:00:00"/>
    <d v="2023-03-07T00:00:00"/>
    <x v="0"/>
    <n v="39"/>
    <s v="month"/>
    <n v="29"/>
    <s v="Monday"/>
  </r>
  <r>
    <x v="1163"/>
    <d v="2023-02-06T00:00:00"/>
    <d v="2023-02-22T00:00:00"/>
    <x v="0"/>
    <n v="39"/>
    <s v="month"/>
    <n v="16"/>
    <s v="Monday"/>
  </r>
  <r>
    <x v="1164"/>
    <d v="2023-02-06T00:00:00"/>
    <d v="2023-08-02T00:00:00"/>
    <x v="0"/>
    <n v="39"/>
    <s v="month"/>
    <n v="177"/>
    <s v="Monday"/>
  </r>
  <r>
    <x v="1165"/>
    <d v="2023-02-07T00:00:00"/>
    <m/>
    <x v="0"/>
    <n v="39"/>
    <s v="month"/>
    <s v=""/>
    <s v="Tuesday"/>
  </r>
  <r>
    <x v="1166"/>
    <d v="2023-02-07T00:00:00"/>
    <m/>
    <x v="0"/>
    <n v="39"/>
    <s v="month"/>
    <s v=""/>
    <s v="Tuesday"/>
  </r>
  <r>
    <x v="1167"/>
    <d v="2023-02-07T00:00:00"/>
    <m/>
    <x v="0"/>
    <n v="39"/>
    <s v="month"/>
    <s v=""/>
    <s v="Tuesday"/>
  </r>
  <r>
    <x v="1168"/>
    <d v="2023-02-07T00:00:00"/>
    <m/>
    <x v="0"/>
    <n v="39"/>
    <s v="month"/>
    <s v=""/>
    <s v="Tuesday"/>
  </r>
  <r>
    <x v="1169"/>
    <d v="2023-02-07T00:00:00"/>
    <d v="2023-02-07T00:00:00"/>
    <x v="1"/>
    <n v="39"/>
    <s v="month"/>
    <n v="0"/>
    <s v="Tuesday"/>
  </r>
  <r>
    <x v="1170"/>
    <d v="2023-02-07T00:00:00"/>
    <d v="2023-06-20T00:00:00"/>
    <x v="0"/>
    <n v="39"/>
    <s v="month"/>
    <n v="133"/>
    <s v="Tuesday"/>
  </r>
  <r>
    <x v="1171"/>
    <d v="2023-02-07T00:00:00"/>
    <d v="2023-04-14T00:00:00"/>
    <x v="0"/>
    <n v="39"/>
    <s v="month"/>
    <n v="66"/>
    <s v="Tuesday"/>
  </r>
  <r>
    <x v="1172"/>
    <d v="2023-02-07T00:00:00"/>
    <d v="2023-03-06T00:00:00"/>
    <x v="0"/>
    <n v="39"/>
    <s v="month"/>
    <n v="27"/>
    <s v="Tuesday"/>
  </r>
  <r>
    <x v="1173"/>
    <d v="2023-02-07T00:00:00"/>
    <d v="2023-02-07T00:00:00"/>
    <x v="0"/>
    <n v="39"/>
    <s v="month"/>
    <n v="0"/>
    <s v="Tuesday"/>
  </r>
  <r>
    <x v="1174"/>
    <d v="2023-02-08T00:00:00"/>
    <m/>
    <x v="0"/>
    <n v="39"/>
    <s v="month"/>
    <s v=""/>
    <s v="Wednesday"/>
  </r>
  <r>
    <x v="1175"/>
    <d v="2023-02-08T00:00:00"/>
    <d v="2023-06-17T00:00:00"/>
    <x v="0"/>
    <n v="39"/>
    <s v="month"/>
    <n v="129"/>
    <s v="Wednesday"/>
  </r>
  <r>
    <x v="1176"/>
    <d v="2023-02-08T00:00:00"/>
    <d v="2023-05-04T00:00:00"/>
    <x v="0"/>
    <n v="39"/>
    <s v="month"/>
    <n v="85"/>
    <s v="Wednesday"/>
  </r>
  <r>
    <x v="1177"/>
    <d v="2023-02-08T00:00:00"/>
    <d v="2023-05-16T00:00:00"/>
    <x v="0"/>
    <n v="39"/>
    <s v="month"/>
    <n v="97"/>
    <s v="Wednesday"/>
  </r>
  <r>
    <x v="1178"/>
    <d v="2023-02-08T00:00:00"/>
    <d v="2023-07-31T00:00:00"/>
    <x v="0"/>
    <n v="39"/>
    <s v="month"/>
    <n v="173"/>
    <s v="Wednesday"/>
  </r>
  <r>
    <x v="1179"/>
    <d v="2023-02-08T00:00:00"/>
    <d v="2023-03-01T00:00:00"/>
    <x v="0"/>
    <n v="39"/>
    <s v="month"/>
    <n v="21"/>
    <s v="Wednesday"/>
  </r>
  <r>
    <x v="1180"/>
    <d v="2023-02-08T00:00:00"/>
    <d v="2023-03-15T00:00:00"/>
    <x v="0"/>
    <n v="39"/>
    <s v="month"/>
    <n v="35"/>
    <s v="Wednesday"/>
  </r>
  <r>
    <x v="1181"/>
    <d v="2023-02-08T00:00:00"/>
    <d v="2023-03-08T00:00:00"/>
    <x v="0"/>
    <n v="39"/>
    <s v="month"/>
    <n v="28"/>
    <s v="Wednesday"/>
  </r>
  <r>
    <x v="1182"/>
    <d v="2023-02-08T00:00:00"/>
    <d v="2023-03-23T00:00:00"/>
    <x v="0"/>
    <n v="39"/>
    <s v="month"/>
    <n v="43"/>
    <s v="Wednesday"/>
  </r>
  <r>
    <x v="1183"/>
    <d v="2023-02-08T00:00:00"/>
    <d v="2023-03-02T00:00:00"/>
    <x v="0"/>
    <n v="39"/>
    <s v="month"/>
    <n v="22"/>
    <s v="Wednesday"/>
  </r>
  <r>
    <x v="1184"/>
    <d v="2023-02-08T00:00:00"/>
    <d v="2023-02-11T00:00:00"/>
    <x v="0"/>
    <n v="39"/>
    <s v="month"/>
    <n v="3"/>
    <s v="Wednesday"/>
  </r>
  <r>
    <x v="1185"/>
    <d v="2023-02-08T00:00:00"/>
    <d v="2023-02-22T00:00:00"/>
    <x v="0"/>
    <n v="39"/>
    <s v="month"/>
    <n v="14"/>
    <s v="Wednesday"/>
  </r>
  <r>
    <x v="1186"/>
    <d v="2023-02-08T00:00:00"/>
    <d v="2023-08-07T00:00:00"/>
    <x v="0"/>
    <n v="39"/>
    <s v="month"/>
    <n v="180"/>
    <s v="Wednesday"/>
  </r>
  <r>
    <x v="1187"/>
    <d v="2023-02-09T00:00:00"/>
    <m/>
    <x v="0"/>
    <n v="39"/>
    <s v="month"/>
    <s v=""/>
    <s v="Thursday"/>
  </r>
  <r>
    <x v="1188"/>
    <d v="2023-02-09T00:00:00"/>
    <m/>
    <x v="0"/>
    <n v="39"/>
    <s v="month"/>
    <s v=""/>
    <s v="Thursday"/>
  </r>
  <r>
    <x v="1189"/>
    <d v="2023-02-09T00:00:00"/>
    <m/>
    <x v="0"/>
    <n v="39"/>
    <s v="month"/>
    <s v=""/>
    <s v="Thursday"/>
  </r>
  <r>
    <x v="1190"/>
    <d v="2023-02-09T00:00:00"/>
    <m/>
    <x v="0"/>
    <n v="39"/>
    <s v="month"/>
    <s v=""/>
    <s v="Thursday"/>
  </r>
  <r>
    <x v="1191"/>
    <d v="2023-02-09T00:00:00"/>
    <m/>
    <x v="0"/>
    <n v="39"/>
    <s v="month"/>
    <s v=""/>
    <s v="Thursday"/>
  </r>
  <r>
    <x v="1192"/>
    <d v="2023-02-09T00:00:00"/>
    <m/>
    <x v="0"/>
    <n v="39"/>
    <s v="month"/>
    <s v=""/>
    <s v="Thursday"/>
  </r>
  <r>
    <x v="1193"/>
    <d v="2023-02-09T00:00:00"/>
    <m/>
    <x v="0"/>
    <n v="39"/>
    <s v="month"/>
    <s v=""/>
    <s v="Thursday"/>
  </r>
  <r>
    <x v="921"/>
    <d v="2023-02-09T00:00:00"/>
    <d v="2023-02-10T00:00:00"/>
    <x v="0"/>
    <n v="39"/>
    <s v="month"/>
    <n v="1"/>
    <s v="Thursday"/>
  </r>
  <r>
    <x v="1194"/>
    <d v="2023-02-09T00:00:00"/>
    <d v="2023-02-09T00:00:00"/>
    <x v="1"/>
    <n v="39"/>
    <s v="month"/>
    <n v="0"/>
    <s v="Thursday"/>
  </r>
  <r>
    <x v="1195"/>
    <d v="2023-02-09T00:00:00"/>
    <d v="2023-03-10T00:00:00"/>
    <x v="0"/>
    <n v="39"/>
    <s v="month"/>
    <n v="29"/>
    <s v="Thursday"/>
  </r>
  <r>
    <x v="1196"/>
    <d v="2023-02-09T00:00:00"/>
    <d v="2023-05-27T00:00:00"/>
    <x v="0"/>
    <n v="39"/>
    <s v="month"/>
    <n v="107"/>
    <s v="Thursday"/>
  </r>
  <r>
    <x v="1197"/>
    <d v="2023-02-09T00:00:00"/>
    <d v="2023-04-08T00:00:00"/>
    <x v="0"/>
    <n v="39"/>
    <s v="month"/>
    <n v="58"/>
    <s v="Thursday"/>
  </r>
  <r>
    <x v="1198"/>
    <d v="2023-02-09T00:00:00"/>
    <d v="2023-04-11T00:00:00"/>
    <x v="0"/>
    <n v="39"/>
    <s v="month"/>
    <n v="61"/>
    <s v="Thursday"/>
  </r>
  <r>
    <x v="1199"/>
    <d v="2023-02-09T00:00:00"/>
    <d v="2023-03-16T00:00:00"/>
    <x v="0"/>
    <n v="39"/>
    <s v="month"/>
    <n v="35"/>
    <s v="Thursday"/>
  </r>
  <r>
    <x v="1200"/>
    <d v="2023-02-09T00:00:00"/>
    <d v="2023-02-28T00:00:00"/>
    <x v="0"/>
    <n v="39"/>
    <s v="month"/>
    <n v="19"/>
    <s v="Thursday"/>
  </r>
  <r>
    <x v="1201"/>
    <d v="2023-02-09T00:00:00"/>
    <d v="2023-08-16T00:00:00"/>
    <x v="0"/>
    <n v="39"/>
    <s v="month"/>
    <n v="188"/>
    <s v="Thursday"/>
  </r>
  <r>
    <x v="1202"/>
    <d v="2023-02-10T00:00:00"/>
    <d v="2023-02-11T00:00:00"/>
    <x v="0"/>
    <n v="39"/>
    <s v="month"/>
    <n v="1"/>
    <s v="Friday"/>
  </r>
  <r>
    <x v="1203"/>
    <d v="2023-02-10T00:00:00"/>
    <d v="2023-03-17T00:00:00"/>
    <x v="0"/>
    <n v="39"/>
    <s v="month"/>
    <n v="35"/>
    <s v="Friday"/>
  </r>
  <r>
    <x v="1204"/>
    <d v="2023-02-11T00:00:00"/>
    <m/>
    <x v="0"/>
    <n v="39"/>
    <s v="month"/>
    <s v=""/>
    <s v="Saturday"/>
  </r>
  <r>
    <x v="216"/>
    <d v="2023-02-11T00:00:00"/>
    <d v="2023-02-12T00:00:00"/>
    <x v="0"/>
    <n v="39"/>
    <s v="month"/>
    <n v="1"/>
    <s v="Saturday"/>
  </r>
  <r>
    <x v="1205"/>
    <d v="2023-02-11T00:00:00"/>
    <d v="2023-04-19T00:00:00"/>
    <x v="0"/>
    <n v="39"/>
    <s v="month"/>
    <n v="67"/>
    <s v="Saturday"/>
  </r>
  <r>
    <x v="1206"/>
    <d v="2023-02-11T00:00:00"/>
    <d v="2023-04-22T00:00:00"/>
    <x v="0"/>
    <n v="39"/>
    <s v="month"/>
    <n v="70"/>
    <s v="Saturday"/>
  </r>
  <r>
    <x v="1207"/>
    <d v="2023-02-11T00:00:00"/>
    <d v="2023-03-07T00:00:00"/>
    <x v="0"/>
    <n v="39"/>
    <s v="month"/>
    <n v="24"/>
    <s v="Saturday"/>
  </r>
  <r>
    <x v="1208"/>
    <d v="2023-02-13T00:00:00"/>
    <m/>
    <x v="0"/>
    <n v="39"/>
    <s v="month"/>
    <s v=""/>
    <s v="Monday"/>
  </r>
  <r>
    <x v="1209"/>
    <d v="2023-02-13T00:00:00"/>
    <d v="2023-08-21T00:00:00"/>
    <x v="0"/>
    <n v="39"/>
    <s v="month"/>
    <n v="189"/>
    <s v="Monday"/>
  </r>
  <r>
    <x v="1210"/>
    <d v="2023-02-13T00:00:00"/>
    <d v="2023-05-13T00:00:00"/>
    <x v="0"/>
    <n v="39"/>
    <s v="month"/>
    <n v="89"/>
    <s v="Monday"/>
  </r>
  <r>
    <x v="1211"/>
    <d v="2023-02-13T00:00:00"/>
    <d v="2023-06-12T00:00:00"/>
    <x v="0"/>
    <n v="39"/>
    <s v="month"/>
    <n v="119"/>
    <s v="Monday"/>
  </r>
  <r>
    <x v="1212"/>
    <d v="2023-02-13T00:00:00"/>
    <d v="2023-05-10T00:00:00"/>
    <x v="0"/>
    <n v="39"/>
    <s v="month"/>
    <n v="86"/>
    <s v="Monday"/>
  </r>
  <r>
    <x v="1213"/>
    <d v="2023-02-13T00:00:00"/>
    <d v="2023-03-13T00:00:00"/>
    <x v="0"/>
    <n v="39"/>
    <s v="month"/>
    <n v="28"/>
    <s v="Monday"/>
  </r>
  <r>
    <x v="1214"/>
    <d v="2023-02-13T00:00:00"/>
    <d v="2023-03-27T00:00:00"/>
    <x v="0"/>
    <n v="39"/>
    <s v="month"/>
    <n v="42"/>
    <s v="Monday"/>
  </r>
  <r>
    <x v="1215"/>
    <d v="2023-02-14T00:00:00"/>
    <m/>
    <x v="0"/>
    <n v="39"/>
    <s v="month"/>
    <s v=""/>
    <s v="Tuesday"/>
  </r>
  <r>
    <x v="1216"/>
    <d v="2023-02-14T00:00:00"/>
    <m/>
    <x v="0"/>
    <n v="39"/>
    <s v="month"/>
    <s v=""/>
    <s v="Tuesday"/>
  </r>
  <r>
    <x v="1217"/>
    <d v="2023-02-14T00:00:00"/>
    <m/>
    <x v="0"/>
    <n v="39"/>
    <s v="month"/>
    <s v=""/>
    <s v="Tuesday"/>
  </r>
  <r>
    <x v="1218"/>
    <d v="2023-02-14T00:00:00"/>
    <d v="2023-02-14T00:00:00"/>
    <x v="0"/>
    <n v="39"/>
    <s v="month"/>
    <n v="0"/>
    <s v="Tuesday"/>
  </r>
  <r>
    <x v="1219"/>
    <d v="2023-02-14T00:00:00"/>
    <d v="2023-06-08T00:00:00"/>
    <x v="0"/>
    <n v="39"/>
    <s v="month"/>
    <n v="114"/>
    <s v="Tuesday"/>
  </r>
  <r>
    <x v="1220"/>
    <d v="2023-02-14T00:00:00"/>
    <d v="2023-06-12T00:00:00"/>
    <x v="0"/>
    <n v="39"/>
    <s v="month"/>
    <n v="118"/>
    <s v="Tuesday"/>
  </r>
  <r>
    <x v="1221"/>
    <d v="2023-02-14T00:00:00"/>
    <d v="2023-05-15T00:00:00"/>
    <x v="0"/>
    <n v="39"/>
    <s v="month"/>
    <n v="90"/>
    <s v="Tuesday"/>
  </r>
  <r>
    <x v="1222"/>
    <d v="2023-02-14T00:00:00"/>
    <d v="2023-03-07T00:00:00"/>
    <x v="0"/>
    <n v="39"/>
    <s v="month"/>
    <n v="21"/>
    <s v="Tuesday"/>
  </r>
  <r>
    <x v="1223"/>
    <d v="2023-02-14T00:00:00"/>
    <d v="2023-03-26T00:00:00"/>
    <x v="0"/>
    <n v="39"/>
    <s v="month"/>
    <n v="40"/>
    <s v="Tuesday"/>
  </r>
  <r>
    <x v="1224"/>
    <d v="2023-02-14T00:00:00"/>
    <d v="2023-07-20T00:00:00"/>
    <x v="0"/>
    <n v="39"/>
    <s v="month"/>
    <n v="156"/>
    <s v="Tuesday"/>
  </r>
  <r>
    <x v="1225"/>
    <d v="2023-02-14T00:00:00"/>
    <d v="2023-06-18T00:00:00"/>
    <x v="0"/>
    <n v="39"/>
    <s v="month"/>
    <n v="124"/>
    <s v="Tuesday"/>
  </r>
  <r>
    <x v="1226"/>
    <d v="2023-02-15T00:00:00"/>
    <m/>
    <x v="0"/>
    <n v="39"/>
    <s v="month"/>
    <s v=""/>
    <s v="Wednesday"/>
  </r>
  <r>
    <x v="1227"/>
    <d v="2023-02-15T00:00:00"/>
    <d v="2023-02-15T00:00:00"/>
    <x v="1"/>
    <n v="39"/>
    <s v="month"/>
    <n v="0"/>
    <s v="Wednesday"/>
  </r>
  <r>
    <x v="1228"/>
    <d v="2023-02-15T00:00:00"/>
    <d v="2023-02-15T00:00:00"/>
    <x v="1"/>
    <n v="39"/>
    <s v="month"/>
    <n v="0"/>
    <s v="Wednesday"/>
  </r>
  <r>
    <x v="1229"/>
    <d v="2023-02-15T00:00:00"/>
    <d v="2023-06-14T00:00:00"/>
    <x v="0"/>
    <n v="39"/>
    <s v="month"/>
    <n v="119"/>
    <s v="Wednesday"/>
  </r>
  <r>
    <x v="1230"/>
    <d v="2023-02-15T00:00:00"/>
    <d v="2023-03-22T00:00:00"/>
    <x v="0"/>
    <n v="39"/>
    <s v="month"/>
    <n v="35"/>
    <s v="Wednesday"/>
  </r>
  <r>
    <x v="1231"/>
    <d v="2023-02-16T00:00:00"/>
    <m/>
    <x v="0"/>
    <n v="39"/>
    <s v="month"/>
    <s v=""/>
    <s v="Thursday"/>
  </r>
  <r>
    <x v="1232"/>
    <d v="2023-02-16T00:00:00"/>
    <d v="2023-03-17T00:00:00"/>
    <x v="0"/>
    <n v="39"/>
    <s v="month"/>
    <n v="29"/>
    <s v="Thursday"/>
  </r>
  <r>
    <x v="1233"/>
    <d v="2023-02-16T00:00:00"/>
    <d v="2023-02-16T00:00:00"/>
    <x v="0"/>
    <n v="39"/>
    <s v="month"/>
    <n v="0"/>
    <s v="Thursday"/>
  </r>
  <r>
    <x v="1234"/>
    <d v="2023-02-16T00:00:00"/>
    <d v="2023-03-15T00:00:00"/>
    <x v="0"/>
    <n v="39"/>
    <s v="month"/>
    <n v="27"/>
    <s v="Thursday"/>
  </r>
  <r>
    <x v="1235"/>
    <d v="2023-02-16T00:00:00"/>
    <d v="2023-04-17T00:00:00"/>
    <x v="0"/>
    <n v="39"/>
    <s v="month"/>
    <n v="60"/>
    <s v="Thursday"/>
  </r>
  <r>
    <x v="1236"/>
    <d v="2023-02-16T00:00:00"/>
    <d v="2023-04-14T00:00:00"/>
    <x v="0"/>
    <n v="39"/>
    <s v="month"/>
    <n v="57"/>
    <s v="Thursday"/>
  </r>
  <r>
    <x v="1237"/>
    <d v="2023-02-16T00:00:00"/>
    <d v="2023-04-14T00:00:00"/>
    <x v="0"/>
    <n v="39"/>
    <s v="month"/>
    <n v="57"/>
    <s v="Thursday"/>
  </r>
  <r>
    <x v="1238"/>
    <d v="2023-02-16T00:00:00"/>
    <d v="2023-03-17T00:00:00"/>
    <x v="0"/>
    <n v="39"/>
    <s v="month"/>
    <n v="29"/>
    <s v="Thursday"/>
  </r>
  <r>
    <x v="1239"/>
    <d v="2023-02-16T00:00:00"/>
    <d v="2023-02-18T00:00:00"/>
    <x v="0"/>
    <n v="39"/>
    <s v="month"/>
    <n v="2"/>
    <s v="Thursday"/>
  </r>
  <r>
    <x v="1240"/>
    <d v="2023-02-16T00:00:00"/>
    <d v="2023-06-18T00:00:00"/>
    <x v="0"/>
    <n v="39"/>
    <s v="month"/>
    <n v="122"/>
    <s v="Thursday"/>
  </r>
  <r>
    <x v="1241"/>
    <d v="2023-02-17T00:00:00"/>
    <d v="2023-02-18T00:00:00"/>
    <x v="0"/>
    <n v="39"/>
    <s v="month"/>
    <n v="1"/>
    <s v="Friday"/>
  </r>
  <r>
    <x v="1242"/>
    <d v="2023-02-17T00:00:00"/>
    <d v="2023-02-17T00:00:00"/>
    <x v="1"/>
    <n v="39"/>
    <s v="month"/>
    <n v="0"/>
    <s v="Friday"/>
  </r>
  <r>
    <x v="1243"/>
    <d v="2023-02-17T00:00:00"/>
    <d v="2023-03-14T00:00:00"/>
    <x v="1"/>
    <n v="39"/>
    <s v="month"/>
    <n v="25"/>
    <s v="Friday"/>
  </r>
  <r>
    <x v="1244"/>
    <d v="2023-02-17T00:00:00"/>
    <d v="2023-06-16T00:00:00"/>
    <x v="0"/>
    <n v="39"/>
    <s v="month"/>
    <n v="119"/>
    <s v="Friday"/>
  </r>
  <r>
    <x v="1245"/>
    <d v="2023-02-17T00:00:00"/>
    <d v="2023-05-23T00:00:00"/>
    <x v="0"/>
    <n v="39"/>
    <s v="month"/>
    <n v="95"/>
    <s v="Friday"/>
  </r>
  <r>
    <x v="1246"/>
    <d v="2023-02-17T00:00:00"/>
    <d v="2023-02-23T00:00:00"/>
    <x v="0"/>
    <n v="39"/>
    <s v="month"/>
    <n v="6"/>
    <s v="Friday"/>
  </r>
  <r>
    <x v="1247"/>
    <d v="2023-02-17T00:00:00"/>
    <d v="2023-02-17T00:00:00"/>
    <x v="0"/>
    <n v="39"/>
    <s v="month"/>
    <n v="0"/>
    <s v="Friday"/>
  </r>
  <r>
    <x v="1248"/>
    <d v="2023-02-17T00:00:00"/>
    <d v="2023-08-06T00:00:00"/>
    <x v="0"/>
    <n v="39"/>
    <s v="month"/>
    <n v="170"/>
    <s v="Friday"/>
  </r>
  <r>
    <x v="1249"/>
    <d v="2023-02-17T00:00:00"/>
    <d v="2023-06-22T00:00:00"/>
    <x v="0"/>
    <n v="39"/>
    <s v="month"/>
    <n v="125"/>
    <s v="Friday"/>
  </r>
  <r>
    <x v="1250"/>
    <d v="2023-02-18T00:00:00"/>
    <m/>
    <x v="0"/>
    <n v="39"/>
    <s v="month"/>
    <s v=""/>
    <s v="Saturday"/>
  </r>
  <r>
    <x v="1251"/>
    <d v="2023-02-18T00:00:00"/>
    <m/>
    <x v="0"/>
    <n v="39"/>
    <s v="month"/>
    <s v=""/>
    <s v="Saturday"/>
  </r>
  <r>
    <x v="1252"/>
    <d v="2023-02-18T00:00:00"/>
    <d v="2023-02-18T00:00:00"/>
    <x v="1"/>
    <n v="39"/>
    <s v="month"/>
    <n v="0"/>
    <s v="Saturday"/>
  </r>
  <r>
    <x v="1253"/>
    <d v="2023-02-18T00:00:00"/>
    <d v="2023-02-19T00:00:00"/>
    <x v="0"/>
    <n v="39"/>
    <s v="month"/>
    <n v="1"/>
    <s v="Saturday"/>
  </r>
  <r>
    <x v="1254"/>
    <d v="2023-02-18T00:00:00"/>
    <d v="2023-06-25T00:00:00"/>
    <x v="0"/>
    <n v="39"/>
    <s v="month"/>
    <n v="127"/>
    <s v="Saturday"/>
  </r>
  <r>
    <x v="1255"/>
    <d v="2023-02-18T00:00:00"/>
    <d v="2023-05-17T00:00:00"/>
    <x v="0"/>
    <n v="39"/>
    <s v="month"/>
    <n v="88"/>
    <s v="Saturday"/>
  </r>
  <r>
    <x v="1256"/>
    <d v="2023-02-18T00:00:00"/>
    <d v="2023-05-28T00:00:00"/>
    <x v="0"/>
    <n v="39"/>
    <s v="month"/>
    <n v="99"/>
    <s v="Saturday"/>
  </r>
  <r>
    <x v="1257"/>
    <d v="2023-02-18T00:00:00"/>
    <d v="2023-03-25T00:00:00"/>
    <x v="0"/>
    <n v="39"/>
    <s v="month"/>
    <n v="35"/>
    <s v="Saturday"/>
  </r>
  <r>
    <x v="1258"/>
    <d v="2023-02-19T00:00:00"/>
    <m/>
    <x v="0"/>
    <n v="39"/>
    <s v="month"/>
    <s v=""/>
    <s v="Sunday"/>
  </r>
  <r>
    <x v="1259"/>
    <d v="2023-02-19T00:00:00"/>
    <m/>
    <x v="0"/>
    <n v="39"/>
    <s v="month"/>
    <s v=""/>
    <s v="Sunday"/>
  </r>
  <r>
    <x v="1260"/>
    <d v="2023-02-19T00:00:00"/>
    <d v="2023-08-22T00:00:00"/>
    <x v="0"/>
    <n v="39"/>
    <s v="month"/>
    <n v="184"/>
    <s v="Sunday"/>
  </r>
  <r>
    <x v="1261"/>
    <d v="2023-02-19T00:00:00"/>
    <d v="2023-06-12T00:00:00"/>
    <x v="0"/>
    <n v="39"/>
    <s v="month"/>
    <n v="113"/>
    <s v="Sunday"/>
  </r>
  <r>
    <x v="1262"/>
    <d v="2023-02-19T00:00:00"/>
    <d v="2023-04-18T00:00:00"/>
    <x v="0"/>
    <n v="39"/>
    <s v="month"/>
    <n v="58"/>
    <s v="Sunday"/>
  </r>
  <r>
    <x v="1263"/>
    <d v="2023-02-19T00:00:00"/>
    <d v="2023-04-07T00:00:00"/>
    <x v="0"/>
    <n v="39"/>
    <s v="month"/>
    <n v="47"/>
    <s v="Sunday"/>
  </r>
  <r>
    <x v="1264"/>
    <d v="2023-02-19T00:00:00"/>
    <d v="2023-04-02T00:00:00"/>
    <x v="0"/>
    <n v="39"/>
    <s v="month"/>
    <n v="42"/>
    <s v="Sunday"/>
  </r>
  <r>
    <x v="1265"/>
    <d v="2023-02-19T00:00:00"/>
    <d v="2023-04-26T00:00:00"/>
    <x v="0"/>
    <n v="39"/>
    <s v="month"/>
    <n v="66"/>
    <s v="Sunday"/>
  </r>
  <r>
    <x v="1266"/>
    <d v="2023-02-19T00:00:00"/>
    <d v="2023-07-18T00:00:00"/>
    <x v="0"/>
    <n v="39"/>
    <s v="month"/>
    <n v="149"/>
    <s v="Sunday"/>
  </r>
  <r>
    <x v="1267"/>
    <d v="2023-02-19T00:00:00"/>
    <d v="2023-03-06T00:00:00"/>
    <x v="0"/>
    <n v="39"/>
    <s v="month"/>
    <n v="15"/>
    <s v="Sunday"/>
  </r>
  <r>
    <x v="1268"/>
    <d v="2023-02-19T00:00:00"/>
    <d v="2023-03-14T00:00:00"/>
    <x v="0"/>
    <n v="39"/>
    <s v="month"/>
    <n v="23"/>
    <s v="Sunday"/>
  </r>
  <r>
    <x v="1269"/>
    <d v="2023-02-19T00:00:00"/>
    <d v="2023-03-22T00:00:00"/>
    <x v="0"/>
    <n v="39"/>
    <s v="month"/>
    <n v="31"/>
    <s v="Sunday"/>
  </r>
  <r>
    <x v="1270"/>
    <d v="2023-02-19T00:00:00"/>
    <d v="2023-02-24T00:00:00"/>
    <x v="0"/>
    <n v="39"/>
    <s v="month"/>
    <n v="5"/>
    <s v="Sunday"/>
  </r>
  <r>
    <x v="1271"/>
    <d v="2023-02-20T00:00:00"/>
    <m/>
    <x v="0"/>
    <n v="39"/>
    <s v="month"/>
    <s v=""/>
    <s v="Monday"/>
  </r>
  <r>
    <x v="1272"/>
    <d v="2023-02-20T00:00:00"/>
    <m/>
    <x v="0"/>
    <n v="39"/>
    <s v="month"/>
    <s v=""/>
    <s v="Monday"/>
  </r>
  <r>
    <x v="1273"/>
    <d v="2023-02-20T00:00:00"/>
    <m/>
    <x v="0"/>
    <n v="39"/>
    <s v="month"/>
    <s v=""/>
    <s v="Monday"/>
  </r>
  <r>
    <x v="1274"/>
    <d v="2023-02-20T00:00:00"/>
    <d v="2023-02-21T00:00:00"/>
    <x v="0"/>
    <n v="39"/>
    <s v="month"/>
    <n v="1"/>
    <s v="Monday"/>
  </r>
  <r>
    <x v="1275"/>
    <d v="2023-02-20T00:00:00"/>
    <d v="2023-07-12T00:00:00"/>
    <x v="0"/>
    <n v="39"/>
    <s v="month"/>
    <n v="142"/>
    <s v="Monday"/>
  </r>
  <r>
    <x v="1276"/>
    <d v="2023-02-20T00:00:00"/>
    <d v="2023-06-28T00:00:00"/>
    <x v="0"/>
    <n v="39"/>
    <s v="month"/>
    <n v="128"/>
    <s v="Monday"/>
  </r>
  <r>
    <x v="1277"/>
    <d v="2023-02-20T00:00:00"/>
    <d v="2023-06-12T00:00:00"/>
    <x v="0"/>
    <n v="39"/>
    <s v="month"/>
    <n v="112"/>
    <s v="Monday"/>
  </r>
  <r>
    <x v="1278"/>
    <d v="2023-02-20T00:00:00"/>
    <d v="2023-05-02T00:00:00"/>
    <x v="0"/>
    <n v="39"/>
    <s v="month"/>
    <n v="71"/>
    <s v="Monday"/>
  </r>
  <r>
    <x v="1279"/>
    <d v="2023-02-20T00:00:00"/>
    <d v="2023-05-31T00:00:00"/>
    <x v="0"/>
    <n v="39"/>
    <s v="month"/>
    <n v="100"/>
    <s v="Monday"/>
  </r>
  <r>
    <x v="1280"/>
    <d v="2023-02-20T00:00:00"/>
    <d v="2023-03-14T00:00:00"/>
    <x v="0"/>
    <n v="39"/>
    <s v="month"/>
    <n v="22"/>
    <s v="Monday"/>
  </r>
  <r>
    <x v="1281"/>
    <d v="2023-02-20T00:00:00"/>
    <d v="2023-03-10T00:00:00"/>
    <x v="0"/>
    <n v="39"/>
    <s v="month"/>
    <n v="18"/>
    <s v="Monday"/>
  </r>
  <r>
    <x v="1282"/>
    <d v="2023-02-20T00:00:00"/>
    <d v="2023-04-10T00:00:00"/>
    <x v="0"/>
    <n v="39"/>
    <s v="month"/>
    <n v="49"/>
    <s v="Monday"/>
  </r>
  <r>
    <x v="1283"/>
    <d v="2023-02-20T00:00:00"/>
    <d v="2023-03-20T00:00:00"/>
    <x v="0"/>
    <n v="39"/>
    <s v="month"/>
    <n v="28"/>
    <s v="Monday"/>
  </r>
  <r>
    <x v="1284"/>
    <d v="2023-02-20T00:00:00"/>
    <d v="2023-07-19T00:00:00"/>
    <x v="0"/>
    <n v="39"/>
    <s v="month"/>
    <n v="149"/>
    <s v="Monday"/>
  </r>
  <r>
    <x v="1285"/>
    <d v="2023-02-20T00:00:00"/>
    <d v="2023-07-17T00:00:00"/>
    <x v="0"/>
    <n v="39"/>
    <s v="month"/>
    <n v="147"/>
    <s v="Monday"/>
  </r>
  <r>
    <x v="1286"/>
    <d v="2023-02-21T00:00:00"/>
    <m/>
    <x v="0"/>
    <n v="39"/>
    <s v="month"/>
    <s v=""/>
    <s v="Tuesday"/>
  </r>
  <r>
    <x v="1287"/>
    <d v="2023-02-21T00:00:00"/>
    <d v="2023-03-28T00:00:00"/>
    <x v="0"/>
    <n v="39"/>
    <s v="month"/>
    <n v="35"/>
    <s v="Tuesday"/>
  </r>
  <r>
    <x v="1288"/>
    <d v="2023-02-21T00:00:00"/>
    <d v="2023-05-09T00:00:00"/>
    <x v="0"/>
    <n v="39"/>
    <s v="month"/>
    <n v="77"/>
    <s v="Tuesday"/>
  </r>
  <r>
    <x v="1289"/>
    <d v="2023-02-21T00:00:00"/>
    <d v="2023-05-30T00:00:00"/>
    <x v="0"/>
    <n v="39"/>
    <s v="month"/>
    <n v="98"/>
    <s v="Tuesday"/>
  </r>
  <r>
    <x v="1290"/>
    <d v="2023-02-21T00:00:00"/>
    <d v="2023-05-18T00:00:00"/>
    <x v="0"/>
    <n v="39"/>
    <s v="month"/>
    <n v="86"/>
    <s v="Tuesday"/>
  </r>
  <r>
    <x v="1291"/>
    <d v="2023-02-21T00:00:00"/>
    <d v="2023-04-04T00:00:00"/>
    <x v="0"/>
    <n v="39"/>
    <s v="month"/>
    <n v="42"/>
    <s v="Tuesday"/>
  </r>
  <r>
    <x v="1292"/>
    <d v="2023-02-21T00:00:00"/>
    <d v="2023-04-05T00:00:00"/>
    <x v="0"/>
    <n v="39"/>
    <s v="month"/>
    <n v="43"/>
    <s v="Tuesday"/>
  </r>
  <r>
    <x v="1293"/>
    <d v="2023-02-21T00:00:00"/>
    <d v="2023-04-14T00:00:00"/>
    <x v="0"/>
    <n v="39"/>
    <s v="month"/>
    <n v="52"/>
    <s v="Tuesday"/>
  </r>
  <r>
    <x v="1294"/>
    <d v="2023-02-21T00:00:00"/>
    <d v="2023-03-06T00:00:00"/>
    <x v="0"/>
    <n v="39"/>
    <s v="month"/>
    <n v="13"/>
    <s v="Tuesday"/>
  </r>
  <r>
    <x v="1295"/>
    <d v="2023-02-21T00:00:00"/>
    <d v="2023-03-17T00:00:00"/>
    <x v="0"/>
    <n v="39"/>
    <s v="month"/>
    <n v="24"/>
    <s v="Tuesday"/>
  </r>
  <r>
    <x v="1296"/>
    <d v="2023-02-22T00:00:00"/>
    <m/>
    <x v="0"/>
    <n v="39"/>
    <s v="month"/>
    <s v=""/>
    <s v="Wednesday"/>
  </r>
  <r>
    <x v="1297"/>
    <d v="2023-02-22T00:00:00"/>
    <m/>
    <x v="0"/>
    <n v="39"/>
    <s v="month"/>
    <s v=""/>
    <s v="Wednesday"/>
  </r>
  <r>
    <x v="1298"/>
    <d v="2023-02-22T00:00:00"/>
    <d v="2023-02-23T00:00:00"/>
    <x v="1"/>
    <n v="39"/>
    <s v="month"/>
    <n v="1"/>
    <s v="Wednesday"/>
  </r>
  <r>
    <x v="1299"/>
    <d v="2023-02-22T00:00:00"/>
    <d v="2023-05-02T00:00:00"/>
    <x v="0"/>
    <n v="39"/>
    <s v="month"/>
    <n v="69"/>
    <s v="Wednesday"/>
  </r>
  <r>
    <x v="1300"/>
    <d v="2023-02-22T00:00:00"/>
    <d v="2023-04-21T00:00:00"/>
    <x v="0"/>
    <n v="39"/>
    <s v="month"/>
    <n v="58"/>
    <s v="Wednesday"/>
  </r>
  <r>
    <x v="1301"/>
    <d v="2023-02-22T00:00:00"/>
    <d v="2023-04-13T00:00:00"/>
    <x v="0"/>
    <n v="39"/>
    <s v="month"/>
    <n v="50"/>
    <s v="Wednesday"/>
  </r>
  <r>
    <x v="1302"/>
    <d v="2023-02-22T00:00:00"/>
    <d v="2023-04-07T00:00:00"/>
    <x v="0"/>
    <n v="39"/>
    <s v="month"/>
    <n v="44"/>
    <s v="Wednesday"/>
  </r>
  <r>
    <x v="214"/>
    <d v="2023-02-22T00:00:00"/>
    <d v="2023-04-06T00:00:00"/>
    <x v="0"/>
    <n v="39"/>
    <s v="month"/>
    <n v="43"/>
    <s v="Wednesday"/>
  </r>
  <r>
    <x v="1303"/>
    <d v="2023-02-22T00:00:00"/>
    <d v="2023-04-29T00:00:00"/>
    <x v="0"/>
    <n v="39"/>
    <s v="month"/>
    <n v="66"/>
    <s v="Wednesday"/>
  </r>
  <r>
    <x v="1304"/>
    <d v="2023-02-22T00:00:00"/>
    <d v="2023-03-18T00:00:00"/>
    <x v="0"/>
    <n v="39"/>
    <s v="month"/>
    <n v="24"/>
    <s v="Wednesday"/>
  </r>
  <r>
    <x v="1305"/>
    <d v="2023-02-22T00:00:00"/>
    <d v="2023-03-08T00:00:00"/>
    <x v="0"/>
    <n v="39"/>
    <s v="month"/>
    <n v="14"/>
    <s v="Wednesday"/>
  </r>
  <r>
    <x v="1306"/>
    <d v="2023-02-22T00:00:00"/>
    <d v="2023-03-20T00:00:00"/>
    <x v="0"/>
    <n v="39"/>
    <s v="month"/>
    <n v="26"/>
    <s v="Wednesday"/>
  </r>
  <r>
    <x v="1307"/>
    <d v="2023-02-22T00:00:00"/>
    <d v="2023-08-03T00:00:00"/>
    <x v="0"/>
    <n v="39"/>
    <s v="month"/>
    <n v="162"/>
    <s v="Wednesday"/>
  </r>
  <r>
    <x v="1308"/>
    <d v="2023-02-23T00:00:00"/>
    <m/>
    <x v="0"/>
    <n v="39"/>
    <s v="month"/>
    <s v=""/>
    <s v="Thursday"/>
  </r>
  <r>
    <x v="1309"/>
    <d v="2023-02-23T00:00:00"/>
    <m/>
    <x v="0"/>
    <n v="39"/>
    <s v="month"/>
    <s v=""/>
    <s v="Thursday"/>
  </r>
  <r>
    <x v="1310"/>
    <d v="2023-02-23T00:00:00"/>
    <d v="2023-04-07T00:00:00"/>
    <x v="0"/>
    <n v="39"/>
    <s v="month"/>
    <n v="43"/>
    <s v="Thursday"/>
  </r>
  <r>
    <x v="1311"/>
    <d v="2023-02-23T00:00:00"/>
    <d v="2023-05-31T00:00:00"/>
    <x v="0"/>
    <n v="39"/>
    <s v="month"/>
    <n v="97"/>
    <s v="Thursday"/>
  </r>
  <r>
    <x v="1312"/>
    <d v="2023-02-23T00:00:00"/>
    <d v="2023-04-30T00:00:00"/>
    <x v="0"/>
    <n v="39"/>
    <s v="month"/>
    <n v="66"/>
    <s v="Thursday"/>
  </r>
  <r>
    <x v="1313"/>
    <d v="2023-02-23T00:00:00"/>
    <d v="2023-04-03T00:00:00"/>
    <x v="0"/>
    <n v="39"/>
    <s v="month"/>
    <n v="39"/>
    <s v="Thursday"/>
  </r>
  <r>
    <x v="1314"/>
    <d v="2023-02-23T00:00:00"/>
    <d v="2023-03-22T00:00:00"/>
    <x v="0"/>
    <n v="39"/>
    <s v="month"/>
    <n v="27"/>
    <s v="Thursday"/>
  </r>
  <r>
    <x v="1315"/>
    <d v="2023-02-23T00:00:00"/>
    <d v="2023-03-26T00:00:00"/>
    <x v="0"/>
    <n v="39"/>
    <s v="month"/>
    <n v="31"/>
    <s v="Thursday"/>
  </r>
  <r>
    <x v="1316"/>
    <d v="2023-02-23T00:00:00"/>
    <d v="2023-03-10T00:00:00"/>
    <x v="0"/>
    <n v="39"/>
    <s v="month"/>
    <n v="15"/>
    <s v="Thursday"/>
  </r>
  <r>
    <x v="1317"/>
    <d v="2023-02-23T00:00:00"/>
    <d v="2023-03-10T00:00:00"/>
    <x v="0"/>
    <n v="39"/>
    <s v="month"/>
    <n v="15"/>
    <s v="Thursday"/>
  </r>
  <r>
    <x v="1318"/>
    <d v="2023-02-24T00:00:00"/>
    <d v="2023-06-16T00:00:00"/>
    <x v="0"/>
    <n v="39"/>
    <s v="month"/>
    <n v="112"/>
    <s v="Friday"/>
  </r>
  <r>
    <x v="1319"/>
    <d v="2023-02-24T00:00:00"/>
    <d v="2023-06-11T00:00:00"/>
    <x v="0"/>
    <n v="39"/>
    <s v="month"/>
    <n v="107"/>
    <s v="Friday"/>
  </r>
  <r>
    <x v="1320"/>
    <d v="2023-02-24T00:00:00"/>
    <d v="2023-06-16T00:00:00"/>
    <x v="0"/>
    <n v="39"/>
    <s v="month"/>
    <n v="112"/>
    <s v="Friday"/>
  </r>
  <r>
    <x v="1321"/>
    <d v="2023-02-24T00:00:00"/>
    <d v="2023-05-01T00:00:00"/>
    <x v="0"/>
    <n v="39"/>
    <s v="month"/>
    <n v="66"/>
    <s v="Friday"/>
  </r>
  <r>
    <x v="1322"/>
    <d v="2023-02-24T00:00:00"/>
    <d v="2023-04-13T00:00:00"/>
    <x v="0"/>
    <n v="39"/>
    <s v="month"/>
    <n v="48"/>
    <s v="Friday"/>
  </r>
  <r>
    <x v="1323"/>
    <d v="2023-02-24T00:00:00"/>
    <d v="2023-04-18T00:00:00"/>
    <x v="0"/>
    <n v="39"/>
    <s v="month"/>
    <n v="53"/>
    <s v="Friday"/>
  </r>
  <r>
    <x v="1324"/>
    <d v="2023-02-24T00:00:00"/>
    <d v="2023-04-04T00:00:00"/>
    <x v="0"/>
    <n v="39"/>
    <s v="month"/>
    <n v="39"/>
    <s v="Friday"/>
  </r>
  <r>
    <x v="1325"/>
    <d v="2023-02-24T00:00:00"/>
    <d v="2023-03-30T00:00:00"/>
    <x v="0"/>
    <n v="39"/>
    <s v="month"/>
    <n v="34"/>
    <s v="Friday"/>
  </r>
  <r>
    <x v="1326"/>
    <d v="2023-02-24T00:00:00"/>
    <d v="2023-03-15T00:00:00"/>
    <x v="0"/>
    <n v="39"/>
    <s v="month"/>
    <n v="19"/>
    <s v="Friday"/>
  </r>
  <r>
    <x v="1327"/>
    <d v="2023-02-24T00:00:00"/>
    <d v="2023-03-31T00:00:00"/>
    <x v="0"/>
    <n v="39"/>
    <s v="month"/>
    <n v="35"/>
    <s v="Friday"/>
  </r>
  <r>
    <x v="1328"/>
    <d v="2023-02-24T00:00:00"/>
    <d v="2023-09-01T00:00:00"/>
    <x v="0"/>
    <n v="39"/>
    <s v="month"/>
    <n v="189"/>
    <s v="Friday"/>
  </r>
  <r>
    <x v="1329"/>
    <d v="2023-02-25T00:00:00"/>
    <m/>
    <x v="0"/>
    <n v="39"/>
    <s v="month"/>
    <s v=""/>
    <s v="Saturday"/>
  </r>
  <r>
    <x v="1330"/>
    <d v="2023-02-25T00:00:00"/>
    <m/>
    <x v="0"/>
    <n v="39"/>
    <s v="month"/>
    <s v=""/>
    <s v="Saturday"/>
  </r>
  <r>
    <x v="1331"/>
    <d v="2023-02-25T00:00:00"/>
    <d v="2023-04-09T00:00:00"/>
    <x v="0"/>
    <n v="39"/>
    <s v="month"/>
    <n v="43"/>
    <s v="Saturday"/>
  </r>
  <r>
    <x v="1332"/>
    <d v="2023-02-25T00:00:00"/>
    <d v="2023-04-16T00:00:00"/>
    <x v="0"/>
    <n v="39"/>
    <s v="month"/>
    <n v="50"/>
    <s v="Saturday"/>
  </r>
  <r>
    <x v="1333"/>
    <d v="2023-02-25T00:00:00"/>
    <d v="2023-04-16T00:00:00"/>
    <x v="0"/>
    <n v="39"/>
    <s v="month"/>
    <n v="50"/>
    <s v="Saturday"/>
  </r>
  <r>
    <x v="1334"/>
    <d v="2023-02-25T00:00:00"/>
    <d v="2023-03-02T00:00:00"/>
    <x v="0"/>
    <n v="39"/>
    <s v="month"/>
    <n v="5"/>
    <s v="Saturday"/>
  </r>
  <r>
    <x v="1335"/>
    <d v="2023-02-26T00:00:00"/>
    <d v="2023-05-05T00:00:00"/>
    <x v="0"/>
    <n v="39"/>
    <s v="month"/>
    <n v="68"/>
    <s v="Sunday"/>
  </r>
  <r>
    <x v="1336"/>
    <d v="2023-02-26T00:00:00"/>
    <d v="2023-03-14T00:00:00"/>
    <x v="0"/>
    <n v="39"/>
    <s v="month"/>
    <n v="16"/>
    <s v="Sunday"/>
  </r>
  <r>
    <x v="1337"/>
    <d v="2023-02-26T00:00:00"/>
    <d v="2023-03-27T00:00:00"/>
    <x v="0"/>
    <n v="39"/>
    <s v="month"/>
    <n v="29"/>
    <s v="Sunday"/>
  </r>
  <r>
    <x v="844"/>
    <d v="2023-02-27T00:00:00"/>
    <m/>
    <x v="0"/>
    <n v="39"/>
    <s v="month"/>
    <s v=""/>
    <s v="Monday"/>
  </r>
  <r>
    <x v="1338"/>
    <d v="2023-02-27T00:00:00"/>
    <d v="2023-03-19T00:00:00"/>
    <x v="0"/>
    <n v="39"/>
    <s v="month"/>
    <n v="20"/>
    <s v="Monday"/>
  </r>
  <r>
    <x v="1339"/>
    <d v="2023-02-27T00:00:00"/>
    <d v="2023-06-03T00:00:00"/>
    <x v="0"/>
    <n v="39"/>
    <s v="month"/>
    <n v="96"/>
    <s v="Monday"/>
  </r>
  <r>
    <x v="1340"/>
    <d v="2023-02-27T00:00:00"/>
    <d v="2023-06-20T00:00:00"/>
    <x v="0"/>
    <n v="39"/>
    <s v="month"/>
    <n v="113"/>
    <s v="Monday"/>
  </r>
  <r>
    <x v="1341"/>
    <d v="2023-02-27T00:00:00"/>
    <d v="2023-05-19T00:00:00"/>
    <x v="0"/>
    <n v="39"/>
    <s v="month"/>
    <n v="81"/>
    <s v="Monday"/>
  </r>
  <r>
    <x v="1342"/>
    <d v="2023-02-27T00:00:00"/>
    <d v="2023-04-27T00:00:00"/>
    <x v="0"/>
    <n v="39"/>
    <s v="month"/>
    <n v="59"/>
    <s v="Monday"/>
  </r>
  <r>
    <x v="1343"/>
    <d v="2023-02-27T00:00:00"/>
    <d v="2023-04-25T00:00:00"/>
    <x v="0"/>
    <n v="39"/>
    <s v="month"/>
    <n v="57"/>
    <s v="Monday"/>
  </r>
  <r>
    <x v="1344"/>
    <d v="2023-02-27T00:00:00"/>
    <d v="2023-04-09T00:00:00"/>
    <x v="0"/>
    <n v="39"/>
    <s v="month"/>
    <n v="41"/>
    <s v="Monday"/>
  </r>
  <r>
    <x v="1345"/>
    <d v="2023-02-27T00:00:00"/>
    <d v="2023-02-27T00:00:00"/>
    <x v="0"/>
    <n v="39"/>
    <s v="month"/>
    <n v="0"/>
    <s v="Monday"/>
  </r>
  <r>
    <x v="1346"/>
    <d v="2023-02-27T00:00:00"/>
    <d v="2023-03-30T00:00:00"/>
    <x v="0"/>
    <n v="39"/>
    <s v="month"/>
    <n v="31"/>
    <s v="Monday"/>
  </r>
  <r>
    <x v="1347"/>
    <d v="2023-02-27T00:00:00"/>
    <d v="2023-03-23T00:00:00"/>
    <x v="0"/>
    <n v="39"/>
    <s v="month"/>
    <n v="24"/>
    <s v="Monday"/>
  </r>
  <r>
    <x v="1348"/>
    <d v="2023-02-27T00:00:00"/>
    <d v="2023-08-01T00:00:00"/>
    <x v="0"/>
    <n v="39"/>
    <s v="month"/>
    <n v="155"/>
    <s v="Monday"/>
  </r>
  <r>
    <x v="1349"/>
    <d v="2023-02-28T00:00:00"/>
    <m/>
    <x v="0"/>
    <n v="39"/>
    <s v="month"/>
    <s v=""/>
    <s v="Tuesday"/>
  </r>
  <r>
    <x v="1350"/>
    <d v="2023-02-28T00:00:00"/>
    <m/>
    <x v="0"/>
    <n v="39"/>
    <s v="month"/>
    <s v=""/>
    <s v="Tuesday"/>
  </r>
  <r>
    <x v="1351"/>
    <d v="2023-02-28T00:00:00"/>
    <m/>
    <x v="0"/>
    <n v="39"/>
    <s v="month"/>
    <s v=""/>
    <s v="Tuesday"/>
  </r>
  <r>
    <x v="1352"/>
    <d v="2023-02-28T00:00:00"/>
    <m/>
    <x v="0"/>
    <n v="39"/>
    <s v="month"/>
    <s v=""/>
    <s v="Tuesday"/>
  </r>
  <r>
    <x v="591"/>
    <d v="2023-02-28T00:00:00"/>
    <d v="2023-03-01T00:00:00"/>
    <x v="0"/>
    <n v="39"/>
    <s v="month"/>
    <n v="1"/>
    <s v="Tuesday"/>
  </r>
  <r>
    <x v="1353"/>
    <d v="2023-02-28T00:00:00"/>
    <d v="2023-03-27T00:00:00"/>
    <x v="0"/>
    <n v="39"/>
    <s v="month"/>
    <n v="27"/>
    <s v="Tuesday"/>
  </r>
  <r>
    <x v="1354"/>
    <d v="2023-02-28T00:00:00"/>
    <d v="2023-04-04T00:00:00"/>
    <x v="0"/>
    <n v="39"/>
    <s v="month"/>
    <n v="35"/>
    <s v="Tuesday"/>
  </r>
  <r>
    <x v="1355"/>
    <d v="2023-02-28T00:00:00"/>
    <d v="2023-04-27T00:00:00"/>
    <x v="0"/>
    <n v="39"/>
    <s v="month"/>
    <n v="58"/>
    <s v="Tuesday"/>
  </r>
  <r>
    <x v="1356"/>
    <d v="2023-02-28T00:00:00"/>
    <d v="2023-04-18T00:00:00"/>
    <x v="0"/>
    <n v="39"/>
    <s v="month"/>
    <n v="49"/>
    <s v="Tuesday"/>
  </r>
  <r>
    <x v="1357"/>
    <d v="2023-02-28T00:00:00"/>
    <d v="2023-03-22T00:00:00"/>
    <x v="0"/>
    <n v="39"/>
    <s v="month"/>
    <n v="22"/>
    <s v="Tuesday"/>
  </r>
  <r>
    <x v="1358"/>
    <d v="2023-03-01T00:00:00"/>
    <m/>
    <x v="0"/>
    <n v="39"/>
    <s v="month"/>
    <s v=""/>
    <s v="Wednesday"/>
  </r>
  <r>
    <x v="1359"/>
    <d v="2023-03-01T00:00:00"/>
    <m/>
    <x v="0"/>
    <n v="39"/>
    <s v="month"/>
    <s v=""/>
    <s v="Wednesday"/>
  </r>
  <r>
    <x v="1360"/>
    <d v="2023-03-01T00:00:00"/>
    <d v="2023-03-02T00:00:00"/>
    <x v="1"/>
    <n v="39"/>
    <s v="month"/>
    <n v="1"/>
    <s v="Wednesday"/>
  </r>
  <r>
    <x v="1361"/>
    <d v="2023-03-01T00:00:00"/>
    <d v="2023-06-21T00:00:00"/>
    <x v="0"/>
    <n v="39"/>
    <s v="month"/>
    <n v="112"/>
    <s v="Wednesday"/>
  </r>
  <r>
    <x v="1362"/>
    <d v="2023-03-01T00:00:00"/>
    <d v="2023-04-08T00:00:00"/>
    <x v="0"/>
    <n v="39"/>
    <s v="month"/>
    <n v="38"/>
    <s v="Wednesday"/>
  </r>
  <r>
    <x v="1363"/>
    <d v="2023-03-01T00:00:00"/>
    <d v="2023-04-08T00:00:00"/>
    <x v="0"/>
    <n v="39"/>
    <s v="month"/>
    <n v="38"/>
    <s v="Wednesday"/>
  </r>
  <r>
    <x v="1364"/>
    <d v="2023-03-01T00:00:00"/>
    <d v="2023-04-04T00:00:00"/>
    <x v="0"/>
    <n v="39"/>
    <s v="month"/>
    <n v="34"/>
    <s v="Wednesday"/>
  </r>
  <r>
    <x v="1365"/>
    <d v="2023-03-01T00:00:00"/>
    <d v="2023-04-18T00:00:00"/>
    <x v="0"/>
    <n v="39"/>
    <s v="month"/>
    <n v="48"/>
    <s v="Wednesday"/>
  </r>
  <r>
    <x v="1366"/>
    <d v="2023-03-01T00:00:00"/>
    <d v="2023-04-13T00:00:00"/>
    <x v="0"/>
    <n v="39"/>
    <s v="month"/>
    <n v="43"/>
    <s v="Wednesday"/>
  </r>
  <r>
    <x v="1367"/>
    <d v="2023-03-01T00:00:00"/>
    <d v="2023-03-29T00:00:00"/>
    <x v="0"/>
    <n v="39"/>
    <s v="month"/>
    <n v="28"/>
    <s v="Wednesday"/>
  </r>
  <r>
    <x v="1368"/>
    <d v="2023-03-01T00:00:00"/>
    <d v="2023-03-21T00:00:00"/>
    <x v="0"/>
    <n v="39"/>
    <s v="month"/>
    <n v="20"/>
    <s v="Wednesday"/>
  </r>
  <r>
    <x v="1369"/>
    <d v="2023-03-01T00:00:00"/>
    <d v="2023-03-30T00:00:00"/>
    <x v="0"/>
    <n v="39"/>
    <s v="month"/>
    <n v="29"/>
    <s v="Wednesday"/>
  </r>
  <r>
    <x v="1370"/>
    <d v="2023-03-01T00:00:00"/>
    <d v="2023-03-28T00:00:00"/>
    <x v="0"/>
    <n v="39"/>
    <s v="month"/>
    <n v="27"/>
    <s v="Wednesday"/>
  </r>
  <r>
    <x v="1371"/>
    <d v="2023-03-02T00:00:00"/>
    <m/>
    <x v="0"/>
    <n v="39"/>
    <s v="month"/>
    <s v=""/>
    <s v="Thursday"/>
  </r>
  <r>
    <x v="1372"/>
    <d v="2023-03-02T00:00:00"/>
    <d v="2023-06-26T00:00:00"/>
    <x v="0"/>
    <n v="39"/>
    <s v="month"/>
    <n v="116"/>
    <s v="Thursday"/>
  </r>
  <r>
    <x v="1373"/>
    <d v="2023-03-02T00:00:00"/>
    <d v="2023-05-30T00:00:00"/>
    <x v="0"/>
    <n v="39"/>
    <s v="month"/>
    <n v="89"/>
    <s v="Thursday"/>
  </r>
  <r>
    <x v="1374"/>
    <d v="2023-03-02T00:00:00"/>
    <d v="2023-05-02T00:00:00"/>
    <x v="0"/>
    <n v="39"/>
    <s v="month"/>
    <n v="61"/>
    <s v="Thursday"/>
  </r>
  <r>
    <x v="1375"/>
    <d v="2023-03-02T00:00:00"/>
    <d v="2023-05-02T00:00:00"/>
    <x v="0"/>
    <n v="39"/>
    <s v="month"/>
    <n v="61"/>
    <s v="Thursday"/>
  </r>
  <r>
    <x v="1376"/>
    <d v="2023-03-02T00:00:00"/>
    <d v="2023-05-30T00:00:00"/>
    <x v="0"/>
    <n v="39"/>
    <s v="month"/>
    <n v="89"/>
    <s v="Thursday"/>
  </r>
  <r>
    <x v="1377"/>
    <d v="2023-03-02T00:00:00"/>
    <d v="2023-04-25T00:00:00"/>
    <x v="0"/>
    <n v="39"/>
    <s v="month"/>
    <n v="54"/>
    <s v="Thursday"/>
  </r>
  <r>
    <x v="1378"/>
    <d v="2023-03-02T00:00:00"/>
    <d v="2023-04-23T00:00:00"/>
    <x v="0"/>
    <n v="39"/>
    <s v="month"/>
    <n v="52"/>
    <s v="Thursday"/>
  </r>
  <r>
    <x v="1379"/>
    <d v="2023-03-02T00:00:00"/>
    <d v="2023-04-02T00:00:00"/>
    <x v="0"/>
    <n v="39"/>
    <s v="month"/>
    <n v="31"/>
    <s v="Thursday"/>
  </r>
  <r>
    <x v="1380"/>
    <d v="2023-03-02T00:00:00"/>
    <d v="2023-04-03T00:00:00"/>
    <x v="0"/>
    <n v="39"/>
    <s v="month"/>
    <n v="32"/>
    <s v="Thursday"/>
  </r>
  <r>
    <x v="1381"/>
    <d v="2023-03-02T00:00:00"/>
    <d v="2023-04-22T00:00:00"/>
    <x v="0"/>
    <n v="39"/>
    <s v="month"/>
    <n v="51"/>
    <s v="Thursday"/>
  </r>
  <r>
    <x v="616"/>
    <d v="2023-03-02T00:00:00"/>
    <d v="2023-04-09T00:00:00"/>
    <x v="0"/>
    <n v="39"/>
    <s v="month"/>
    <n v="38"/>
    <s v="Thursday"/>
  </r>
  <r>
    <x v="263"/>
    <d v="2023-03-02T00:00:00"/>
    <d v="2023-03-02T00:00:00"/>
    <x v="0"/>
    <n v="39"/>
    <s v="month"/>
    <n v="0"/>
    <s v="Thursday"/>
  </r>
  <r>
    <x v="1382"/>
    <d v="2023-03-02T00:00:00"/>
    <d v="2023-03-29T00:00:00"/>
    <x v="0"/>
    <n v="39"/>
    <s v="month"/>
    <n v="27"/>
    <s v="Thursday"/>
  </r>
  <r>
    <x v="1383"/>
    <d v="2023-03-03T00:00:00"/>
    <m/>
    <x v="0"/>
    <n v="39"/>
    <s v="month"/>
    <s v=""/>
    <s v="Friday"/>
  </r>
  <r>
    <x v="562"/>
    <d v="2023-03-03T00:00:00"/>
    <m/>
    <x v="0"/>
    <n v="39"/>
    <s v="month"/>
    <s v=""/>
    <s v="Friday"/>
  </r>
  <r>
    <x v="1384"/>
    <d v="2023-03-03T00:00:00"/>
    <d v="2023-03-04T00:00:00"/>
    <x v="0"/>
    <n v="39"/>
    <s v="month"/>
    <n v="1"/>
    <s v="Friday"/>
  </r>
  <r>
    <x v="1385"/>
    <d v="2023-03-03T00:00:00"/>
    <d v="2023-03-04T00:00:00"/>
    <x v="1"/>
    <n v="39"/>
    <s v="month"/>
    <n v="1"/>
    <s v="Friday"/>
  </r>
  <r>
    <x v="1386"/>
    <d v="2023-03-03T00:00:00"/>
    <d v="2023-03-04T00:00:00"/>
    <x v="1"/>
    <n v="39"/>
    <s v="month"/>
    <n v="1"/>
    <s v="Friday"/>
  </r>
  <r>
    <x v="1387"/>
    <d v="2023-03-03T00:00:00"/>
    <d v="2023-05-10T00:00:00"/>
    <x v="0"/>
    <n v="39"/>
    <s v="month"/>
    <n v="68"/>
    <s v="Friday"/>
  </r>
  <r>
    <x v="1388"/>
    <d v="2023-03-03T00:00:00"/>
    <d v="2023-06-10T00:00:00"/>
    <x v="0"/>
    <n v="39"/>
    <s v="month"/>
    <n v="99"/>
    <s v="Friday"/>
  </r>
  <r>
    <x v="1389"/>
    <d v="2023-03-03T00:00:00"/>
    <d v="2023-05-08T00:00:00"/>
    <x v="0"/>
    <n v="39"/>
    <s v="month"/>
    <n v="66"/>
    <s v="Friday"/>
  </r>
  <r>
    <x v="1390"/>
    <d v="2023-03-03T00:00:00"/>
    <d v="2023-04-20T00:00:00"/>
    <x v="0"/>
    <n v="39"/>
    <s v="month"/>
    <n v="48"/>
    <s v="Friday"/>
  </r>
  <r>
    <x v="1391"/>
    <d v="2023-03-03T00:00:00"/>
    <d v="2023-04-10T00:00:00"/>
    <x v="0"/>
    <n v="39"/>
    <s v="month"/>
    <n v="38"/>
    <s v="Friday"/>
  </r>
  <r>
    <x v="1392"/>
    <d v="2023-03-03T00:00:00"/>
    <d v="2023-03-19T00:00:00"/>
    <x v="0"/>
    <n v="39"/>
    <s v="month"/>
    <n v="16"/>
    <s v="Friday"/>
  </r>
  <r>
    <x v="1393"/>
    <d v="2023-03-04T00:00:00"/>
    <m/>
    <x v="0"/>
    <n v="39"/>
    <s v="month"/>
    <s v=""/>
    <s v="Saturday"/>
  </r>
  <r>
    <x v="1394"/>
    <d v="2023-03-04T00:00:00"/>
    <d v="2023-05-12T00:00:00"/>
    <x v="0"/>
    <n v="39"/>
    <s v="month"/>
    <n v="69"/>
    <s v="Saturday"/>
  </r>
  <r>
    <x v="1395"/>
    <d v="2023-03-04T00:00:00"/>
    <d v="2023-05-11T00:00:00"/>
    <x v="0"/>
    <n v="39"/>
    <s v="month"/>
    <n v="68"/>
    <s v="Saturday"/>
  </r>
  <r>
    <x v="1396"/>
    <d v="2023-03-04T00:00:00"/>
    <d v="2023-05-04T00:00:00"/>
    <x v="0"/>
    <n v="39"/>
    <s v="month"/>
    <n v="61"/>
    <s v="Saturday"/>
  </r>
  <r>
    <x v="1397"/>
    <d v="2023-03-04T00:00:00"/>
    <d v="2023-04-01T00:00:00"/>
    <x v="0"/>
    <n v="39"/>
    <s v="month"/>
    <n v="28"/>
    <s v="Saturday"/>
  </r>
  <r>
    <x v="1398"/>
    <d v="2023-03-04T00:00:00"/>
    <d v="2023-04-02T00:00:00"/>
    <x v="0"/>
    <n v="39"/>
    <s v="month"/>
    <n v="29"/>
    <s v="Saturday"/>
  </r>
  <r>
    <x v="1399"/>
    <d v="2023-03-04T00:00:00"/>
    <d v="2023-03-04T00:00:00"/>
    <x v="0"/>
    <n v="39"/>
    <s v="month"/>
    <n v="0"/>
    <s v="Saturday"/>
  </r>
  <r>
    <x v="1400"/>
    <d v="2023-03-05T00:00:00"/>
    <d v="2023-06-26T00:00:00"/>
    <x v="0"/>
    <n v="39"/>
    <s v="month"/>
    <n v="113"/>
    <s v="Sunday"/>
  </r>
  <r>
    <x v="1401"/>
    <d v="2023-03-05T00:00:00"/>
    <d v="2023-05-29T00:00:00"/>
    <x v="0"/>
    <n v="39"/>
    <s v="month"/>
    <n v="85"/>
    <s v="Sunday"/>
  </r>
  <r>
    <x v="1402"/>
    <d v="2023-03-05T00:00:00"/>
    <d v="2023-03-05T00:00:00"/>
    <x v="0"/>
    <n v="39"/>
    <s v="month"/>
    <n v="0"/>
    <s v="Sunday"/>
  </r>
  <r>
    <x v="1403"/>
    <d v="2023-03-06T00:00:00"/>
    <m/>
    <x v="0"/>
    <n v="39"/>
    <s v="month"/>
    <s v=""/>
    <s v="Monday"/>
  </r>
  <r>
    <x v="1404"/>
    <d v="2023-03-06T00:00:00"/>
    <m/>
    <x v="0"/>
    <n v="39"/>
    <s v="month"/>
    <s v=""/>
    <s v="Monday"/>
  </r>
  <r>
    <x v="1405"/>
    <d v="2023-03-06T00:00:00"/>
    <m/>
    <x v="0"/>
    <n v="39"/>
    <s v="month"/>
    <s v=""/>
    <s v="Monday"/>
  </r>
  <r>
    <x v="1406"/>
    <d v="2023-03-06T00:00:00"/>
    <m/>
    <x v="0"/>
    <n v="39"/>
    <s v="month"/>
    <s v=""/>
    <s v="Monday"/>
  </r>
  <r>
    <x v="1407"/>
    <d v="2023-03-06T00:00:00"/>
    <m/>
    <x v="0"/>
    <n v="39"/>
    <s v="month"/>
    <s v=""/>
    <s v="Monday"/>
  </r>
  <r>
    <x v="1408"/>
    <d v="2023-03-06T00:00:00"/>
    <d v="2023-06-05T00:00:00"/>
    <x v="0"/>
    <n v="39"/>
    <s v="month"/>
    <n v="91"/>
    <s v="Monday"/>
  </r>
  <r>
    <x v="1409"/>
    <d v="2023-03-06T00:00:00"/>
    <d v="2023-05-26T00:00:00"/>
    <x v="0"/>
    <n v="39"/>
    <s v="month"/>
    <n v="81"/>
    <s v="Monday"/>
  </r>
  <r>
    <x v="1410"/>
    <d v="2023-03-06T00:00:00"/>
    <d v="2023-04-07T00:00:00"/>
    <x v="0"/>
    <n v="39"/>
    <s v="month"/>
    <n v="32"/>
    <s v="Monday"/>
  </r>
  <r>
    <x v="1411"/>
    <d v="2023-03-06T00:00:00"/>
    <d v="2023-04-03T00:00:00"/>
    <x v="0"/>
    <n v="39"/>
    <s v="month"/>
    <n v="28"/>
    <s v="Monday"/>
  </r>
  <r>
    <x v="1412"/>
    <d v="2023-03-06T00:00:00"/>
    <d v="2023-03-13T00:00:00"/>
    <x v="0"/>
    <n v="39"/>
    <s v="month"/>
    <n v="7"/>
    <s v="Monday"/>
  </r>
  <r>
    <x v="1413"/>
    <d v="2023-03-06T00:00:00"/>
    <d v="2023-03-18T00:00:00"/>
    <x v="0"/>
    <n v="39"/>
    <s v="month"/>
    <n v="12"/>
    <s v="Monday"/>
  </r>
  <r>
    <x v="1414"/>
    <d v="2023-03-07T00:00:00"/>
    <d v="2023-07-09T00:00:00"/>
    <x v="0"/>
    <n v="39"/>
    <s v="month"/>
    <n v="124"/>
    <s v="Tuesday"/>
  </r>
  <r>
    <x v="1415"/>
    <d v="2023-03-07T00:00:00"/>
    <d v="2023-06-22T00:00:00"/>
    <x v="0"/>
    <n v="39"/>
    <s v="month"/>
    <n v="107"/>
    <s v="Tuesday"/>
  </r>
  <r>
    <x v="1416"/>
    <d v="2023-03-07T00:00:00"/>
    <d v="2023-05-31T00:00:00"/>
    <x v="0"/>
    <n v="39"/>
    <s v="month"/>
    <n v="85"/>
    <s v="Tuesday"/>
  </r>
  <r>
    <x v="1417"/>
    <d v="2023-03-07T00:00:00"/>
    <d v="2023-03-07T00:00:00"/>
    <x v="0"/>
    <n v="39"/>
    <s v="month"/>
    <n v="0"/>
    <s v="Tuesday"/>
  </r>
  <r>
    <x v="1418"/>
    <d v="2023-03-08T00:00:00"/>
    <m/>
    <x v="0"/>
    <n v="39"/>
    <s v="month"/>
    <s v=""/>
    <s v="Wednesday"/>
  </r>
  <r>
    <x v="1419"/>
    <d v="2023-03-08T00:00:00"/>
    <d v="2023-03-09T00:00:00"/>
    <x v="0"/>
    <n v="39"/>
    <s v="month"/>
    <n v="1"/>
    <s v="Wednesday"/>
  </r>
  <r>
    <x v="1420"/>
    <d v="2023-03-08T00:00:00"/>
    <d v="2023-03-09T00:00:00"/>
    <x v="1"/>
    <n v="39"/>
    <s v="month"/>
    <n v="1"/>
    <s v="Wednesday"/>
  </r>
  <r>
    <x v="1421"/>
    <d v="2023-03-08T00:00:00"/>
    <d v="2023-05-21T00:00:00"/>
    <x v="0"/>
    <n v="39"/>
    <s v="month"/>
    <n v="74"/>
    <s v="Wednesday"/>
  </r>
  <r>
    <x v="1422"/>
    <d v="2023-03-08T00:00:00"/>
    <d v="2023-04-07T00:00:00"/>
    <x v="0"/>
    <n v="39"/>
    <s v="month"/>
    <n v="30"/>
    <s v="Wednesday"/>
  </r>
  <r>
    <x v="1423"/>
    <d v="2023-03-09T00:00:00"/>
    <m/>
    <x v="0"/>
    <n v="39"/>
    <s v="month"/>
    <s v=""/>
    <s v="Thursday"/>
  </r>
  <r>
    <x v="1424"/>
    <d v="2023-03-09T00:00:00"/>
    <d v="2023-08-27T00:00:00"/>
    <x v="0"/>
    <n v="39"/>
    <s v="month"/>
    <n v="171"/>
    <s v="Thursday"/>
  </r>
  <r>
    <x v="1425"/>
    <d v="2023-03-09T00:00:00"/>
    <d v="2023-03-10T00:00:00"/>
    <x v="0"/>
    <n v="39"/>
    <s v="month"/>
    <n v="1"/>
    <s v="Thursday"/>
  </r>
  <r>
    <x v="1426"/>
    <d v="2023-03-09T00:00:00"/>
    <d v="2023-03-10T00:00:00"/>
    <x v="1"/>
    <n v="39"/>
    <s v="month"/>
    <n v="1"/>
    <s v="Thursday"/>
  </r>
  <r>
    <x v="1427"/>
    <d v="2023-03-09T00:00:00"/>
    <d v="2023-07-11T00:00:00"/>
    <x v="0"/>
    <n v="39"/>
    <s v="month"/>
    <n v="124"/>
    <s v="Thursday"/>
  </r>
  <r>
    <x v="1428"/>
    <d v="2023-03-09T00:00:00"/>
    <d v="2023-05-25T00:00:00"/>
    <x v="0"/>
    <n v="39"/>
    <s v="month"/>
    <n v="77"/>
    <s v="Thursday"/>
  </r>
  <r>
    <x v="1429"/>
    <d v="2023-03-09T00:00:00"/>
    <d v="2023-06-08T00:00:00"/>
    <x v="0"/>
    <n v="39"/>
    <s v="month"/>
    <n v="91"/>
    <s v="Thursday"/>
  </r>
  <r>
    <x v="1430"/>
    <d v="2023-03-09T00:00:00"/>
    <d v="2023-06-16T00:00:00"/>
    <x v="0"/>
    <n v="39"/>
    <s v="month"/>
    <n v="99"/>
    <s v="Thursday"/>
  </r>
  <r>
    <x v="1431"/>
    <d v="2023-03-09T00:00:00"/>
    <d v="2023-05-01T00:00:00"/>
    <x v="0"/>
    <n v="39"/>
    <s v="month"/>
    <n v="53"/>
    <s v="Thursday"/>
  </r>
  <r>
    <x v="1432"/>
    <d v="2023-03-09T00:00:00"/>
    <d v="2023-04-07T00:00:00"/>
    <x v="0"/>
    <n v="39"/>
    <s v="month"/>
    <n v="29"/>
    <s v="Thursday"/>
  </r>
  <r>
    <x v="1433"/>
    <d v="2023-03-09T00:00:00"/>
    <d v="2023-04-22T00:00:00"/>
    <x v="0"/>
    <n v="39"/>
    <s v="month"/>
    <n v="44"/>
    <s v="Thursday"/>
  </r>
  <r>
    <x v="1434"/>
    <d v="2023-03-09T00:00:00"/>
    <d v="2023-08-01T00:00:00"/>
    <x v="0"/>
    <n v="39"/>
    <s v="month"/>
    <n v="145"/>
    <s v="Thursday"/>
  </r>
  <r>
    <x v="1435"/>
    <d v="2023-03-10T00:00:00"/>
    <m/>
    <x v="0"/>
    <n v="39"/>
    <s v="month"/>
    <s v=""/>
    <s v="Friday"/>
  </r>
  <r>
    <x v="1436"/>
    <d v="2023-03-10T00:00:00"/>
    <m/>
    <x v="0"/>
    <n v="39"/>
    <s v="month"/>
    <s v=""/>
    <s v="Friday"/>
  </r>
  <r>
    <x v="1437"/>
    <d v="2023-03-10T00:00:00"/>
    <d v="2023-06-05T00:00:00"/>
    <x v="0"/>
    <n v="39"/>
    <s v="month"/>
    <n v="87"/>
    <s v="Friday"/>
  </r>
  <r>
    <x v="1438"/>
    <d v="2023-03-10T00:00:00"/>
    <d v="2023-06-09T00:00:00"/>
    <x v="0"/>
    <n v="39"/>
    <s v="month"/>
    <n v="91"/>
    <s v="Friday"/>
  </r>
  <r>
    <x v="1439"/>
    <d v="2023-03-10T00:00:00"/>
    <d v="2023-05-10T00:00:00"/>
    <x v="0"/>
    <n v="39"/>
    <s v="month"/>
    <n v="61"/>
    <s v="Friday"/>
  </r>
  <r>
    <x v="1440"/>
    <d v="2023-03-10T00:00:00"/>
    <d v="2023-05-09T00:00:00"/>
    <x v="0"/>
    <n v="39"/>
    <s v="month"/>
    <n v="60"/>
    <s v="Friday"/>
  </r>
  <r>
    <x v="1441"/>
    <d v="2023-03-10T00:00:00"/>
    <d v="2023-03-25T00:00:00"/>
    <x v="0"/>
    <n v="39"/>
    <s v="month"/>
    <n v="15"/>
    <s v="Friday"/>
  </r>
  <r>
    <x v="1442"/>
    <d v="2023-03-11T00:00:00"/>
    <m/>
    <x v="0"/>
    <n v="39"/>
    <s v="month"/>
    <s v=""/>
    <s v="Saturday"/>
  </r>
  <r>
    <x v="1443"/>
    <d v="2023-03-11T00:00:00"/>
    <d v="2023-09-07T00:00:00"/>
    <x v="0"/>
    <n v="39"/>
    <s v="month"/>
    <n v="180"/>
    <s v="Saturday"/>
  </r>
  <r>
    <x v="1444"/>
    <d v="2023-03-11T00:00:00"/>
    <d v="2023-05-10T00:00:00"/>
    <x v="0"/>
    <n v="39"/>
    <s v="month"/>
    <n v="60"/>
    <s v="Saturday"/>
  </r>
  <r>
    <x v="1445"/>
    <d v="2023-03-11T00:00:00"/>
    <d v="2023-04-12T00:00:00"/>
    <x v="0"/>
    <n v="39"/>
    <s v="month"/>
    <n v="32"/>
    <s v="Saturday"/>
  </r>
  <r>
    <x v="1446"/>
    <d v="2023-03-11T00:00:00"/>
    <d v="2023-04-18T00:00:00"/>
    <x v="0"/>
    <n v="39"/>
    <s v="month"/>
    <n v="38"/>
    <s v="Saturday"/>
  </r>
  <r>
    <x v="1447"/>
    <d v="2023-03-11T00:00:00"/>
    <d v="2023-04-18T00:00:00"/>
    <x v="0"/>
    <n v="39"/>
    <s v="month"/>
    <n v="38"/>
    <s v="Saturday"/>
  </r>
  <r>
    <x v="1448"/>
    <d v="2023-03-11T00:00:00"/>
    <d v="2023-03-14T00:00:00"/>
    <x v="0"/>
    <n v="39"/>
    <s v="month"/>
    <n v="3"/>
    <s v="Saturday"/>
  </r>
  <r>
    <x v="1449"/>
    <d v="2023-03-12T00:00:00"/>
    <d v="2023-08-12T00:00:00"/>
    <x v="0"/>
    <n v="39"/>
    <s v="month"/>
    <n v="153"/>
    <s v="Sunday"/>
  </r>
  <r>
    <x v="1450"/>
    <d v="2023-03-12T00:00:00"/>
    <d v="2023-03-18T00:00:00"/>
    <x v="0"/>
    <n v="39"/>
    <s v="month"/>
    <n v="6"/>
    <s v="Sunday"/>
  </r>
  <r>
    <x v="1451"/>
    <d v="2023-03-12T00:00:00"/>
    <d v="2023-07-24T00:00:00"/>
    <x v="0"/>
    <n v="39"/>
    <s v="month"/>
    <n v="134"/>
    <s v="Sunday"/>
  </r>
  <r>
    <x v="1452"/>
    <d v="2023-03-13T00:00:00"/>
    <d v="2023-05-31T00:00:00"/>
    <x v="0"/>
    <n v="39"/>
    <s v="month"/>
    <n v="79"/>
    <s v="Monday"/>
  </r>
  <r>
    <x v="1453"/>
    <d v="2023-03-13T00:00:00"/>
    <d v="2023-04-12T00:00:00"/>
    <x v="0"/>
    <n v="39"/>
    <s v="month"/>
    <n v="30"/>
    <s v="Monday"/>
  </r>
  <r>
    <x v="1454"/>
    <d v="2023-03-13T00:00:00"/>
    <d v="2023-05-12T00:00:00"/>
    <x v="0"/>
    <n v="39"/>
    <s v="month"/>
    <n v="60"/>
    <s v="Monday"/>
  </r>
  <r>
    <x v="1455"/>
    <d v="2023-03-13T00:00:00"/>
    <d v="2023-05-25T00:00:00"/>
    <x v="0"/>
    <n v="39"/>
    <s v="month"/>
    <n v="73"/>
    <s v="Monday"/>
  </r>
  <r>
    <x v="1456"/>
    <d v="2023-03-13T00:00:00"/>
    <d v="2023-05-24T00:00:00"/>
    <x v="0"/>
    <n v="39"/>
    <s v="month"/>
    <n v="72"/>
    <s v="Monday"/>
  </r>
  <r>
    <x v="1457"/>
    <d v="2023-03-13T00:00:00"/>
    <d v="2023-05-18T00:00:00"/>
    <x v="0"/>
    <n v="39"/>
    <s v="month"/>
    <n v="66"/>
    <s v="Monday"/>
  </r>
  <r>
    <x v="1458"/>
    <d v="2023-03-13T00:00:00"/>
    <d v="2023-04-07T00:00:00"/>
    <x v="0"/>
    <n v="39"/>
    <s v="month"/>
    <n v="25"/>
    <s v="Monday"/>
  </r>
  <r>
    <x v="1459"/>
    <d v="2023-03-13T00:00:00"/>
    <d v="2023-04-09T00:00:00"/>
    <x v="0"/>
    <n v="39"/>
    <s v="month"/>
    <n v="27"/>
    <s v="Monday"/>
  </r>
  <r>
    <x v="1460"/>
    <d v="2023-03-13T00:00:00"/>
    <d v="2023-04-20T00:00:00"/>
    <x v="0"/>
    <n v="39"/>
    <s v="month"/>
    <n v="38"/>
    <s v="Monday"/>
  </r>
  <r>
    <x v="1461"/>
    <d v="2023-03-13T00:00:00"/>
    <d v="2023-06-14T00:00:00"/>
    <x v="0"/>
    <n v="39"/>
    <s v="month"/>
    <n v="93"/>
    <s v="Monday"/>
  </r>
  <r>
    <x v="1462"/>
    <d v="2023-03-14T00:00:00"/>
    <m/>
    <x v="0"/>
    <n v="39"/>
    <s v="month"/>
    <s v=""/>
    <s v="Tuesday"/>
  </r>
  <r>
    <x v="1463"/>
    <d v="2023-03-14T00:00:00"/>
    <m/>
    <x v="0"/>
    <n v="39"/>
    <s v="month"/>
    <s v=""/>
    <s v="Tuesday"/>
  </r>
  <r>
    <x v="1464"/>
    <d v="2023-03-14T00:00:00"/>
    <m/>
    <x v="0"/>
    <n v="39"/>
    <s v="month"/>
    <s v=""/>
    <s v="Tuesday"/>
  </r>
  <r>
    <x v="1465"/>
    <d v="2023-03-14T00:00:00"/>
    <m/>
    <x v="0"/>
    <n v="39"/>
    <s v="month"/>
    <s v=""/>
    <s v="Tuesday"/>
  </r>
  <r>
    <x v="1466"/>
    <d v="2023-03-14T00:00:00"/>
    <d v="2023-06-22T00:00:00"/>
    <x v="0"/>
    <n v="39"/>
    <s v="month"/>
    <n v="100"/>
    <s v="Tuesday"/>
  </r>
  <r>
    <x v="1467"/>
    <d v="2023-03-14T00:00:00"/>
    <d v="2023-06-03T00:00:00"/>
    <x v="0"/>
    <n v="39"/>
    <s v="month"/>
    <n v="81"/>
    <s v="Tuesday"/>
  </r>
  <r>
    <x v="1468"/>
    <d v="2023-03-14T00:00:00"/>
    <d v="2023-05-03T00:00:00"/>
    <x v="0"/>
    <n v="39"/>
    <s v="month"/>
    <n v="50"/>
    <s v="Tuesday"/>
  </r>
  <r>
    <x v="1469"/>
    <d v="2023-03-14T00:00:00"/>
    <d v="2023-04-24T00:00:00"/>
    <x v="0"/>
    <n v="39"/>
    <s v="month"/>
    <n v="41"/>
    <s v="Tuesday"/>
  </r>
  <r>
    <x v="1470"/>
    <d v="2023-03-14T00:00:00"/>
    <d v="2023-04-13T00:00:00"/>
    <x v="0"/>
    <n v="39"/>
    <s v="month"/>
    <n v="30"/>
    <s v="Tuesday"/>
  </r>
  <r>
    <x v="1471"/>
    <d v="2023-03-15T00:00:00"/>
    <m/>
    <x v="0"/>
    <n v="39"/>
    <s v="month"/>
    <s v=""/>
    <s v="Wednesday"/>
  </r>
  <r>
    <x v="1472"/>
    <d v="2023-03-15T00:00:00"/>
    <m/>
    <x v="0"/>
    <n v="39"/>
    <s v="month"/>
    <s v=""/>
    <s v="Wednesday"/>
  </r>
  <r>
    <x v="1473"/>
    <d v="2023-03-15T00:00:00"/>
    <m/>
    <x v="0"/>
    <n v="39"/>
    <s v="month"/>
    <s v=""/>
    <s v="Wednesday"/>
  </r>
  <r>
    <x v="1474"/>
    <d v="2023-03-15T00:00:00"/>
    <d v="2023-08-28T00:00:00"/>
    <x v="0"/>
    <n v="39"/>
    <s v="month"/>
    <n v="166"/>
    <s v="Wednesday"/>
  </r>
  <r>
    <x v="1475"/>
    <d v="2023-03-15T00:00:00"/>
    <d v="2023-03-16T00:00:00"/>
    <x v="1"/>
    <n v="39"/>
    <s v="month"/>
    <n v="1"/>
    <s v="Wednesday"/>
  </r>
  <r>
    <x v="1476"/>
    <d v="2023-03-15T00:00:00"/>
    <d v="2023-03-16T00:00:00"/>
    <x v="1"/>
    <n v="39"/>
    <s v="month"/>
    <n v="1"/>
    <s v="Wednesday"/>
  </r>
  <r>
    <x v="1477"/>
    <d v="2023-03-15T00:00:00"/>
    <d v="2023-06-08T00:00:00"/>
    <x v="0"/>
    <n v="39"/>
    <s v="month"/>
    <n v="85"/>
    <s v="Wednesday"/>
  </r>
  <r>
    <x v="1478"/>
    <d v="2023-03-15T00:00:00"/>
    <d v="2023-06-01T00:00:00"/>
    <x v="0"/>
    <n v="39"/>
    <s v="month"/>
    <n v="78"/>
    <s v="Wednesday"/>
  </r>
  <r>
    <x v="1479"/>
    <d v="2023-03-15T00:00:00"/>
    <d v="2023-04-19T00:00:00"/>
    <x v="0"/>
    <n v="39"/>
    <s v="month"/>
    <n v="35"/>
    <s v="Wednesday"/>
  </r>
  <r>
    <x v="1480"/>
    <d v="2023-03-15T00:00:00"/>
    <d v="2023-05-22T00:00:00"/>
    <x v="0"/>
    <n v="39"/>
    <s v="month"/>
    <n v="68"/>
    <s v="Wednesday"/>
  </r>
  <r>
    <x v="1481"/>
    <d v="2023-03-15T00:00:00"/>
    <d v="2023-04-05T00:00:00"/>
    <x v="0"/>
    <n v="39"/>
    <s v="month"/>
    <n v="21"/>
    <s v="Wednesday"/>
  </r>
  <r>
    <x v="1482"/>
    <d v="2023-03-15T00:00:00"/>
    <d v="2023-07-12T00:00:00"/>
    <x v="0"/>
    <n v="39"/>
    <s v="month"/>
    <n v="119"/>
    <s v="Wednesday"/>
  </r>
  <r>
    <x v="1483"/>
    <d v="2023-03-16T00:00:00"/>
    <m/>
    <x v="0"/>
    <n v="39"/>
    <s v="month"/>
    <s v=""/>
    <s v="Thursday"/>
  </r>
  <r>
    <x v="1484"/>
    <d v="2023-03-16T00:00:00"/>
    <d v="2023-03-31T00:00:00"/>
    <x v="0"/>
    <n v="39"/>
    <s v="month"/>
    <n v="15"/>
    <s v="Thursday"/>
  </r>
  <r>
    <x v="1485"/>
    <d v="2023-03-17T00:00:00"/>
    <m/>
    <x v="0"/>
    <n v="39"/>
    <s v="month"/>
    <s v=""/>
    <s v="Friday"/>
  </r>
  <r>
    <x v="1486"/>
    <d v="2023-03-17T00:00:00"/>
    <m/>
    <x v="0"/>
    <n v="39"/>
    <s v="month"/>
    <s v=""/>
    <s v="Friday"/>
  </r>
  <r>
    <x v="1487"/>
    <d v="2023-03-17T00:00:00"/>
    <m/>
    <x v="0"/>
    <n v="39"/>
    <s v="month"/>
    <s v=""/>
    <s v="Friday"/>
  </r>
  <r>
    <x v="1488"/>
    <d v="2023-03-17T00:00:00"/>
    <m/>
    <x v="0"/>
    <n v="39"/>
    <s v="month"/>
    <s v=""/>
    <s v="Friday"/>
  </r>
  <r>
    <x v="1489"/>
    <d v="2023-03-17T00:00:00"/>
    <m/>
    <x v="0"/>
    <n v="39"/>
    <s v="month"/>
    <s v=""/>
    <s v="Friday"/>
  </r>
  <r>
    <x v="1490"/>
    <d v="2023-03-17T00:00:00"/>
    <d v="2023-03-18T00:00:00"/>
    <x v="1"/>
    <n v="39"/>
    <s v="month"/>
    <n v="1"/>
    <s v="Friday"/>
  </r>
  <r>
    <x v="1491"/>
    <d v="2023-03-17T00:00:00"/>
    <d v="2023-03-18T00:00:00"/>
    <x v="1"/>
    <n v="39"/>
    <s v="month"/>
    <n v="1"/>
    <s v="Friday"/>
  </r>
  <r>
    <x v="1492"/>
    <d v="2023-03-17T00:00:00"/>
    <d v="2023-04-17T00:00:00"/>
    <x v="0"/>
    <n v="39"/>
    <s v="month"/>
    <n v="31"/>
    <s v="Friday"/>
  </r>
  <r>
    <x v="1493"/>
    <d v="2023-03-17T00:00:00"/>
    <d v="2023-03-30T00:00:00"/>
    <x v="0"/>
    <n v="39"/>
    <s v="month"/>
    <n v="13"/>
    <s v="Friday"/>
  </r>
  <r>
    <x v="1494"/>
    <d v="2023-03-17T00:00:00"/>
    <d v="2023-08-10T00:00:00"/>
    <x v="0"/>
    <n v="39"/>
    <s v="month"/>
    <n v="146"/>
    <s v="Friday"/>
  </r>
  <r>
    <x v="1495"/>
    <d v="2023-03-18T00:00:00"/>
    <m/>
    <x v="0"/>
    <n v="39"/>
    <s v="month"/>
    <s v=""/>
    <s v="Saturday"/>
  </r>
  <r>
    <x v="1496"/>
    <d v="2023-03-18T00:00:00"/>
    <m/>
    <x v="0"/>
    <n v="39"/>
    <s v="month"/>
    <s v=""/>
    <s v="Saturday"/>
  </r>
  <r>
    <x v="1497"/>
    <d v="2023-03-18T00:00:00"/>
    <d v="2023-03-19T00:00:00"/>
    <x v="1"/>
    <n v="39"/>
    <s v="month"/>
    <n v="1"/>
    <s v="Saturday"/>
  </r>
  <r>
    <x v="1498"/>
    <d v="2023-03-18T00:00:00"/>
    <d v="2023-03-19T00:00:00"/>
    <x v="1"/>
    <n v="39"/>
    <s v="month"/>
    <n v="1"/>
    <s v="Saturday"/>
  </r>
  <r>
    <x v="1499"/>
    <d v="2023-03-18T00:00:00"/>
    <d v="2023-03-19T00:00:00"/>
    <x v="1"/>
    <n v="39"/>
    <s v="month"/>
    <n v="1"/>
    <s v="Saturday"/>
  </r>
  <r>
    <x v="1500"/>
    <d v="2023-03-18T00:00:00"/>
    <d v="2023-03-19T00:00:00"/>
    <x v="1"/>
    <n v="39"/>
    <s v="month"/>
    <n v="1"/>
    <s v="Saturday"/>
  </r>
  <r>
    <x v="1501"/>
    <d v="2023-03-18T00:00:00"/>
    <d v="2023-08-14T00:00:00"/>
    <x v="0"/>
    <n v="39"/>
    <s v="month"/>
    <n v="149"/>
    <s v="Saturday"/>
  </r>
  <r>
    <x v="1502"/>
    <d v="2023-03-18T00:00:00"/>
    <d v="2023-04-25T00:00:00"/>
    <x v="0"/>
    <n v="39"/>
    <s v="month"/>
    <n v="38"/>
    <s v="Saturday"/>
  </r>
  <r>
    <x v="1503"/>
    <d v="2023-03-19T00:00:00"/>
    <m/>
    <x v="0"/>
    <n v="39"/>
    <s v="month"/>
    <s v=""/>
    <s v="Sunday"/>
  </r>
  <r>
    <x v="1504"/>
    <d v="2023-03-19T00:00:00"/>
    <d v="2023-03-20T00:00:00"/>
    <x v="0"/>
    <n v="39"/>
    <s v="month"/>
    <n v="1"/>
    <s v="Sunday"/>
  </r>
  <r>
    <x v="1505"/>
    <d v="2023-03-19T00:00:00"/>
    <d v="2023-03-19T00:00:00"/>
    <x v="0"/>
    <n v="39"/>
    <s v="month"/>
    <n v="0"/>
    <s v="Sunday"/>
  </r>
  <r>
    <x v="1506"/>
    <d v="2023-03-19T00:00:00"/>
    <d v="2023-05-26T00:00:00"/>
    <x v="0"/>
    <n v="39"/>
    <s v="month"/>
    <n v="68"/>
    <s v="Sunday"/>
  </r>
  <r>
    <x v="1505"/>
    <d v="2023-03-19T00:00:00"/>
    <d v="2023-05-04T00:00:00"/>
    <x v="0"/>
    <n v="39"/>
    <s v="month"/>
    <n v="46"/>
    <s v="Sunday"/>
  </r>
  <r>
    <x v="1507"/>
    <d v="2023-03-19T00:00:00"/>
    <d v="2023-04-11T00:00:00"/>
    <x v="0"/>
    <n v="39"/>
    <s v="month"/>
    <n v="23"/>
    <s v="Sunday"/>
  </r>
  <r>
    <x v="1508"/>
    <d v="2023-03-19T00:00:00"/>
    <d v="2023-04-19T00:00:00"/>
    <x v="0"/>
    <n v="39"/>
    <s v="month"/>
    <n v="31"/>
    <s v="Sunday"/>
  </r>
  <r>
    <x v="972"/>
    <d v="2023-03-20T00:00:00"/>
    <m/>
    <x v="0"/>
    <n v="39"/>
    <s v="month"/>
    <s v=""/>
    <s v="Monday"/>
  </r>
  <r>
    <x v="1509"/>
    <d v="2023-03-20T00:00:00"/>
    <m/>
    <x v="0"/>
    <n v="39"/>
    <s v="month"/>
    <s v=""/>
    <s v="Monday"/>
  </r>
  <r>
    <x v="1510"/>
    <d v="2023-03-20T00:00:00"/>
    <m/>
    <x v="0"/>
    <n v="39"/>
    <s v="month"/>
    <s v=""/>
    <s v="Monday"/>
  </r>
  <r>
    <x v="1511"/>
    <d v="2023-03-20T00:00:00"/>
    <d v="2023-03-21T00:00:00"/>
    <x v="0"/>
    <n v="39"/>
    <s v="month"/>
    <n v="1"/>
    <s v="Monday"/>
  </r>
  <r>
    <x v="1512"/>
    <d v="2023-03-20T00:00:00"/>
    <d v="2023-06-27T00:00:00"/>
    <x v="0"/>
    <n v="39"/>
    <s v="month"/>
    <n v="99"/>
    <s v="Monday"/>
  </r>
  <r>
    <x v="1513"/>
    <d v="2023-03-20T00:00:00"/>
    <d v="2023-05-01T00:00:00"/>
    <x v="0"/>
    <n v="39"/>
    <s v="month"/>
    <n v="42"/>
    <s v="Monday"/>
  </r>
  <r>
    <x v="1514"/>
    <d v="2023-03-20T00:00:00"/>
    <d v="2023-04-19T00:00:00"/>
    <x v="0"/>
    <n v="39"/>
    <s v="month"/>
    <n v="30"/>
    <s v="Monday"/>
  </r>
  <r>
    <x v="1504"/>
    <d v="2023-03-20T00:00:00"/>
    <d v="2023-03-20T00:00:00"/>
    <x v="0"/>
    <n v="39"/>
    <s v="month"/>
    <n v="0"/>
    <s v="Monday"/>
  </r>
  <r>
    <x v="1515"/>
    <d v="2023-03-21T00:00:00"/>
    <m/>
    <x v="0"/>
    <n v="39"/>
    <s v="month"/>
    <s v=""/>
    <s v="Tuesday"/>
  </r>
  <r>
    <x v="1516"/>
    <d v="2023-03-21T00:00:00"/>
    <m/>
    <x v="0"/>
    <n v="39"/>
    <s v="month"/>
    <s v=""/>
    <s v="Tuesday"/>
  </r>
  <r>
    <x v="1517"/>
    <d v="2023-03-21T00:00:00"/>
    <d v="2023-08-25T00:00:00"/>
    <x v="0"/>
    <n v="39"/>
    <s v="month"/>
    <n v="157"/>
    <s v="Tuesday"/>
  </r>
  <r>
    <x v="1518"/>
    <d v="2023-03-21T00:00:00"/>
    <d v="2023-05-04T00:00:00"/>
    <x v="0"/>
    <n v="39"/>
    <s v="month"/>
    <n v="44"/>
    <s v="Tuesday"/>
  </r>
  <r>
    <x v="1519"/>
    <d v="2023-03-21T00:00:00"/>
    <d v="2023-08-16T00:00:00"/>
    <x v="0"/>
    <n v="39"/>
    <s v="month"/>
    <n v="148"/>
    <s v="Tuesday"/>
  </r>
  <r>
    <x v="1520"/>
    <d v="2023-03-21T00:00:00"/>
    <d v="2023-08-15T00:00:00"/>
    <x v="0"/>
    <n v="39"/>
    <s v="month"/>
    <n v="147"/>
    <s v="Tuesday"/>
  </r>
  <r>
    <x v="1521"/>
    <d v="2023-03-22T00:00:00"/>
    <m/>
    <x v="0"/>
    <n v="39"/>
    <s v="month"/>
    <s v=""/>
    <s v="Wednesday"/>
  </r>
  <r>
    <x v="1522"/>
    <d v="2023-03-22T00:00:00"/>
    <m/>
    <x v="0"/>
    <n v="39"/>
    <s v="month"/>
    <s v=""/>
    <s v="Wednesday"/>
  </r>
  <r>
    <x v="1523"/>
    <d v="2023-03-22T00:00:00"/>
    <m/>
    <x v="0"/>
    <n v="39"/>
    <s v="month"/>
    <s v=""/>
    <s v="Wednesday"/>
  </r>
  <r>
    <x v="1241"/>
    <d v="2023-03-22T00:00:00"/>
    <d v="2023-04-11T00:00:00"/>
    <x v="0"/>
    <n v="39"/>
    <s v="month"/>
    <n v="20"/>
    <s v="Wednesday"/>
  </r>
  <r>
    <x v="1524"/>
    <d v="2023-03-22T00:00:00"/>
    <d v="2023-06-08T00:00:00"/>
    <x v="0"/>
    <n v="39"/>
    <s v="month"/>
    <n v="78"/>
    <s v="Wednesday"/>
  </r>
  <r>
    <x v="1525"/>
    <d v="2023-03-22T00:00:00"/>
    <d v="2023-05-19T00:00:00"/>
    <x v="0"/>
    <n v="39"/>
    <s v="month"/>
    <n v="58"/>
    <s v="Wednesday"/>
  </r>
  <r>
    <x v="1526"/>
    <d v="2023-03-22T00:00:00"/>
    <d v="2023-04-21T00:00:00"/>
    <x v="0"/>
    <n v="39"/>
    <s v="month"/>
    <n v="30"/>
    <s v="Wednesday"/>
  </r>
  <r>
    <x v="1527"/>
    <d v="2023-03-22T00:00:00"/>
    <d v="2023-04-20T00:00:00"/>
    <x v="0"/>
    <n v="39"/>
    <s v="month"/>
    <n v="29"/>
    <s v="Wednesday"/>
  </r>
  <r>
    <x v="1528"/>
    <d v="2023-03-22T00:00:00"/>
    <d v="2023-03-24T00:00:00"/>
    <x v="0"/>
    <n v="39"/>
    <s v="month"/>
    <n v="2"/>
    <s v="Wednesday"/>
  </r>
  <r>
    <x v="1529"/>
    <d v="2023-03-23T00:00:00"/>
    <m/>
    <x v="0"/>
    <n v="39"/>
    <s v="month"/>
    <s v=""/>
    <s v="Thursday"/>
  </r>
  <r>
    <x v="1530"/>
    <d v="2023-03-23T00:00:00"/>
    <m/>
    <x v="0"/>
    <n v="39"/>
    <s v="month"/>
    <s v=""/>
    <s v="Thursday"/>
  </r>
  <r>
    <x v="1531"/>
    <d v="2023-03-23T00:00:00"/>
    <d v="2023-08-31T00:00:00"/>
    <x v="0"/>
    <n v="39"/>
    <s v="month"/>
    <n v="161"/>
    <s v="Thursday"/>
  </r>
  <r>
    <x v="1532"/>
    <d v="2023-03-23T00:00:00"/>
    <d v="2023-05-26T00:00:00"/>
    <x v="0"/>
    <n v="39"/>
    <s v="month"/>
    <n v="64"/>
    <s v="Thursday"/>
  </r>
  <r>
    <x v="1533"/>
    <d v="2023-03-23T00:00:00"/>
    <d v="2023-05-11T00:00:00"/>
    <x v="0"/>
    <n v="39"/>
    <s v="month"/>
    <n v="49"/>
    <s v="Thursday"/>
  </r>
  <r>
    <x v="1534"/>
    <d v="2023-03-23T00:00:00"/>
    <d v="2023-04-07T00:00:00"/>
    <x v="0"/>
    <n v="39"/>
    <s v="month"/>
    <n v="15"/>
    <s v="Thursday"/>
  </r>
  <r>
    <x v="1535"/>
    <d v="2023-03-23T00:00:00"/>
    <d v="2023-04-21T00:00:00"/>
    <x v="0"/>
    <n v="39"/>
    <s v="month"/>
    <n v="29"/>
    <s v="Thursday"/>
  </r>
  <r>
    <x v="1536"/>
    <d v="2023-03-23T00:00:00"/>
    <d v="2023-04-21T00:00:00"/>
    <x v="0"/>
    <n v="39"/>
    <s v="month"/>
    <n v="29"/>
    <s v="Thursday"/>
  </r>
  <r>
    <x v="1537"/>
    <d v="2023-03-23T00:00:00"/>
    <d v="2023-04-17T00:00:00"/>
    <x v="0"/>
    <n v="39"/>
    <s v="month"/>
    <n v="25"/>
    <s v="Thursday"/>
  </r>
  <r>
    <x v="1538"/>
    <d v="2023-03-23T00:00:00"/>
    <d v="2023-04-30T00:00:00"/>
    <x v="0"/>
    <n v="39"/>
    <s v="month"/>
    <n v="38"/>
    <s v="Thursday"/>
  </r>
  <r>
    <x v="1511"/>
    <d v="2023-03-23T00:00:00"/>
    <d v="2023-04-30T00:00:00"/>
    <x v="0"/>
    <n v="39"/>
    <s v="month"/>
    <n v="38"/>
    <s v="Thursday"/>
  </r>
  <r>
    <x v="1539"/>
    <d v="2023-03-23T00:00:00"/>
    <d v="2023-07-11T00:00:00"/>
    <x v="0"/>
    <n v="39"/>
    <s v="month"/>
    <n v="110"/>
    <s v="Thursday"/>
  </r>
  <r>
    <x v="1540"/>
    <d v="2023-03-24T00:00:00"/>
    <m/>
    <x v="0"/>
    <n v="39"/>
    <s v="month"/>
    <s v=""/>
    <s v="Friday"/>
  </r>
  <r>
    <x v="1541"/>
    <d v="2023-03-24T00:00:00"/>
    <m/>
    <x v="0"/>
    <n v="39"/>
    <s v="month"/>
    <s v=""/>
    <s v="Friday"/>
  </r>
  <r>
    <x v="1542"/>
    <d v="2023-03-24T00:00:00"/>
    <m/>
    <x v="0"/>
    <n v="39"/>
    <s v="month"/>
    <s v=""/>
    <s v="Friday"/>
  </r>
  <r>
    <x v="1543"/>
    <d v="2023-03-24T00:00:00"/>
    <m/>
    <x v="0"/>
    <n v="39"/>
    <s v="month"/>
    <s v=""/>
    <s v="Friday"/>
  </r>
  <r>
    <x v="1544"/>
    <d v="2023-03-24T00:00:00"/>
    <m/>
    <x v="0"/>
    <n v="39"/>
    <s v="month"/>
    <s v=""/>
    <s v="Friday"/>
  </r>
  <r>
    <x v="1545"/>
    <d v="2023-03-24T00:00:00"/>
    <d v="2023-03-24T00:00:00"/>
    <x v="1"/>
    <n v="39"/>
    <s v="month"/>
    <n v="0"/>
    <s v="Friday"/>
  </r>
  <r>
    <x v="1546"/>
    <d v="2023-03-24T00:00:00"/>
    <d v="2023-06-16T00:00:00"/>
    <x v="0"/>
    <n v="39"/>
    <s v="month"/>
    <n v="84"/>
    <s v="Friday"/>
  </r>
  <r>
    <x v="1547"/>
    <d v="2023-03-24T00:00:00"/>
    <d v="2023-06-09T00:00:00"/>
    <x v="0"/>
    <n v="39"/>
    <s v="month"/>
    <n v="77"/>
    <s v="Friday"/>
  </r>
  <r>
    <x v="1548"/>
    <d v="2023-03-24T00:00:00"/>
    <d v="2023-05-30T00:00:00"/>
    <x v="0"/>
    <n v="39"/>
    <s v="month"/>
    <n v="67"/>
    <s v="Friday"/>
  </r>
  <r>
    <x v="1549"/>
    <d v="2023-03-24T00:00:00"/>
    <d v="2023-04-23T00:00:00"/>
    <x v="0"/>
    <n v="39"/>
    <s v="month"/>
    <n v="30"/>
    <s v="Friday"/>
  </r>
  <r>
    <x v="1550"/>
    <d v="2023-03-24T00:00:00"/>
    <d v="2023-04-28T00:00:00"/>
    <x v="0"/>
    <n v="39"/>
    <s v="month"/>
    <n v="35"/>
    <s v="Friday"/>
  </r>
  <r>
    <x v="1551"/>
    <d v="2023-03-25T00:00:00"/>
    <m/>
    <x v="0"/>
    <n v="39"/>
    <s v="month"/>
    <s v=""/>
    <s v="Saturday"/>
  </r>
  <r>
    <x v="1552"/>
    <d v="2023-03-25T00:00:00"/>
    <m/>
    <x v="0"/>
    <n v="39"/>
    <s v="month"/>
    <s v=""/>
    <s v="Saturday"/>
  </r>
  <r>
    <x v="1553"/>
    <d v="2023-03-25T00:00:00"/>
    <m/>
    <x v="0"/>
    <n v="39"/>
    <s v="month"/>
    <s v=""/>
    <s v="Saturday"/>
  </r>
  <r>
    <x v="1554"/>
    <d v="2023-03-25T00:00:00"/>
    <d v="2023-07-02T00:00:00"/>
    <x v="0"/>
    <n v="39"/>
    <s v="month"/>
    <n v="99"/>
    <s v="Saturday"/>
  </r>
  <r>
    <x v="1555"/>
    <d v="2023-03-25T00:00:00"/>
    <d v="2023-03-31T00:00:00"/>
    <x v="0"/>
    <n v="39"/>
    <s v="month"/>
    <n v="6"/>
    <s v="Saturday"/>
  </r>
  <r>
    <x v="1556"/>
    <d v="2023-03-25T00:00:00"/>
    <d v="2023-07-10T00:00:00"/>
    <x v="0"/>
    <n v="39"/>
    <s v="month"/>
    <n v="107"/>
    <s v="Saturday"/>
  </r>
  <r>
    <x v="1557"/>
    <d v="2023-03-25T00:00:00"/>
    <d v="2023-08-03T00:00:00"/>
    <x v="0"/>
    <n v="39"/>
    <s v="month"/>
    <n v="131"/>
    <s v="Saturday"/>
  </r>
  <r>
    <x v="1558"/>
    <d v="2023-03-26T00:00:00"/>
    <m/>
    <x v="0"/>
    <n v="39"/>
    <s v="month"/>
    <s v=""/>
    <s v="Sunday"/>
  </r>
  <r>
    <x v="1559"/>
    <d v="2023-03-26T00:00:00"/>
    <d v="2023-06-10T00:00:00"/>
    <x v="0"/>
    <n v="39"/>
    <s v="month"/>
    <n v="76"/>
    <s v="Sunday"/>
  </r>
  <r>
    <x v="1560"/>
    <d v="2023-03-26T00:00:00"/>
    <d v="2023-06-13T00:00:00"/>
    <x v="0"/>
    <n v="39"/>
    <s v="month"/>
    <n v="79"/>
    <s v="Sunday"/>
  </r>
  <r>
    <x v="1561"/>
    <d v="2023-03-26T00:00:00"/>
    <d v="2023-05-31T00:00:00"/>
    <x v="0"/>
    <n v="39"/>
    <s v="month"/>
    <n v="66"/>
    <s v="Sunday"/>
  </r>
  <r>
    <x v="1562"/>
    <d v="2023-03-26T00:00:00"/>
    <d v="2023-04-06T00:00:00"/>
    <x v="0"/>
    <n v="39"/>
    <s v="month"/>
    <n v="11"/>
    <s v="Sunday"/>
  </r>
  <r>
    <x v="1563"/>
    <d v="2023-03-26T00:00:00"/>
    <d v="2023-04-24T00:00:00"/>
    <x v="0"/>
    <n v="39"/>
    <s v="month"/>
    <n v="29"/>
    <s v="Sunday"/>
  </r>
  <r>
    <x v="1564"/>
    <d v="2023-03-26T00:00:00"/>
    <d v="2023-03-26T00:00:00"/>
    <x v="0"/>
    <n v="39"/>
    <s v="month"/>
    <n v="0"/>
    <s v="Sunday"/>
  </r>
  <r>
    <x v="1565"/>
    <d v="2023-03-26T00:00:00"/>
    <d v="2023-07-07T00:00:00"/>
    <x v="0"/>
    <n v="39"/>
    <s v="month"/>
    <n v="103"/>
    <s v="Sunday"/>
  </r>
  <r>
    <x v="1566"/>
    <d v="2023-03-27T00:00:00"/>
    <m/>
    <x v="0"/>
    <n v="39"/>
    <s v="month"/>
    <s v=""/>
    <s v="Monday"/>
  </r>
  <r>
    <x v="1567"/>
    <d v="2023-03-27T00:00:00"/>
    <m/>
    <x v="0"/>
    <n v="39"/>
    <s v="month"/>
    <s v=""/>
    <s v="Monday"/>
  </r>
  <r>
    <x v="1568"/>
    <d v="2023-03-27T00:00:00"/>
    <m/>
    <x v="0"/>
    <n v="39"/>
    <s v="month"/>
    <s v=""/>
    <s v="Monday"/>
  </r>
  <r>
    <x v="1569"/>
    <d v="2023-03-27T00:00:00"/>
    <m/>
    <x v="0"/>
    <n v="39"/>
    <s v="month"/>
    <s v=""/>
    <s v="Monday"/>
  </r>
  <r>
    <x v="1570"/>
    <d v="2023-03-27T00:00:00"/>
    <d v="2023-06-19T00:00:00"/>
    <x v="0"/>
    <n v="39"/>
    <s v="month"/>
    <n v="84"/>
    <s v="Monday"/>
  </r>
  <r>
    <x v="1571"/>
    <d v="2023-03-27T00:00:00"/>
    <d v="2023-06-01T00:00:00"/>
    <x v="0"/>
    <n v="39"/>
    <s v="month"/>
    <n v="66"/>
    <s v="Monday"/>
  </r>
  <r>
    <x v="1572"/>
    <d v="2023-03-27T00:00:00"/>
    <d v="2023-07-27T00:00:00"/>
    <x v="0"/>
    <n v="39"/>
    <s v="month"/>
    <n v="122"/>
    <s v="Monday"/>
  </r>
  <r>
    <x v="1573"/>
    <d v="2023-03-27T00:00:00"/>
    <d v="2023-05-04T00:00:00"/>
    <x v="0"/>
    <n v="39"/>
    <s v="month"/>
    <n v="38"/>
    <s v="Monday"/>
  </r>
  <r>
    <x v="1574"/>
    <d v="2023-03-27T00:00:00"/>
    <d v="2023-04-10T00:00:00"/>
    <x v="0"/>
    <n v="39"/>
    <s v="month"/>
    <n v="14"/>
    <s v="Monday"/>
  </r>
  <r>
    <x v="1575"/>
    <d v="2023-03-27T00:00:00"/>
    <d v="2023-04-17T00:00:00"/>
    <x v="0"/>
    <n v="39"/>
    <s v="month"/>
    <n v="21"/>
    <s v="Monday"/>
  </r>
  <r>
    <x v="1576"/>
    <d v="2023-03-27T00:00:00"/>
    <d v="2023-03-28T00:00:00"/>
    <x v="0"/>
    <n v="39"/>
    <s v="month"/>
    <n v="1"/>
    <s v="Monday"/>
  </r>
  <r>
    <x v="1577"/>
    <d v="2023-03-28T00:00:00"/>
    <m/>
    <x v="0"/>
    <n v="39"/>
    <s v="month"/>
    <s v=""/>
    <s v="Tuesday"/>
  </r>
  <r>
    <x v="1578"/>
    <d v="2023-03-28T00:00:00"/>
    <m/>
    <x v="0"/>
    <n v="39"/>
    <s v="month"/>
    <s v=""/>
    <s v="Tuesday"/>
  </r>
  <r>
    <x v="1579"/>
    <d v="2023-03-28T00:00:00"/>
    <m/>
    <x v="0"/>
    <n v="39"/>
    <s v="month"/>
    <s v=""/>
    <s v="Tuesday"/>
  </r>
  <r>
    <x v="1580"/>
    <d v="2023-03-28T00:00:00"/>
    <m/>
    <x v="0"/>
    <n v="39"/>
    <s v="month"/>
    <s v=""/>
    <s v="Tuesday"/>
  </r>
  <r>
    <x v="1581"/>
    <d v="2023-03-28T00:00:00"/>
    <d v="2023-03-28T00:00:00"/>
    <x v="0"/>
    <n v="39"/>
    <s v="month"/>
    <n v="0"/>
    <s v="Tuesday"/>
  </r>
  <r>
    <x v="1582"/>
    <d v="2023-03-28T00:00:00"/>
    <d v="2023-07-31T00:00:00"/>
    <x v="0"/>
    <n v="39"/>
    <s v="month"/>
    <n v="125"/>
    <s v="Tuesday"/>
  </r>
  <r>
    <x v="1583"/>
    <d v="2023-03-28T00:00:00"/>
    <d v="2023-05-13T00:00:00"/>
    <x v="0"/>
    <n v="39"/>
    <s v="month"/>
    <n v="46"/>
    <s v="Tuesday"/>
  </r>
  <r>
    <x v="1584"/>
    <d v="2023-03-28T00:00:00"/>
    <d v="2023-06-01T00:00:00"/>
    <x v="0"/>
    <n v="39"/>
    <s v="month"/>
    <n v="65"/>
    <s v="Tuesday"/>
  </r>
  <r>
    <x v="1585"/>
    <d v="2023-03-28T00:00:00"/>
    <d v="2023-08-20T00:00:00"/>
    <x v="0"/>
    <n v="39"/>
    <s v="month"/>
    <n v="145"/>
    <s v="Tuesday"/>
  </r>
  <r>
    <x v="1586"/>
    <d v="2023-03-28T00:00:00"/>
    <d v="2023-05-03T00:00:00"/>
    <x v="0"/>
    <n v="39"/>
    <s v="month"/>
    <n v="36"/>
    <s v="Tuesday"/>
  </r>
  <r>
    <x v="1587"/>
    <d v="2023-03-28T00:00:00"/>
    <d v="2023-05-01T00:00:00"/>
    <x v="0"/>
    <n v="39"/>
    <s v="month"/>
    <n v="34"/>
    <s v="Tuesday"/>
  </r>
  <r>
    <x v="1588"/>
    <d v="2023-03-28T00:00:00"/>
    <d v="2023-04-14T00:00:00"/>
    <x v="0"/>
    <n v="39"/>
    <s v="month"/>
    <n v="17"/>
    <s v="Tuesday"/>
  </r>
  <r>
    <x v="1589"/>
    <d v="2023-03-29T00:00:00"/>
    <m/>
    <x v="0"/>
    <n v="39"/>
    <s v="month"/>
    <s v=""/>
    <s v="Wednesday"/>
  </r>
  <r>
    <x v="1590"/>
    <d v="2023-03-29T00:00:00"/>
    <m/>
    <x v="0"/>
    <n v="39"/>
    <s v="month"/>
    <s v=""/>
    <s v="Wednesday"/>
  </r>
  <r>
    <x v="1591"/>
    <d v="2023-03-29T00:00:00"/>
    <m/>
    <x v="0"/>
    <n v="39"/>
    <s v="month"/>
    <s v=""/>
    <s v="Wednesday"/>
  </r>
  <r>
    <x v="1592"/>
    <d v="2023-03-29T00:00:00"/>
    <m/>
    <x v="0"/>
    <n v="39"/>
    <s v="month"/>
    <s v=""/>
    <s v="Wednesday"/>
  </r>
  <r>
    <x v="1593"/>
    <d v="2023-03-29T00:00:00"/>
    <d v="2023-06-18T00:00:00"/>
    <x v="0"/>
    <n v="39"/>
    <s v="month"/>
    <n v="81"/>
    <s v="Wednesday"/>
  </r>
  <r>
    <x v="1594"/>
    <d v="2023-03-29T00:00:00"/>
    <d v="2023-05-30T00:00:00"/>
    <x v="0"/>
    <n v="39"/>
    <s v="month"/>
    <n v="62"/>
    <s v="Wednesday"/>
  </r>
  <r>
    <x v="1595"/>
    <d v="2023-03-29T00:00:00"/>
    <d v="2023-06-21T00:00:00"/>
    <x v="0"/>
    <n v="39"/>
    <s v="month"/>
    <n v="84"/>
    <s v="Wednesday"/>
  </r>
  <r>
    <x v="1596"/>
    <d v="2023-03-29T00:00:00"/>
    <d v="2023-05-06T00:00:00"/>
    <x v="0"/>
    <n v="39"/>
    <s v="month"/>
    <n v="38"/>
    <s v="Wednesday"/>
  </r>
  <r>
    <x v="1597"/>
    <d v="2023-03-29T00:00:00"/>
    <d v="2023-05-04T00:00:00"/>
    <x v="0"/>
    <n v="39"/>
    <s v="month"/>
    <n v="36"/>
    <s v="Wednesday"/>
  </r>
  <r>
    <x v="1598"/>
    <d v="2023-03-29T00:00:00"/>
    <d v="2023-04-28T00:00:00"/>
    <x v="0"/>
    <n v="39"/>
    <s v="month"/>
    <n v="30"/>
    <s v="Wednesday"/>
  </r>
  <r>
    <x v="1599"/>
    <d v="2023-03-29T00:00:00"/>
    <d v="2023-04-29T00:00:00"/>
    <x v="0"/>
    <n v="39"/>
    <s v="month"/>
    <n v="31"/>
    <s v="Wednesday"/>
  </r>
  <r>
    <x v="1600"/>
    <d v="2023-03-30T00:00:00"/>
    <m/>
    <x v="0"/>
    <n v="39"/>
    <s v="month"/>
    <s v=""/>
    <s v="Thursday"/>
  </r>
  <r>
    <x v="1601"/>
    <d v="2023-03-30T00:00:00"/>
    <m/>
    <x v="0"/>
    <n v="39"/>
    <s v="month"/>
    <s v=""/>
    <s v="Thursday"/>
  </r>
  <r>
    <x v="259"/>
    <d v="2023-03-30T00:00:00"/>
    <m/>
    <x v="0"/>
    <n v="39"/>
    <s v="month"/>
    <s v=""/>
    <s v="Thursday"/>
  </r>
  <r>
    <x v="1602"/>
    <d v="2023-03-30T00:00:00"/>
    <d v="2023-06-06T00:00:00"/>
    <x v="0"/>
    <n v="39"/>
    <s v="month"/>
    <n v="68"/>
    <s v="Thursday"/>
  </r>
  <r>
    <x v="1603"/>
    <d v="2023-03-30T00:00:00"/>
    <d v="2023-07-07T00:00:00"/>
    <x v="0"/>
    <n v="39"/>
    <s v="month"/>
    <n v="99"/>
    <s v="Thursday"/>
  </r>
  <r>
    <x v="1604"/>
    <d v="2023-03-30T00:00:00"/>
    <d v="2023-05-19T00:00:00"/>
    <x v="0"/>
    <n v="39"/>
    <s v="month"/>
    <n v="50"/>
    <s v="Thursday"/>
  </r>
  <r>
    <x v="1605"/>
    <d v="2023-03-30T00:00:00"/>
    <d v="2023-05-19T00:00:00"/>
    <x v="0"/>
    <n v="39"/>
    <s v="month"/>
    <n v="50"/>
    <s v="Thursday"/>
  </r>
  <r>
    <x v="1606"/>
    <d v="2023-03-30T00:00:00"/>
    <d v="2023-04-21T00:00:00"/>
    <x v="0"/>
    <n v="39"/>
    <s v="month"/>
    <n v="22"/>
    <s v="Thursday"/>
  </r>
  <r>
    <x v="1607"/>
    <d v="2023-03-30T00:00:00"/>
    <d v="2023-04-13T00:00:00"/>
    <x v="0"/>
    <n v="39"/>
    <s v="month"/>
    <n v="14"/>
    <s v="Thursday"/>
  </r>
  <r>
    <x v="1608"/>
    <d v="2023-03-30T00:00:00"/>
    <d v="2023-04-30T00:00:00"/>
    <x v="0"/>
    <n v="39"/>
    <s v="month"/>
    <n v="31"/>
    <s v="Thursday"/>
  </r>
  <r>
    <x v="1609"/>
    <d v="2023-03-31T00:00:00"/>
    <m/>
    <x v="0"/>
    <n v="39"/>
    <s v="month"/>
    <s v=""/>
    <s v="Friday"/>
  </r>
  <r>
    <x v="1610"/>
    <d v="2023-03-31T00:00:00"/>
    <d v="2023-03-31T00:00:00"/>
    <x v="1"/>
    <n v="39"/>
    <s v="month"/>
    <n v="0"/>
    <s v="Friday"/>
  </r>
  <r>
    <x v="1611"/>
    <d v="2023-03-31T00:00:00"/>
    <d v="2023-06-07T00:00:00"/>
    <x v="0"/>
    <n v="39"/>
    <s v="month"/>
    <n v="68"/>
    <s v="Friday"/>
  </r>
  <r>
    <x v="1612"/>
    <d v="2023-03-31T00:00:00"/>
    <d v="2023-05-23T00:00:00"/>
    <x v="0"/>
    <n v="39"/>
    <s v="month"/>
    <n v="53"/>
    <s v="Friday"/>
  </r>
  <r>
    <x v="1613"/>
    <d v="2023-03-31T00:00:00"/>
    <d v="2023-05-26T00:00:00"/>
    <x v="0"/>
    <n v="39"/>
    <s v="month"/>
    <n v="56"/>
    <s v="Friday"/>
  </r>
  <r>
    <x v="1614"/>
    <d v="2023-03-31T00:00:00"/>
    <d v="2023-07-01T00:00:00"/>
    <x v="0"/>
    <n v="39"/>
    <s v="month"/>
    <n v="92"/>
    <s v="Friday"/>
  </r>
  <r>
    <x v="1615"/>
    <d v="2023-04-01T00:00:00"/>
    <m/>
    <x v="0"/>
    <n v="39"/>
    <s v="month"/>
    <s v=""/>
    <s v="Saturday"/>
  </r>
  <r>
    <x v="1616"/>
    <d v="2023-04-01T00:00:00"/>
    <m/>
    <x v="0"/>
    <n v="39"/>
    <s v="month"/>
    <s v=""/>
    <s v="Saturday"/>
  </r>
  <r>
    <x v="1617"/>
    <d v="2023-04-01T00:00:00"/>
    <m/>
    <x v="0"/>
    <n v="39"/>
    <s v="month"/>
    <s v=""/>
    <s v="Saturday"/>
  </r>
  <r>
    <x v="1618"/>
    <d v="2023-04-01T00:00:00"/>
    <d v="2023-07-08T00:00:00"/>
    <x v="0"/>
    <n v="39"/>
    <s v="month"/>
    <n v="98"/>
    <s v="Saturday"/>
  </r>
  <r>
    <x v="1619"/>
    <d v="2023-04-01T00:00:00"/>
    <d v="2023-04-01T00:00:00"/>
    <x v="0"/>
    <n v="39"/>
    <s v="month"/>
    <n v="0"/>
    <s v="Saturday"/>
  </r>
  <r>
    <x v="1620"/>
    <d v="2023-04-01T00:00:00"/>
    <d v="2023-04-26T00:00:00"/>
    <x v="0"/>
    <n v="39"/>
    <s v="month"/>
    <n v="25"/>
    <s v="Saturday"/>
  </r>
  <r>
    <x v="1621"/>
    <d v="2023-04-02T00:00:00"/>
    <m/>
    <x v="0"/>
    <n v="39"/>
    <s v="month"/>
    <s v=""/>
    <s v="Sunday"/>
  </r>
  <r>
    <x v="1622"/>
    <d v="2023-04-02T00:00:00"/>
    <d v="2023-04-03T00:00:00"/>
    <x v="1"/>
    <n v="39"/>
    <s v="month"/>
    <n v="1"/>
    <s v="Sunday"/>
  </r>
  <r>
    <x v="1623"/>
    <d v="2023-04-02T00:00:00"/>
    <d v="2023-04-03T00:00:00"/>
    <x v="1"/>
    <n v="39"/>
    <s v="month"/>
    <n v="1"/>
    <s v="Sunday"/>
  </r>
  <r>
    <x v="1624"/>
    <d v="2023-04-02T00:00:00"/>
    <d v="2023-07-02T00:00:00"/>
    <x v="0"/>
    <n v="39"/>
    <s v="month"/>
    <n v="91"/>
    <s v="Sunday"/>
  </r>
  <r>
    <x v="1625"/>
    <d v="2023-04-02T00:00:00"/>
    <d v="2023-07-05T00:00:00"/>
    <x v="0"/>
    <n v="39"/>
    <s v="month"/>
    <n v="94"/>
    <s v="Sunday"/>
  </r>
  <r>
    <x v="1626"/>
    <d v="2023-04-02T00:00:00"/>
    <d v="2023-07-24T00:00:00"/>
    <x v="0"/>
    <n v="39"/>
    <s v="month"/>
    <n v="113"/>
    <s v="Sunday"/>
  </r>
  <r>
    <x v="42"/>
    <d v="2023-04-03T00:00:00"/>
    <m/>
    <x v="0"/>
    <n v="39"/>
    <s v="month"/>
    <s v=""/>
    <s v="Monday"/>
  </r>
  <r>
    <x v="1627"/>
    <d v="2023-04-03T00:00:00"/>
    <m/>
    <x v="0"/>
    <n v="39"/>
    <s v="month"/>
    <s v=""/>
    <s v="Monday"/>
  </r>
  <r>
    <x v="1628"/>
    <d v="2023-04-03T00:00:00"/>
    <m/>
    <x v="0"/>
    <n v="39"/>
    <s v="month"/>
    <s v=""/>
    <s v="Monday"/>
  </r>
  <r>
    <x v="1629"/>
    <d v="2023-04-03T00:00:00"/>
    <m/>
    <x v="0"/>
    <n v="39"/>
    <s v="month"/>
    <s v=""/>
    <s v="Monday"/>
  </r>
  <r>
    <x v="1630"/>
    <d v="2023-04-03T00:00:00"/>
    <d v="2023-05-10T00:00:00"/>
    <x v="1"/>
    <n v="39"/>
    <s v="month"/>
    <n v="37"/>
    <s v="Monday"/>
  </r>
  <r>
    <x v="1631"/>
    <d v="2023-04-03T00:00:00"/>
    <d v="2023-06-27T00:00:00"/>
    <x v="0"/>
    <n v="39"/>
    <s v="month"/>
    <n v="85"/>
    <s v="Monday"/>
  </r>
  <r>
    <x v="1632"/>
    <d v="2023-04-03T00:00:00"/>
    <d v="2023-05-14T00:00:00"/>
    <x v="0"/>
    <n v="39"/>
    <s v="month"/>
    <n v="41"/>
    <s v="Monday"/>
  </r>
  <r>
    <x v="1633"/>
    <d v="2023-04-03T00:00:00"/>
    <d v="2023-05-30T00:00:00"/>
    <x v="0"/>
    <n v="39"/>
    <s v="month"/>
    <n v="57"/>
    <s v="Monday"/>
  </r>
  <r>
    <x v="1634"/>
    <d v="2023-04-03T00:00:00"/>
    <d v="2023-09-01T00:00:00"/>
    <x v="0"/>
    <n v="39"/>
    <s v="month"/>
    <n v="151"/>
    <s v="Monday"/>
  </r>
  <r>
    <x v="1635"/>
    <d v="2023-04-04T00:00:00"/>
    <m/>
    <x v="0"/>
    <n v="39"/>
    <s v="month"/>
    <s v=""/>
    <s v="Tuesday"/>
  </r>
  <r>
    <x v="1636"/>
    <d v="2023-04-04T00:00:00"/>
    <d v="2023-04-05T00:00:00"/>
    <x v="1"/>
    <n v="39"/>
    <s v="month"/>
    <n v="1"/>
    <s v="Tuesday"/>
  </r>
  <r>
    <x v="1637"/>
    <d v="2023-04-04T00:00:00"/>
    <d v="2023-06-05T00:00:00"/>
    <x v="0"/>
    <n v="39"/>
    <s v="month"/>
    <n v="62"/>
    <s v="Tuesday"/>
  </r>
  <r>
    <x v="1638"/>
    <d v="2023-04-04T00:00:00"/>
    <d v="2023-05-08T00:00:00"/>
    <x v="0"/>
    <n v="39"/>
    <s v="month"/>
    <n v="34"/>
    <s v="Tuesday"/>
  </r>
  <r>
    <x v="1639"/>
    <d v="2023-04-04T00:00:00"/>
    <d v="2023-05-24T00:00:00"/>
    <x v="0"/>
    <n v="39"/>
    <s v="month"/>
    <n v="50"/>
    <s v="Tuesday"/>
  </r>
  <r>
    <x v="1640"/>
    <d v="2023-04-04T00:00:00"/>
    <d v="2023-04-07T00:00:00"/>
    <x v="0"/>
    <n v="39"/>
    <s v="month"/>
    <n v="3"/>
    <s v="Tuesday"/>
  </r>
  <r>
    <x v="1641"/>
    <d v="2023-04-04T00:00:00"/>
    <d v="2023-04-14T00:00:00"/>
    <x v="0"/>
    <n v="39"/>
    <s v="month"/>
    <n v="10"/>
    <s v="Tuesday"/>
  </r>
  <r>
    <x v="1642"/>
    <d v="2023-04-04T00:00:00"/>
    <d v="2023-04-25T00:00:00"/>
    <x v="0"/>
    <n v="39"/>
    <s v="month"/>
    <n v="21"/>
    <s v="Tuesday"/>
  </r>
  <r>
    <x v="1643"/>
    <d v="2023-04-04T00:00:00"/>
    <d v="2023-08-12T00:00:00"/>
    <x v="0"/>
    <n v="39"/>
    <s v="month"/>
    <n v="130"/>
    <s v="Tuesday"/>
  </r>
  <r>
    <x v="1644"/>
    <d v="2023-04-04T00:00:00"/>
    <d v="2023-07-17T00:00:00"/>
    <x v="0"/>
    <n v="39"/>
    <s v="month"/>
    <n v="104"/>
    <s v="Tuesday"/>
  </r>
  <r>
    <x v="1645"/>
    <d v="2023-04-05T00:00:00"/>
    <m/>
    <x v="0"/>
    <n v="39"/>
    <s v="month"/>
    <s v=""/>
    <s v="Wednesday"/>
  </r>
  <r>
    <x v="1646"/>
    <d v="2023-04-05T00:00:00"/>
    <m/>
    <x v="0"/>
    <n v="39"/>
    <s v="month"/>
    <s v=""/>
    <s v="Wednesday"/>
  </r>
  <r>
    <x v="1647"/>
    <d v="2023-04-05T00:00:00"/>
    <d v="2023-04-06T00:00:00"/>
    <x v="1"/>
    <n v="39"/>
    <s v="month"/>
    <n v="1"/>
    <s v="Wednesday"/>
  </r>
  <r>
    <x v="1648"/>
    <d v="2023-04-05T00:00:00"/>
    <d v="2023-04-05T00:00:00"/>
    <x v="1"/>
    <n v="39"/>
    <s v="month"/>
    <n v="0"/>
    <s v="Wednesday"/>
  </r>
  <r>
    <x v="1649"/>
    <d v="2023-04-05T00:00:00"/>
    <d v="2023-05-12T00:00:00"/>
    <x v="0"/>
    <n v="39"/>
    <s v="month"/>
    <n v="37"/>
    <s v="Wednesday"/>
  </r>
  <r>
    <x v="1650"/>
    <d v="2023-04-05T00:00:00"/>
    <d v="2023-05-04T00:00:00"/>
    <x v="0"/>
    <n v="39"/>
    <s v="month"/>
    <n v="29"/>
    <s v="Wednesday"/>
  </r>
  <r>
    <x v="1651"/>
    <d v="2023-04-05T00:00:00"/>
    <d v="2023-04-12T00:00:00"/>
    <x v="0"/>
    <n v="39"/>
    <s v="month"/>
    <n v="7"/>
    <s v="Wednesday"/>
  </r>
  <r>
    <x v="1652"/>
    <d v="2023-04-06T00:00:00"/>
    <m/>
    <x v="0"/>
    <n v="39"/>
    <s v="month"/>
    <s v=""/>
    <s v="Thursday"/>
  </r>
  <r>
    <x v="1653"/>
    <d v="2023-04-06T00:00:00"/>
    <d v="2023-04-06T00:00:00"/>
    <x v="0"/>
    <n v="39"/>
    <s v="month"/>
    <n v="0"/>
    <s v="Thursday"/>
  </r>
  <r>
    <x v="1654"/>
    <d v="2023-04-06T00:00:00"/>
    <d v="2023-05-18T00:00:00"/>
    <x v="0"/>
    <n v="39"/>
    <s v="month"/>
    <n v="42"/>
    <s v="Thursday"/>
  </r>
  <r>
    <x v="1655"/>
    <d v="2023-04-06T00:00:00"/>
    <d v="2023-06-06T00:00:00"/>
    <x v="0"/>
    <n v="39"/>
    <s v="month"/>
    <n v="61"/>
    <s v="Thursday"/>
  </r>
  <r>
    <x v="1656"/>
    <d v="2023-04-06T00:00:00"/>
    <d v="2023-06-04T00:00:00"/>
    <x v="0"/>
    <n v="39"/>
    <s v="month"/>
    <n v="59"/>
    <s v="Thursday"/>
  </r>
  <r>
    <x v="1657"/>
    <d v="2023-04-06T00:00:00"/>
    <d v="2023-06-16T00:00:00"/>
    <x v="0"/>
    <n v="39"/>
    <s v="month"/>
    <n v="71"/>
    <s v="Thursday"/>
  </r>
  <r>
    <x v="1658"/>
    <d v="2023-04-06T00:00:00"/>
    <d v="2023-05-13T00:00:00"/>
    <x v="0"/>
    <n v="39"/>
    <s v="month"/>
    <n v="37"/>
    <s v="Thursday"/>
  </r>
  <r>
    <x v="1659"/>
    <d v="2023-04-07T00:00:00"/>
    <m/>
    <x v="0"/>
    <n v="39"/>
    <s v="month"/>
    <s v=""/>
    <s v="Friday"/>
  </r>
  <r>
    <x v="1660"/>
    <d v="2023-04-07T00:00:00"/>
    <m/>
    <x v="0"/>
    <n v="39"/>
    <s v="month"/>
    <s v=""/>
    <s v="Friday"/>
  </r>
  <r>
    <x v="1653"/>
    <d v="2023-04-07T00:00:00"/>
    <d v="2023-06-09T00:00:00"/>
    <x v="0"/>
    <n v="39"/>
    <s v="month"/>
    <n v="63"/>
    <s v="Friday"/>
  </r>
  <r>
    <x v="1661"/>
    <d v="2023-04-07T00:00:00"/>
    <d v="2023-05-14T00:00:00"/>
    <x v="0"/>
    <n v="39"/>
    <s v="month"/>
    <n v="37"/>
    <s v="Friday"/>
  </r>
  <r>
    <x v="1662"/>
    <d v="2023-04-07T00:00:00"/>
    <d v="2023-05-08T00:00:00"/>
    <x v="0"/>
    <n v="39"/>
    <s v="month"/>
    <n v="31"/>
    <s v="Friday"/>
  </r>
  <r>
    <x v="1663"/>
    <d v="2023-04-08T00:00:00"/>
    <m/>
    <x v="0"/>
    <n v="39"/>
    <s v="month"/>
    <s v=""/>
    <s v="Saturday"/>
  </r>
  <r>
    <x v="460"/>
    <d v="2023-04-08T00:00:00"/>
    <m/>
    <x v="0"/>
    <n v="39"/>
    <s v="month"/>
    <s v=""/>
    <s v="Saturday"/>
  </r>
  <r>
    <x v="1664"/>
    <d v="2023-04-08T00:00:00"/>
    <m/>
    <x v="0"/>
    <n v="39"/>
    <s v="month"/>
    <s v=""/>
    <s v="Saturday"/>
  </r>
  <r>
    <x v="1665"/>
    <d v="2023-04-08T00:00:00"/>
    <m/>
    <x v="0"/>
    <n v="39"/>
    <s v="month"/>
    <s v=""/>
    <s v="Saturday"/>
  </r>
  <r>
    <x v="1666"/>
    <d v="2023-04-08T00:00:00"/>
    <d v="2023-04-09T00:00:00"/>
    <x v="1"/>
    <n v="39"/>
    <s v="month"/>
    <n v="1"/>
    <s v="Saturday"/>
  </r>
  <r>
    <x v="1667"/>
    <d v="2023-04-08T00:00:00"/>
    <d v="2023-06-06T00:00:00"/>
    <x v="0"/>
    <n v="39"/>
    <s v="month"/>
    <n v="59"/>
    <s v="Saturday"/>
  </r>
  <r>
    <x v="1668"/>
    <d v="2023-04-08T00:00:00"/>
    <d v="2023-04-18T00:00:00"/>
    <x v="0"/>
    <n v="39"/>
    <s v="month"/>
    <n v="10"/>
    <s v="Saturday"/>
  </r>
  <r>
    <x v="1669"/>
    <d v="2023-04-09T00:00:00"/>
    <m/>
    <x v="0"/>
    <n v="39"/>
    <s v="month"/>
    <s v=""/>
    <s v="Sunday"/>
  </r>
  <r>
    <x v="1670"/>
    <d v="2023-04-09T00:00:00"/>
    <m/>
    <x v="0"/>
    <n v="39"/>
    <s v="month"/>
    <s v=""/>
    <s v="Sunday"/>
  </r>
  <r>
    <x v="1671"/>
    <d v="2023-04-09T00:00:00"/>
    <m/>
    <x v="0"/>
    <n v="39"/>
    <s v="month"/>
    <s v=""/>
    <s v="Sunday"/>
  </r>
  <r>
    <x v="1672"/>
    <d v="2023-04-09T00:00:00"/>
    <d v="2023-05-02T00:00:00"/>
    <x v="0"/>
    <n v="39"/>
    <s v="month"/>
    <n v="23"/>
    <s v="Sunday"/>
  </r>
  <r>
    <x v="1673"/>
    <d v="2023-04-09T00:00:00"/>
    <d v="2023-04-24T00:00:00"/>
    <x v="0"/>
    <n v="39"/>
    <s v="month"/>
    <n v="15"/>
    <s v="Sunday"/>
  </r>
  <r>
    <x v="1674"/>
    <d v="2023-04-09T00:00:00"/>
    <d v="2023-04-25T00:00:00"/>
    <x v="0"/>
    <n v="39"/>
    <s v="month"/>
    <n v="16"/>
    <s v="Sunday"/>
  </r>
  <r>
    <x v="1675"/>
    <d v="2023-04-10T00:00:00"/>
    <m/>
    <x v="0"/>
    <n v="39"/>
    <s v="month"/>
    <s v=""/>
    <s v="Monday"/>
  </r>
  <r>
    <x v="1676"/>
    <d v="2023-04-10T00:00:00"/>
    <m/>
    <x v="0"/>
    <n v="39"/>
    <s v="month"/>
    <s v=""/>
    <s v="Monday"/>
  </r>
  <r>
    <x v="1677"/>
    <d v="2023-04-10T00:00:00"/>
    <m/>
    <x v="0"/>
    <n v="39"/>
    <s v="month"/>
    <s v=""/>
    <s v="Monday"/>
  </r>
  <r>
    <x v="1678"/>
    <d v="2023-04-10T00:00:00"/>
    <m/>
    <x v="0"/>
    <n v="39"/>
    <s v="month"/>
    <s v=""/>
    <s v="Monday"/>
  </r>
  <r>
    <x v="1679"/>
    <d v="2023-04-10T00:00:00"/>
    <m/>
    <x v="0"/>
    <n v="39"/>
    <s v="month"/>
    <s v=""/>
    <s v="Monday"/>
  </r>
  <r>
    <x v="1680"/>
    <d v="2023-04-10T00:00:00"/>
    <m/>
    <x v="0"/>
    <n v="39"/>
    <s v="month"/>
    <s v=""/>
    <s v="Monday"/>
  </r>
  <r>
    <x v="1681"/>
    <d v="2023-04-10T00:00:00"/>
    <m/>
    <x v="0"/>
    <n v="39"/>
    <s v="month"/>
    <s v=""/>
    <s v="Monday"/>
  </r>
  <r>
    <x v="1682"/>
    <d v="2023-04-10T00:00:00"/>
    <m/>
    <x v="0"/>
    <n v="39"/>
    <s v="month"/>
    <s v=""/>
    <s v="Monday"/>
  </r>
  <r>
    <x v="1683"/>
    <d v="2023-04-10T00:00:00"/>
    <d v="2023-05-17T00:00:00"/>
    <x v="0"/>
    <n v="39"/>
    <s v="month"/>
    <n v="37"/>
    <s v="Monday"/>
  </r>
  <r>
    <x v="1684"/>
    <d v="2023-04-11T00:00:00"/>
    <m/>
    <x v="0"/>
    <n v="39"/>
    <s v="month"/>
    <s v=""/>
    <s v="Tuesday"/>
  </r>
  <r>
    <x v="1685"/>
    <d v="2023-04-11T00:00:00"/>
    <m/>
    <x v="0"/>
    <n v="39"/>
    <s v="month"/>
    <s v=""/>
    <s v="Tuesday"/>
  </r>
  <r>
    <x v="1686"/>
    <d v="2023-04-11T00:00:00"/>
    <m/>
    <x v="0"/>
    <n v="39"/>
    <s v="month"/>
    <s v=""/>
    <s v="Tuesday"/>
  </r>
  <r>
    <x v="1687"/>
    <d v="2023-04-11T00:00:00"/>
    <m/>
    <x v="1"/>
    <n v="39"/>
    <s v="month"/>
    <s v=""/>
    <s v="Tuesday"/>
  </r>
  <r>
    <x v="1688"/>
    <d v="2023-04-11T00:00:00"/>
    <d v="2023-08-23T00:00:00"/>
    <x v="0"/>
    <n v="39"/>
    <s v="month"/>
    <n v="134"/>
    <s v="Tuesday"/>
  </r>
  <r>
    <x v="1689"/>
    <d v="2023-04-11T00:00:00"/>
    <d v="2023-06-17T00:00:00"/>
    <x v="0"/>
    <n v="39"/>
    <s v="month"/>
    <n v="67"/>
    <s v="Tuesday"/>
  </r>
  <r>
    <x v="1690"/>
    <d v="2023-04-11T00:00:00"/>
    <d v="2023-05-01T00:00:00"/>
    <x v="0"/>
    <n v="39"/>
    <s v="month"/>
    <n v="20"/>
    <s v="Tuesday"/>
  </r>
  <r>
    <x v="1691"/>
    <d v="2023-04-11T00:00:00"/>
    <d v="2023-05-08T00:00:00"/>
    <x v="0"/>
    <n v="39"/>
    <s v="month"/>
    <n v="27"/>
    <s v="Tuesday"/>
  </r>
  <r>
    <x v="1692"/>
    <d v="2023-04-11T00:00:00"/>
    <d v="2023-06-26T00:00:00"/>
    <x v="0"/>
    <n v="39"/>
    <s v="month"/>
    <n v="76"/>
    <s v="Tuesday"/>
  </r>
  <r>
    <x v="1693"/>
    <d v="2023-04-11T00:00:00"/>
    <d v="2023-05-22T00:00:00"/>
    <x v="0"/>
    <n v="39"/>
    <s v="month"/>
    <n v="41"/>
    <s v="Tuesday"/>
  </r>
  <r>
    <x v="1694"/>
    <d v="2023-04-11T00:00:00"/>
    <d v="2023-07-20T00:00:00"/>
    <x v="0"/>
    <n v="39"/>
    <s v="month"/>
    <n v="100"/>
    <s v="Tuesday"/>
  </r>
  <r>
    <x v="1695"/>
    <d v="2023-04-12T00:00:00"/>
    <m/>
    <x v="0"/>
    <n v="39"/>
    <s v="month"/>
    <s v=""/>
    <s v="Wednesday"/>
  </r>
  <r>
    <x v="1696"/>
    <d v="2023-04-12T00:00:00"/>
    <m/>
    <x v="0"/>
    <n v="39"/>
    <s v="month"/>
    <s v=""/>
    <s v="Wednesday"/>
  </r>
  <r>
    <x v="1697"/>
    <d v="2023-04-12T00:00:00"/>
    <m/>
    <x v="0"/>
    <n v="39"/>
    <s v="month"/>
    <s v=""/>
    <s v="Wednesday"/>
  </r>
  <r>
    <x v="1698"/>
    <d v="2023-04-12T00:00:00"/>
    <d v="2023-04-13T00:00:00"/>
    <x v="1"/>
    <n v="39"/>
    <s v="month"/>
    <n v="1"/>
    <s v="Wednesday"/>
  </r>
  <r>
    <x v="1699"/>
    <d v="2023-04-12T00:00:00"/>
    <d v="2023-06-08T00:00:00"/>
    <x v="0"/>
    <n v="39"/>
    <s v="month"/>
    <n v="57"/>
    <s v="Wednesday"/>
  </r>
  <r>
    <x v="1700"/>
    <d v="2023-04-12T00:00:00"/>
    <d v="2023-04-30T00:00:00"/>
    <x v="0"/>
    <n v="39"/>
    <s v="month"/>
    <n v="18"/>
    <s v="Wednesday"/>
  </r>
  <r>
    <x v="1701"/>
    <d v="2023-04-12T00:00:00"/>
    <d v="2023-07-04T00:00:00"/>
    <x v="0"/>
    <n v="39"/>
    <s v="month"/>
    <n v="83"/>
    <s v="Wednesday"/>
  </r>
  <r>
    <x v="1702"/>
    <d v="2023-04-12T00:00:00"/>
    <d v="2023-07-08T00:00:00"/>
    <x v="0"/>
    <n v="39"/>
    <s v="month"/>
    <n v="87"/>
    <s v="Wednesday"/>
  </r>
  <r>
    <x v="1703"/>
    <d v="2023-04-12T00:00:00"/>
    <d v="2023-07-25T00:00:00"/>
    <x v="0"/>
    <n v="39"/>
    <s v="month"/>
    <n v="104"/>
    <s v="Wednesday"/>
  </r>
  <r>
    <x v="1704"/>
    <d v="2023-04-13T00:00:00"/>
    <m/>
    <x v="0"/>
    <n v="39"/>
    <s v="month"/>
    <s v=""/>
    <s v="Thursday"/>
  </r>
  <r>
    <x v="1705"/>
    <d v="2023-04-13T00:00:00"/>
    <m/>
    <x v="0"/>
    <n v="39"/>
    <s v="month"/>
    <s v=""/>
    <s v="Thursday"/>
  </r>
  <r>
    <x v="1706"/>
    <d v="2023-04-13T00:00:00"/>
    <d v="2023-06-20T00:00:00"/>
    <x v="0"/>
    <n v="39"/>
    <s v="month"/>
    <n v="68"/>
    <s v="Thursday"/>
  </r>
  <r>
    <x v="1707"/>
    <d v="2023-04-13T00:00:00"/>
    <d v="2023-05-29T00:00:00"/>
    <x v="0"/>
    <n v="39"/>
    <s v="month"/>
    <n v="46"/>
    <s v="Thursday"/>
  </r>
  <r>
    <x v="1708"/>
    <d v="2023-04-13T00:00:00"/>
    <d v="2023-05-10T00:00:00"/>
    <x v="0"/>
    <n v="39"/>
    <s v="month"/>
    <n v="27"/>
    <s v="Thursday"/>
  </r>
  <r>
    <x v="1709"/>
    <d v="2023-04-13T00:00:00"/>
    <d v="2023-06-27T00:00:00"/>
    <x v="0"/>
    <n v="39"/>
    <s v="month"/>
    <n v="75"/>
    <s v="Thursday"/>
  </r>
  <r>
    <x v="1710"/>
    <d v="2023-04-13T00:00:00"/>
    <d v="2023-07-04T00:00:00"/>
    <x v="0"/>
    <n v="39"/>
    <s v="month"/>
    <n v="82"/>
    <s v="Thursday"/>
  </r>
  <r>
    <x v="1711"/>
    <d v="2023-04-13T00:00:00"/>
    <d v="2023-06-15T00:00:00"/>
    <x v="0"/>
    <n v="39"/>
    <s v="month"/>
    <n v="63"/>
    <s v="Thursday"/>
  </r>
  <r>
    <x v="1712"/>
    <d v="2023-04-13T00:00:00"/>
    <d v="2023-06-29T00:00:00"/>
    <x v="0"/>
    <n v="39"/>
    <s v="month"/>
    <n v="77"/>
    <s v="Thursday"/>
  </r>
  <r>
    <x v="1713"/>
    <d v="2023-04-14T00:00:00"/>
    <m/>
    <x v="0"/>
    <n v="39"/>
    <s v="month"/>
    <s v=""/>
    <s v="Friday"/>
  </r>
  <r>
    <x v="1714"/>
    <d v="2023-04-14T00:00:00"/>
    <m/>
    <x v="0"/>
    <n v="39"/>
    <s v="month"/>
    <s v=""/>
    <s v="Friday"/>
  </r>
  <r>
    <x v="1715"/>
    <d v="2023-04-14T00:00:00"/>
    <m/>
    <x v="0"/>
    <n v="39"/>
    <s v="month"/>
    <s v=""/>
    <s v="Friday"/>
  </r>
  <r>
    <x v="1716"/>
    <d v="2023-04-14T00:00:00"/>
    <m/>
    <x v="1"/>
    <n v="39"/>
    <s v="month"/>
    <s v=""/>
    <s v="Friday"/>
  </r>
  <r>
    <x v="1717"/>
    <d v="2023-04-14T00:00:00"/>
    <d v="2023-08-31T00:00:00"/>
    <x v="0"/>
    <n v="39"/>
    <s v="month"/>
    <n v="139"/>
    <s v="Friday"/>
  </r>
  <r>
    <x v="1718"/>
    <d v="2023-04-14T00:00:00"/>
    <d v="2023-05-21T00:00:00"/>
    <x v="0"/>
    <n v="39"/>
    <s v="month"/>
    <n v="37"/>
    <s v="Friday"/>
  </r>
  <r>
    <x v="1719"/>
    <d v="2023-04-15T00:00:00"/>
    <m/>
    <x v="0"/>
    <n v="39"/>
    <s v="month"/>
    <s v=""/>
    <s v="Saturday"/>
  </r>
  <r>
    <x v="1720"/>
    <d v="2023-04-15T00:00:00"/>
    <d v="2023-05-22T00:00:00"/>
    <x v="0"/>
    <n v="39"/>
    <s v="month"/>
    <n v="37"/>
    <s v="Saturday"/>
  </r>
  <r>
    <x v="1721"/>
    <d v="2023-04-15T00:00:00"/>
    <d v="2023-05-31T00:00:00"/>
    <x v="0"/>
    <n v="39"/>
    <s v="month"/>
    <n v="46"/>
    <s v="Saturday"/>
  </r>
  <r>
    <x v="1722"/>
    <d v="2023-04-15T00:00:00"/>
    <d v="2023-05-15T00:00:00"/>
    <x v="0"/>
    <n v="39"/>
    <s v="month"/>
    <n v="30"/>
    <s v="Saturday"/>
  </r>
  <r>
    <x v="1723"/>
    <d v="2023-04-15T00:00:00"/>
    <d v="2023-04-30T00:00:00"/>
    <x v="0"/>
    <n v="39"/>
    <s v="month"/>
    <n v="15"/>
    <s v="Saturday"/>
  </r>
  <r>
    <x v="1724"/>
    <d v="2023-04-16T00:00:00"/>
    <d v="2023-04-16T00:00:00"/>
    <x v="0"/>
    <n v="39"/>
    <s v="month"/>
    <n v="0"/>
    <s v="Sunday"/>
  </r>
  <r>
    <x v="1725"/>
    <d v="2023-04-17T00:00:00"/>
    <m/>
    <x v="0"/>
    <n v="39"/>
    <s v="month"/>
    <s v=""/>
    <s v="Monday"/>
  </r>
  <r>
    <x v="1726"/>
    <d v="2023-04-17T00:00:00"/>
    <m/>
    <x v="0"/>
    <n v="39"/>
    <s v="month"/>
    <s v=""/>
    <s v="Monday"/>
  </r>
  <r>
    <x v="1484"/>
    <d v="2023-04-17T00:00:00"/>
    <m/>
    <x v="0"/>
    <n v="39"/>
    <s v="month"/>
    <s v=""/>
    <s v="Monday"/>
  </r>
  <r>
    <x v="1727"/>
    <d v="2023-04-17T00:00:00"/>
    <d v="2023-04-18T00:00:00"/>
    <x v="0"/>
    <n v="39"/>
    <s v="month"/>
    <n v="1"/>
    <s v="Monday"/>
  </r>
  <r>
    <x v="1728"/>
    <d v="2023-04-17T00:00:00"/>
    <d v="2023-04-17T00:00:00"/>
    <x v="0"/>
    <n v="39"/>
    <s v="month"/>
    <n v="0"/>
    <s v="Monday"/>
  </r>
  <r>
    <x v="1729"/>
    <d v="2023-04-17T00:00:00"/>
    <d v="2023-05-15T00:00:00"/>
    <x v="0"/>
    <n v="39"/>
    <s v="month"/>
    <n v="28"/>
    <s v="Monday"/>
  </r>
  <r>
    <x v="1730"/>
    <d v="2023-04-17T00:00:00"/>
    <d v="2023-06-01T00:00:00"/>
    <x v="0"/>
    <n v="39"/>
    <s v="month"/>
    <n v="45"/>
    <s v="Monday"/>
  </r>
  <r>
    <x v="1731"/>
    <d v="2023-04-17T00:00:00"/>
    <d v="2023-06-24T00:00:00"/>
    <x v="0"/>
    <n v="39"/>
    <s v="month"/>
    <n v="68"/>
    <s v="Monday"/>
  </r>
  <r>
    <x v="1732"/>
    <d v="2023-04-17T00:00:00"/>
    <d v="2023-05-23T00:00:00"/>
    <x v="0"/>
    <n v="39"/>
    <s v="month"/>
    <n v="36"/>
    <s v="Monday"/>
  </r>
  <r>
    <x v="1733"/>
    <d v="2023-04-17T00:00:00"/>
    <d v="2023-05-18T00:00:00"/>
    <x v="0"/>
    <n v="39"/>
    <s v="month"/>
    <n v="31"/>
    <s v="Monday"/>
  </r>
  <r>
    <x v="1734"/>
    <d v="2023-04-17T00:00:00"/>
    <d v="2023-07-14T00:00:00"/>
    <x v="0"/>
    <n v="39"/>
    <s v="month"/>
    <n v="88"/>
    <s v="Monday"/>
  </r>
  <r>
    <x v="1735"/>
    <d v="2023-04-17T00:00:00"/>
    <d v="2023-08-24T00:00:00"/>
    <x v="0"/>
    <n v="39"/>
    <s v="month"/>
    <n v="129"/>
    <s v="Monday"/>
  </r>
  <r>
    <x v="1736"/>
    <d v="2023-04-18T00:00:00"/>
    <m/>
    <x v="0"/>
    <n v="39"/>
    <s v="month"/>
    <s v=""/>
    <s v="Tuesday"/>
  </r>
  <r>
    <x v="1724"/>
    <d v="2023-04-18T00:00:00"/>
    <m/>
    <x v="0"/>
    <n v="39"/>
    <s v="month"/>
    <s v=""/>
    <s v="Tuesday"/>
  </r>
  <r>
    <x v="1737"/>
    <d v="2023-04-18T00:00:00"/>
    <m/>
    <x v="0"/>
    <n v="39"/>
    <s v="month"/>
    <s v=""/>
    <s v="Tuesday"/>
  </r>
  <r>
    <x v="1738"/>
    <d v="2023-04-18T00:00:00"/>
    <m/>
    <x v="0"/>
    <n v="39"/>
    <s v="month"/>
    <s v=""/>
    <s v="Tuesday"/>
  </r>
  <r>
    <x v="1739"/>
    <d v="2023-04-18T00:00:00"/>
    <m/>
    <x v="0"/>
    <n v="39"/>
    <s v="month"/>
    <s v=""/>
    <s v="Tuesday"/>
  </r>
  <r>
    <x v="1740"/>
    <d v="2023-04-18T00:00:00"/>
    <d v="2023-05-15T00:00:00"/>
    <x v="0"/>
    <n v="39"/>
    <s v="month"/>
    <n v="27"/>
    <s v="Tuesday"/>
  </r>
  <r>
    <x v="1741"/>
    <d v="2023-04-18T00:00:00"/>
    <d v="2023-05-11T00:00:00"/>
    <x v="0"/>
    <n v="39"/>
    <s v="month"/>
    <n v="23"/>
    <s v="Tuesday"/>
  </r>
  <r>
    <x v="1742"/>
    <d v="2023-04-18T00:00:00"/>
    <d v="2023-05-16T00:00:00"/>
    <x v="0"/>
    <n v="39"/>
    <s v="month"/>
    <n v="28"/>
    <s v="Tuesday"/>
  </r>
  <r>
    <x v="1743"/>
    <d v="2023-04-18T00:00:00"/>
    <d v="2023-05-26T00:00:00"/>
    <x v="0"/>
    <n v="39"/>
    <s v="month"/>
    <n v="38"/>
    <s v="Tuesday"/>
  </r>
  <r>
    <x v="1744"/>
    <d v="2023-04-18T00:00:00"/>
    <d v="2023-07-25T00:00:00"/>
    <x v="0"/>
    <n v="39"/>
    <s v="month"/>
    <n v="98"/>
    <s v="Tuesday"/>
  </r>
  <r>
    <x v="1745"/>
    <d v="2023-04-19T00:00:00"/>
    <m/>
    <x v="0"/>
    <n v="39"/>
    <s v="month"/>
    <s v=""/>
    <s v="Wednesday"/>
  </r>
  <r>
    <x v="1746"/>
    <d v="2023-04-19T00:00:00"/>
    <d v="2023-08-23T00:00:00"/>
    <x v="0"/>
    <n v="39"/>
    <s v="month"/>
    <n v="126"/>
    <s v="Wednesday"/>
  </r>
  <r>
    <x v="1747"/>
    <d v="2023-04-19T00:00:00"/>
    <d v="2023-04-20T00:00:00"/>
    <x v="1"/>
    <n v="39"/>
    <s v="month"/>
    <n v="1"/>
    <s v="Wednesday"/>
  </r>
  <r>
    <x v="1748"/>
    <d v="2023-04-19T00:00:00"/>
    <d v="2023-04-19T00:00:00"/>
    <x v="1"/>
    <n v="39"/>
    <s v="month"/>
    <n v="0"/>
    <s v="Wednesday"/>
  </r>
  <r>
    <x v="1749"/>
    <d v="2023-04-19T00:00:00"/>
    <d v="2023-06-08T00:00:00"/>
    <x v="0"/>
    <n v="39"/>
    <s v="month"/>
    <n v="50"/>
    <s v="Wednesday"/>
  </r>
  <r>
    <x v="1750"/>
    <d v="2023-04-19T00:00:00"/>
    <d v="2023-06-19T00:00:00"/>
    <x v="0"/>
    <n v="39"/>
    <s v="month"/>
    <n v="61"/>
    <s v="Wednesday"/>
  </r>
  <r>
    <x v="1751"/>
    <d v="2023-04-19T00:00:00"/>
    <d v="2023-05-31T00:00:00"/>
    <x v="0"/>
    <n v="39"/>
    <s v="month"/>
    <n v="42"/>
    <s v="Wednesday"/>
  </r>
  <r>
    <x v="1752"/>
    <d v="2023-04-20T00:00:00"/>
    <m/>
    <x v="0"/>
    <n v="39"/>
    <s v="month"/>
    <s v=""/>
    <s v="Thursday"/>
  </r>
  <r>
    <x v="1753"/>
    <d v="2023-04-20T00:00:00"/>
    <m/>
    <x v="0"/>
    <n v="39"/>
    <s v="month"/>
    <s v=""/>
    <s v="Thursday"/>
  </r>
  <r>
    <x v="1754"/>
    <d v="2023-04-20T00:00:00"/>
    <m/>
    <x v="0"/>
    <n v="39"/>
    <s v="month"/>
    <s v=""/>
    <s v="Thursday"/>
  </r>
  <r>
    <x v="1755"/>
    <d v="2023-04-20T00:00:00"/>
    <d v="2023-04-30T00:00:00"/>
    <x v="0"/>
    <n v="39"/>
    <s v="month"/>
    <n v="10"/>
    <s v="Thursday"/>
  </r>
  <r>
    <x v="1756"/>
    <d v="2023-04-20T00:00:00"/>
    <d v="2023-04-25T00:00:00"/>
    <x v="0"/>
    <n v="39"/>
    <s v="month"/>
    <n v="5"/>
    <s v="Thursday"/>
  </r>
  <r>
    <x v="1757"/>
    <d v="2023-04-20T00:00:00"/>
    <d v="2023-05-17T00:00:00"/>
    <x v="0"/>
    <n v="39"/>
    <s v="month"/>
    <n v="27"/>
    <s v="Thursday"/>
  </r>
  <r>
    <x v="1758"/>
    <d v="2023-04-20T00:00:00"/>
    <d v="2023-05-27T00:00:00"/>
    <x v="0"/>
    <n v="39"/>
    <s v="month"/>
    <n v="37"/>
    <s v="Thursday"/>
  </r>
  <r>
    <x v="1759"/>
    <d v="2023-04-20T00:00:00"/>
    <d v="2023-05-27T00:00:00"/>
    <x v="0"/>
    <n v="39"/>
    <s v="month"/>
    <n v="37"/>
    <s v="Thursday"/>
  </r>
  <r>
    <x v="1760"/>
    <d v="2023-04-20T00:00:00"/>
    <d v="2023-06-22T00:00:00"/>
    <x v="0"/>
    <n v="39"/>
    <s v="month"/>
    <n v="63"/>
    <s v="Thursday"/>
  </r>
  <r>
    <x v="1761"/>
    <d v="2023-04-21T00:00:00"/>
    <m/>
    <x v="0"/>
    <n v="39"/>
    <s v="month"/>
    <s v=""/>
    <s v="Friday"/>
  </r>
  <r>
    <x v="1762"/>
    <d v="2023-04-21T00:00:00"/>
    <m/>
    <x v="0"/>
    <n v="39"/>
    <s v="month"/>
    <s v=""/>
    <s v="Friday"/>
  </r>
  <r>
    <x v="1763"/>
    <d v="2023-04-21T00:00:00"/>
    <d v="2023-09-07T00:00:00"/>
    <x v="0"/>
    <n v="39"/>
    <s v="month"/>
    <n v="139"/>
    <s v="Friday"/>
  </r>
  <r>
    <x v="1764"/>
    <d v="2023-04-21T00:00:00"/>
    <d v="2023-04-22T00:00:00"/>
    <x v="1"/>
    <n v="39"/>
    <s v="month"/>
    <n v="1"/>
    <s v="Friday"/>
  </r>
  <r>
    <x v="1765"/>
    <d v="2023-04-21T00:00:00"/>
    <d v="2023-06-20T00:00:00"/>
    <x v="0"/>
    <n v="39"/>
    <s v="month"/>
    <n v="60"/>
    <s v="Friday"/>
  </r>
  <r>
    <x v="1766"/>
    <d v="2023-04-21T00:00:00"/>
    <d v="2023-04-21T00:00:00"/>
    <x v="0"/>
    <n v="39"/>
    <s v="month"/>
    <n v="0"/>
    <s v="Friday"/>
  </r>
  <r>
    <x v="1767"/>
    <d v="2023-04-21T00:00:00"/>
    <d v="2023-07-28T00:00:00"/>
    <x v="0"/>
    <n v="39"/>
    <s v="month"/>
    <n v="98"/>
    <s v="Friday"/>
  </r>
  <r>
    <x v="1768"/>
    <d v="2023-04-21T00:00:00"/>
    <d v="2023-06-21T00:00:00"/>
    <x v="0"/>
    <n v="39"/>
    <s v="month"/>
    <n v="61"/>
    <s v="Friday"/>
  </r>
  <r>
    <x v="1769"/>
    <d v="2023-04-21T00:00:00"/>
    <d v="2023-08-28T00:00:00"/>
    <x v="0"/>
    <n v="39"/>
    <s v="month"/>
    <n v="129"/>
    <s v="Friday"/>
  </r>
  <r>
    <x v="1770"/>
    <d v="2023-04-22T00:00:00"/>
    <m/>
    <x v="0"/>
    <n v="39"/>
    <s v="month"/>
    <s v=""/>
    <s v="Saturday"/>
  </r>
  <r>
    <x v="1771"/>
    <d v="2023-04-22T00:00:00"/>
    <d v="2023-06-19T00:00:00"/>
    <x v="0"/>
    <n v="39"/>
    <s v="month"/>
    <n v="58"/>
    <s v="Saturday"/>
  </r>
  <r>
    <x v="1772"/>
    <d v="2023-04-22T00:00:00"/>
    <d v="2023-05-07T00:00:00"/>
    <x v="0"/>
    <n v="39"/>
    <s v="month"/>
    <n v="15"/>
    <s v="Saturday"/>
  </r>
  <r>
    <x v="1773"/>
    <d v="2023-04-22T00:00:00"/>
    <d v="2023-05-12T00:00:00"/>
    <x v="0"/>
    <n v="39"/>
    <s v="month"/>
    <n v="20"/>
    <s v="Saturday"/>
  </r>
  <r>
    <x v="1774"/>
    <d v="2023-04-22T00:00:00"/>
    <d v="2023-05-22T00:00:00"/>
    <x v="0"/>
    <n v="39"/>
    <s v="month"/>
    <n v="30"/>
    <s v="Saturday"/>
  </r>
  <r>
    <x v="1775"/>
    <d v="2023-04-23T00:00:00"/>
    <m/>
    <x v="0"/>
    <n v="39"/>
    <s v="month"/>
    <s v=""/>
    <s v="Sunday"/>
  </r>
  <r>
    <x v="1776"/>
    <d v="2023-04-23T00:00:00"/>
    <m/>
    <x v="0"/>
    <n v="39"/>
    <s v="month"/>
    <s v=""/>
    <s v="Sunday"/>
  </r>
  <r>
    <x v="1777"/>
    <d v="2023-04-23T00:00:00"/>
    <m/>
    <x v="0"/>
    <n v="39"/>
    <s v="month"/>
    <s v=""/>
    <s v="Sunday"/>
  </r>
  <r>
    <x v="1778"/>
    <d v="2023-04-23T00:00:00"/>
    <d v="2023-05-22T00:00:00"/>
    <x v="0"/>
    <n v="39"/>
    <s v="month"/>
    <n v="29"/>
    <s v="Sunday"/>
  </r>
  <r>
    <x v="1779"/>
    <d v="2023-04-24T00:00:00"/>
    <m/>
    <x v="0"/>
    <n v="39"/>
    <s v="month"/>
    <s v=""/>
    <s v="Monday"/>
  </r>
  <r>
    <x v="1780"/>
    <d v="2023-04-24T00:00:00"/>
    <m/>
    <x v="0"/>
    <n v="39"/>
    <s v="month"/>
    <s v=""/>
    <s v="Monday"/>
  </r>
  <r>
    <x v="1781"/>
    <d v="2023-04-24T00:00:00"/>
    <m/>
    <x v="0"/>
    <n v="39"/>
    <s v="month"/>
    <s v=""/>
    <s v="Monday"/>
  </r>
  <r>
    <x v="1782"/>
    <d v="2023-04-24T00:00:00"/>
    <m/>
    <x v="0"/>
    <n v="39"/>
    <s v="month"/>
    <s v=""/>
    <s v="Monday"/>
  </r>
  <r>
    <x v="811"/>
    <d v="2023-04-24T00:00:00"/>
    <m/>
    <x v="0"/>
    <n v="39"/>
    <s v="month"/>
    <s v=""/>
    <s v="Monday"/>
  </r>
  <r>
    <x v="697"/>
    <d v="2023-04-24T00:00:00"/>
    <m/>
    <x v="0"/>
    <n v="39"/>
    <s v="month"/>
    <s v=""/>
    <s v="Monday"/>
  </r>
  <r>
    <x v="1783"/>
    <d v="2023-04-24T00:00:00"/>
    <m/>
    <x v="0"/>
    <n v="39"/>
    <s v="month"/>
    <s v=""/>
    <s v="Monday"/>
  </r>
  <r>
    <x v="1784"/>
    <d v="2023-04-24T00:00:00"/>
    <d v="2023-05-11T00:00:00"/>
    <x v="0"/>
    <n v="39"/>
    <s v="month"/>
    <n v="17"/>
    <s v="Monday"/>
  </r>
  <r>
    <x v="1785"/>
    <d v="2023-04-24T00:00:00"/>
    <d v="2023-05-10T00:00:00"/>
    <x v="0"/>
    <n v="39"/>
    <s v="month"/>
    <n v="16"/>
    <s v="Monday"/>
  </r>
  <r>
    <x v="1786"/>
    <d v="2023-04-24T00:00:00"/>
    <d v="2023-05-17T00:00:00"/>
    <x v="0"/>
    <n v="39"/>
    <s v="month"/>
    <n v="23"/>
    <s v="Monday"/>
  </r>
  <r>
    <x v="1787"/>
    <d v="2023-04-24T00:00:00"/>
    <d v="2023-05-22T00:00:00"/>
    <x v="0"/>
    <n v="39"/>
    <s v="month"/>
    <n v="28"/>
    <s v="Monday"/>
  </r>
  <r>
    <x v="1788"/>
    <d v="2023-04-24T00:00:00"/>
    <d v="2023-05-31T00:00:00"/>
    <x v="0"/>
    <n v="39"/>
    <s v="month"/>
    <n v="37"/>
    <s v="Monday"/>
  </r>
  <r>
    <x v="1789"/>
    <d v="2023-04-24T00:00:00"/>
    <d v="2023-05-25T00:00:00"/>
    <x v="0"/>
    <n v="39"/>
    <s v="month"/>
    <n v="31"/>
    <s v="Monday"/>
  </r>
  <r>
    <x v="1790"/>
    <d v="2023-04-24T00:00:00"/>
    <d v="2023-08-23T00:00:00"/>
    <x v="0"/>
    <n v="39"/>
    <s v="month"/>
    <n v="121"/>
    <s v="Monday"/>
  </r>
  <r>
    <x v="1791"/>
    <d v="2023-04-25T00:00:00"/>
    <d v="2023-06-25T00:00:00"/>
    <x v="0"/>
    <n v="39"/>
    <s v="month"/>
    <n v="61"/>
    <s v="Tuesday"/>
  </r>
  <r>
    <x v="1792"/>
    <d v="2023-04-25T00:00:00"/>
    <d v="2023-06-24T00:00:00"/>
    <x v="0"/>
    <n v="39"/>
    <s v="month"/>
    <n v="60"/>
    <s v="Tuesday"/>
  </r>
  <r>
    <x v="1793"/>
    <d v="2023-04-25T00:00:00"/>
    <d v="2023-05-17T00:00:00"/>
    <x v="0"/>
    <n v="39"/>
    <s v="month"/>
    <n v="22"/>
    <s v="Tuesday"/>
  </r>
  <r>
    <x v="1794"/>
    <d v="2023-04-25T00:00:00"/>
    <d v="2023-04-25T00:00:00"/>
    <x v="0"/>
    <n v="39"/>
    <s v="month"/>
    <n v="0"/>
    <s v="Tuesday"/>
  </r>
  <r>
    <x v="1795"/>
    <d v="2023-04-26T00:00:00"/>
    <m/>
    <x v="0"/>
    <n v="39"/>
    <s v="month"/>
    <s v=""/>
    <s v="Wednesday"/>
  </r>
  <r>
    <x v="1796"/>
    <d v="2023-04-26T00:00:00"/>
    <m/>
    <x v="0"/>
    <n v="39"/>
    <s v="month"/>
    <s v=""/>
    <s v="Wednesday"/>
  </r>
  <r>
    <x v="1797"/>
    <d v="2023-04-26T00:00:00"/>
    <d v="2023-06-12T00:00:00"/>
    <x v="0"/>
    <n v="39"/>
    <s v="month"/>
    <n v="47"/>
    <s v="Wednesday"/>
  </r>
  <r>
    <x v="1798"/>
    <d v="2023-04-26T00:00:00"/>
    <d v="2023-06-02T00:00:00"/>
    <x v="0"/>
    <n v="39"/>
    <s v="month"/>
    <n v="37"/>
    <s v="Wednesday"/>
  </r>
  <r>
    <x v="1799"/>
    <d v="2023-04-26T00:00:00"/>
    <d v="2023-05-17T00:00:00"/>
    <x v="0"/>
    <n v="39"/>
    <s v="month"/>
    <n v="21"/>
    <s v="Wednesday"/>
  </r>
  <r>
    <x v="1800"/>
    <d v="2023-04-26T00:00:00"/>
    <d v="2023-05-24T00:00:00"/>
    <x v="0"/>
    <n v="39"/>
    <s v="month"/>
    <n v="28"/>
    <s v="Wednesday"/>
  </r>
  <r>
    <x v="1801"/>
    <d v="2023-04-26T00:00:00"/>
    <d v="2023-05-24T00:00:00"/>
    <x v="0"/>
    <n v="39"/>
    <s v="month"/>
    <n v="28"/>
    <s v="Wednesday"/>
  </r>
  <r>
    <x v="1802"/>
    <d v="2023-04-27T00:00:00"/>
    <m/>
    <x v="0"/>
    <n v="39"/>
    <s v="month"/>
    <s v=""/>
    <s v="Thursday"/>
  </r>
  <r>
    <x v="1803"/>
    <d v="2023-04-27T00:00:00"/>
    <m/>
    <x v="0"/>
    <n v="39"/>
    <s v="month"/>
    <s v=""/>
    <s v="Thursday"/>
  </r>
  <r>
    <x v="1804"/>
    <d v="2023-04-27T00:00:00"/>
    <d v="2023-04-28T00:00:00"/>
    <x v="1"/>
    <n v="39"/>
    <s v="month"/>
    <n v="1"/>
    <s v="Thursday"/>
  </r>
  <r>
    <x v="1805"/>
    <d v="2023-04-27T00:00:00"/>
    <d v="2023-05-27T00:00:00"/>
    <x v="0"/>
    <n v="39"/>
    <s v="month"/>
    <n v="30"/>
    <s v="Thursday"/>
  </r>
  <r>
    <x v="1806"/>
    <d v="2023-04-27T00:00:00"/>
    <d v="2023-05-28T00:00:00"/>
    <x v="0"/>
    <n v="39"/>
    <s v="month"/>
    <n v="31"/>
    <s v="Thursday"/>
  </r>
  <r>
    <x v="1807"/>
    <d v="2023-04-27T00:00:00"/>
    <d v="2023-05-25T00:00:00"/>
    <x v="0"/>
    <n v="39"/>
    <s v="month"/>
    <n v="28"/>
    <s v="Thursday"/>
  </r>
  <r>
    <x v="1808"/>
    <d v="2023-04-27T00:00:00"/>
    <d v="2023-06-03T00:00:00"/>
    <x v="0"/>
    <n v="39"/>
    <s v="month"/>
    <n v="37"/>
    <s v="Thursday"/>
  </r>
  <r>
    <x v="1809"/>
    <d v="2023-04-27T00:00:00"/>
    <d v="2023-05-28T00:00:00"/>
    <x v="0"/>
    <n v="39"/>
    <s v="month"/>
    <n v="31"/>
    <s v="Thursday"/>
  </r>
  <r>
    <x v="1810"/>
    <d v="2023-04-27T00:00:00"/>
    <d v="2023-05-26T00:00:00"/>
    <x v="0"/>
    <n v="39"/>
    <s v="month"/>
    <n v="29"/>
    <s v="Thursday"/>
  </r>
  <r>
    <x v="1811"/>
    <d v="2023-04-28T00:00:00"/>
    <m/>
    <x v="0"/>
    <n v="39"/>
    <s v="month"/>
    <s v=""/>
    <s v="Friday"/>
  </r>
  <r>
    <x v="1812"/>
    <d v="2023-04-28T00:00:00"/>
    <m/>
    <x v="0"/>
    <n v="39"/>
    <s v="month"/>
    <s v=""/>
    <s v="Friday"/>
  </r>
  <r>
    <x v="1813"/>
    <d v="2023-04-28T00:00:00"/>
    <m/>
    <x v="0"/>
    <n v="39"/>
    <s v="month"/>
    <s v=""/>
    <s v="Friday"/>
  </r>
  <r>
    <x v="1814"/>
    <d v="2023-04-28T00:00:00"/>
    <d v="2023-07-05T00:00:00"/>
    <x v="0"/>
    <n v="39"/>
    <s v="month"/>
    <n v="68"/>
    <s v="Friday"/>
  </r>
  <r>
    <x v="1815"/>
    <d v="2023-04-28T00:00:00"/>
    <d v="2023-06-28T00:00:00"/>
    <x v="0"/>
    <n v="39"/>
    <s v="month"/>
    <n v="61"/>
    <s v="Friday"/>
  </r>
  <r>
    <x v="1816"/>
    <d v="2023-04-28T00:00:00"/>
    <d v="2023-06-04T00:00:00"/>
    <x v="0"/>
    <n v="39"/>
    <s v="month"/>
    <n v="37"/>
    <s v="Friday"/>
  </r>
  <r>
    <x v="1817"/>
    <d v="2023-04-28T00:00:00"/>
    <d v="2023-05-28T00:00:00"/>
    <x v="0"/>
    <n v="39"/>
    <s v="month"/>
    <n v="30"/>
    <s v="Friday"/>
  </r>
  <r>
    <x v="1818"/>
    <d v="2023-04-28T00:00:00"/>
    <d v="2023-05-29T00:00:00"/>
    <x v="0"/>
    <n v="39"/>
    <s v="month"/>
    <n v="31"/>
    <s v="Friday"/>
  </r>
  <r>
    <x v="1819"/>
    <d v="2023-04-28T00:00:00"/>
    <d v="2023-05-17T00:00:00"/>
    <x v="0"/>
    <n v="39"/>
    <s v="month"/>
    <n v="19"/>
    <s v="Friday"/>
  </r>
  <r>
    <x v="1820"/>
    <d v="2023-04-28T00:00:00"/>
    <d v="2023-04-28T00:00:00"/>
    <x v="0"/>
    <n v="39"/>
    <s v="month"/>
    <n v="0"/>
    <s v="Friday"/>
  </r>
  <r>
    <x v="1821"/>
    <d v="2023-04-28T00:00:00"/>
    <d v="2023-07-04T00:00:00"/>
    <x v="0"/>
    <n v="39"/>
    <s v="month"/>
    <n v="67"/>
    <s v="Friday"/>
  </r>
  <r>
    <x v="178"/>
    <d v="2023-04-29T00:00:00"/>
    <m/>
    <x v="0"/>
    <n v="39"/>
    <s v="month"/>
    <s v=""/>
    <s v="Saturday"/>
  </r>
  <r>
    <x v="1822"/>
    <d v="2023-04-29T00:00:00"/>
    <d v="2023-07-20T00:00:00"/>
    <x v="0"/>
    <n v="39"/>
    <s v="month"/>
    <n v="82"/>
    <s v="Saturday"/>
  </r>
  <r>
    <x v="1823"/>
    <d v="2023-04-30T00:00:00"/>
    <m/>
    <x v="0"/>
    <n v="39"/>
    <s v="month"/>
    <s v=""/>
    <s v="Sunday"/>
  </r>
  <r>
    <x v="1824"/>
    <d v="2023-04-30T00:00:00"/>
    <d v="2023-05-20T00:00:00"/>
    <x v="0"/>
    <n v="39"/>
    <s v="month"/>
    <n v="20"/>
    <s v="Sunday"/>
  </r>
  <r>
    <x v="1825"/>
    <d v="2023-04-30T00:00:00"/>
    <d v="2023-06-02T00:00:00"/>
    <x v="0"/>
    <n v="39"/>
    <s v="month"/>
    <n v="33"/>
    <s v="Sunday"/>
  </r>
  <r>
    <x v="1826"/>
    <d v="2023-04-30T00:00:00"/>
    <d v="2023-06-06T00:00:00"/>
    <x v="0"/>
    <n v="39"/>
    <s v="month"/>
    <n v="37"/>
    <s v="Sunday"/>
  </r>
  <r>
    <x v="1827"/>
    <d v="2023-04-30T00:00:00"/>
    <d v="2023-05-02T00:00:00"/>
    <x v="0"/>
    <n v="39"/>
    <s v="month"/>
    <n v="2"/>
    <s v="Sunday"/>
  </r>
  <r>
    <x v="1828"/>
    <d v="2023-04-30T00:00:00"/>
    <d v="2023-05-01T00:00:00"/>
    <x v="0"/>
    <n v="39"/>
    <s v="month"/>
    <n v="1"/>
    <s v="Sunday"/>
  </r>
  <r>
    <x v="1829"/>
    <d v="2023-04-30T00:00:00"/>
    <d v="2023-06-30T00:00:00"/>
    <x v="0"/>
    <n v="39"/>
    <s v="month"/>
    <n v="61"/>
    <s v="Sunday"/>
  </r>
  <r>
    <x v="1830"/>
    <d v="2023-05-01T00:00:00"/>
    <m/>
    <x v="0"/>
    <n v="39"/>
    <s v="month"/>
    <s v=""/>
    <s v="Monday"/>
  </r>
  <r>
    <x v="1831"/>
    <d v="2023-05-01T00:00:00"/>
    <m/>
    <x v="0"/>
    <n v="39"/>
    <s v="month"/>
    <s v=""/>
    <s v="Monday"/>
  </r>
  <r>
    <x v="1832"/>
    <d v="2023-05-01T00:00:00"/>
    <m/>
    <x v="0"/>
    <n v="39"/>
    <s v="month"/>
    <s v=""/>
    <s v="Monday"/>
  </r>
  <r>
    <x v="1833"/>
    <d v="2023-05-01T00:00:00"/>
    <d v="2023-06-01T00:00:00"/>
    <x v="0"/>
    <n v="39"/>
    <s v="month"/>
    <n v="31"/>
    <s v="Monday"/>
  </r>
  <r>
    <x v="1834"/>
    <d v="2023-05-01T00:00:00"/>
    <d v="2023-06-01T00:00:00"/>
    <x v="0"/>
    <n v="39"/>
    <s v="month"/>
    <n v="31"/>
    <s v="Monday"/>
  </r>
  <r>
    <x v="1835"/>
    <d v="2023-05-01T00:00:00"/>
    <d v="2023-05-24T00:00:00"/>
    <x v="0"/>
    <n v="39"/>
    <s v="month"/>
    <n v="23"/>
    <s v="Monday"/>
  </r>
  <r>
    <x v="1836"/>
    <d v="2023-05-01T00:00:00"/>
    <d v="2023-08-08T00:00:00"/>
    <x v="0"/>
    <n v="39"/>
    <s v="month"/>
    <n v="99"/>
    <s v="Monday"/>
  </r>
  <r>
    <x v="1837"/>
    <d v="2023-05-02T00:00:00"/>
    <m/>
    <x v="0"/>
    <n v="39"/>
    <s v="month"/>
    <s v=""/>
    <s v="Tuesday"/>
  </r>
  <r>
    <x v="1838"/>
    <d v="2023-05-02T00:00:00"/>
    <m/>
    <x v="0"/>
    <n v="39"/>
    <s v="month"/>
    <s v=""/>
    <s v="Tuesday"/>
  </r>
  <r>
    <x v="1839"/>
    <d v="2023-05-02T00:00:00"/>
    <m/>
    <x v="0"/>
    <n v="39"/>
    <s v="month"/>
    <s v=""/>
    <s v="Tuesday"/>
  </r>
  <r>
    <x v="1840"/>
    <d v="2023-05-02T00:00:00"/>
    <m/>
    <x v="0"/>
    <n v="39"/>
    <s v="month"/>
    <s v=""/>
    <s v="Tuesday"/>
  </r>
  <r>
    <x v="1841"/>
    <d v="2023-05-02T00:00:00"/>
    <d v="2023-05-03T00:00:00"/>
    <x v="0"/>
    <n v="39"/>
    <s v="month"/>
    <n v="1"/>
    <s v="Tuesday"/>
  </r>
  <r>
    <x v="1842"/>
    <d v="2023-05-02T00:00:00"/>
    <d v="2023-07-09T00:00:00"/>
    <x v="0"/>
    <n v="39"/>
    <s v="month"/>
    <n v="68"/>
    <s v="Tuesday"/>
  </r>
  <r>
    <x v="1843"/>
    <d v="2023-05-02T00:00:00"/>
    <d v="2023-06-19T00:00:00"/>
    <x v="0"/>
    <n v="39"/>
    <s v="month"/>
    <n v="48"/>
    <s v="Tuesday"/>
  </r>
  <r>
    <x v="1844"/>
    <d v="2023-05-02T00:00:00"/>
    <d v="2023-06-06T00:00:00"/>
    <x v="0"/>
    <n v="39"/>
    <s v="month"/>
    <n v="35"/>
    <s v="Tuesday"/>
  </r>
  <r>
    <x v="1845"/>
    <d v="2023-05-02T00:00:00"/>
    <d v="2023-08-01T00:00:00"/>
    <x v="0"/>
    <n v="39"/>
    <s v="month"/>
    <n v="91"/>
    <s v="Tuesday"/>
  </r>
  <r>
    <x v="1846"/>
    <d v="2023-05-02T00:00:00"/>
    <d v="2023-08-09T00:00:00"/>
    <x v="0"/>
    <n v="39"/>
    <s v="month"/>
    <n v="99"/>
    <s v="Tuesday"/>
  </r>
  <r>
    <x v="1847"/>
    <d v="2023-05-02T00:00:00"/>
    <d v="2023-08-22T00:00:00"/>
    <x v="0"/>
    <n v="39"/>
    <s v="month"/>
    <n v="112"/>
    <s v="Tuesday"/>
  </r>
  <r>
    <x v="1848"/>
    <d v="2023-05-03T00:00:00"/>
    <m/>
    <x v="0"/>
    <n v="39"/>
    <s v="month"/>
    <s v=""/>
    <s v="Wednesday"/>
  </r>
  <r>
    <x v="588"/>
    <d v="2023-05-03T00:00:00"/>
    <m/>
    <x v="0"/>
    <n v="39"/>
    <s v="month"/>
    <s v=""/>
    <s v="Wednesday"/>
  </r>
  <r>
    <x v="1849"/>
    <d v="2023-05-03T00:00:00"/>
    <d v="2023-07-15T00:00:00"/>
    <x v="0"/>
    <n v="39"/>
    <s v="month"/>
    <n v="73"/>
    <s v="Wednesday"/>
  </r>
  <r>
    <x v="1850"/>
    <d v="2023-05-03T00:00:00"/>
    <d v="2023-06-20T00:00:00"/>
    <x v="0"/>
    <n v="39"/>
    <s v="month"/>
    <n v="48"/>
    <s v="Wednesday"/>
  </r>
  <r>
    <x v="1851"/>
    <d v="2023-05-03T00:00:00"/>
    <d v="2023-06-10T00:00:00"/>
    <x v="0"/>
    <n v="39"/>
    <s v="month"/>
    <n v="38"/>
    <s v="Wednesday"/>
  </r>
  <r>
    <x v="1852"/>
    <d v="2023-05-03T00:00:00"/>
    <d v="2023-06-12T00:00:00"/>
    <x v="0"/>
    <n v="39"/>
    <s v="month"/>
    <n v="40"/>
    <s v="Wednesday"/>
  </r>
  <r>
    <x v="1853"/>
    <d v="2023-05-03T00:00:00"/>
    <d v="2023-05-24T00:00:00"/>
    <x v="0"/>
    <n v="39"/>
    <s v="month"/>
    <n v="21"/>
    <s v="Wednesday"/>
  </r>
  <r>
    <x v="1854"/>
    <d v="2023-05-03T00:00:00"/>
    <d v="2023-05-03T00:00:00"/>
    <x v="0"/>
    <n v="39"/>
    <s v="month"/>
    <n v="0"/>
    <s v="Wednesday"/>
  </r>
  <r>
    <x v="1855"/>
    <d v="2023-05-03T00:00:00"/>
    <d v="2023-05-14T00:00:00"/>
    <x v="0"/>
    <n v="39"/>
    <s v="month"/>
    <n v="11"/>
    <s v="Wednesday"/>
  </r>
  <r>
    <x v="1856"/>
    <d v="2023-05-04T00:00:00"/>
    <m/>
    <x v="0"/>
    <n v="39"/>
    <s v="month"/>
    <s v=""/>
    <s v="Thursday"/>
  </r>
  <r>
    <x v="323"/>
    <d v="2023-05-04T00:00:00"/>
    <m/>
    <x v="0"/>
    <n v="39"/>
    <s v="month"/>
    <s v=""/>
    <s v="Thursday"/>
  </r>
  <r>
    <x v="1857"/>
    <d v="2023-05-04T00:00:00"/>
    <d v="2023-09-05T00:00:00"/>
    <x v="0"/>
    <n v="39"/>
    <s v="month"/>
    <n v="124"/>
    <s v="Thursday"/>
  </r>
  <r>
    <x v="1858"/>
    <d v="2023-05-04T00:00:00"/>
    <d v="2023-07-05T00:00:00"/>
    <x v="0"/>
    <n v="39"/>
    <s v="month"/>
    <n v="62"/>
    <s v="Thursday"/>
  </r>
  <r>
    <x v="1859"/>
    <d v="2023-05-04T00:00:00"/>
    <d v="2023-06-02T00:00:00"/>
    <x v="0"/>
    <n v="39"/>
    <s v="month"/>
    <n v="29"/>
    <s v="Thursday"/>
  </r>
  <r>
    <x v="1860"/>
    <d v="2023-05-04T00:00:00"/>
    <d v="2023-06-01T00:00:00"/>
    <x v="0"/>
    <n v="39"/>
    <s v="month"/>
    <n v="28"/>
    <s v="Thursday"/>
  </r>
  <r>
    <x v="1861"/>
    <d v="2023-05-04T00:00:00"/>
    <d v="2023-06-01T00:00:00"/>
    <x v="0"/>
    <n v="39"/>
    <s v="month"/>
    <n v="28"/>
    <s v="Thursday"/>
  </r>
  <r>
    <x v="1862"/>
    <d v="2023-05-05T00:00:00"/>
    <m/>
    <x v="0"/>
    <n v="39"/>
    <s v="month"/>
    <s v=""/>
    <s v="Friday"/>
  </r>
  <r>
    <x v="1863"/>
    <d v="2023-05-05T00:00:00"/>
    <m/>
    <x v="0"/>
    <n v="39"/>
    <s v="month"/>
    <s v=""/>
    <s v="Friday"/>
  </r>
  <r>
    <x v="1864"/>
    <d v="2023-05-05T00:00:00"/>
    <m/>
    <x v="0"/>
    <n v="39"/>
    <s v="month"/>
    <s v=""/>
    <s v="Friday"/>
  </r>
  <r>
    <x v="1865"/>
    <d v="2023-05-05T00:00:00"/>
    <m/>
    <x v="0"/>
    <n v="39"/>
    <s v="month"/>
    <s v=""/>
    <s v="Friday"/>
  </r>
  <r>
    <x v="1866"/>
    <d v="2023-05-05T00:00:00"/>
    <m/>
    <x v="0"/>
    <n v="39"/>
    <s v="month"/>
    <s v=""/>
    <s v="Friday"/>
  </r>
  <r>
    <x v="1867"/>
    <d v="2023-05-05T00:00:00"/>
    <d v="2023-06-03T00:00:00"/>
    <x v="0"/>
    <n v="39"/>
    <s v="month"/>
    <n v="29"/>
    <s v="Friday"/>
  </r>
  <r>
    <x v="1868"/>
    <d v="2023-05-05T00:00:00"/>
    <d v="2023-07-03T00:00:00"/>
    <x v="0"/>
    <n v="39"/>
    <s v="month"/>
    <n v="59"/>
    <s v="Friday"/>
  </r>
  <r>
    <x v="1869"/>
    <d v="2023-05-05T00:00:00"/>
    <d v="2023-06-12T00:00:00"/>
    <x v="0"/>
    <n v="39"/>
    <s v="month"/>
    <n v="38"/>
    <s v="Friday"/>
  </r>
  <r>
    <x v="1870"/>
    <d v="2023-05-05T00:00:00"/>
    <d v="2023-05-05T00:00:00"/>
    <x v="0"/>
    <n v="39"/>
    <s v="month"/>
    <n v="0"/>
    <s v="Friday"/>
  </r>
  <r>
    <x v="1871"/>
    <d v="2023-05-05T00:00:00"/>
    <d v="2023-05-05T00:00:00"/>
    <x v="0"/>
    <n v="39"/>
    <s v="month"/>
    <n v="0"/>
    <s v="Friday"/>
  </r>
  <r>
    <x v="1872"/>
    <d v="2023-05-05T00:00:00"/>
    <d v="2023-05-31T00:00:00"/>
    <x v="0"/>
    <n v="39"/>
    <s v="month"/>
    <n v="26"/>
    <s v="Friday"/>
  </r>
  <r>
    <x v="1873"/>
    <d v="2023-05-06T00:00:00"/>
    <m/>
    <x v="0"/>
    <n v="39"/>
    <s v="month"/>
    <s v=""/>
    <s v="Saturday"/>
  </r>
  <r>
    <x v="1874"/>
    <d v="2023-05-06T00:00:00"/>
    <m/>
    <x v="0"/>
    <n v="39"/>
    <s v="month"/>
    <s v=""/>
    <s v="Saturday"/>
  </r>
  <r>
    <x v="1875"/>
    <d v="2023-05-06T00:00:00"/>
    <d v="2023-06-02T00:00:00"/>
    <x v="0"/>
    <n v="39"/>
    <s v="month"/>
    <n v="27"/>
    <s v="Saturday"/>
  </r>
  <r>
    <x v="1876"/>
    <d v="2023-05-07T00:00:00"/>
    <m/>
    <x v="0"/>
    <n v="39"/>
    <s v="month"/>
    <s v=""/>
    <s v="Sunday"/>
  </r>
  <r>
    <x v="1354"/>
    <d v="2023-05-07T00:00:00"/>
    <m/>
    <x v="0"/>
    <n v="39"/>
    <s v="month"/>
    <s v=""/>
    <s v="Sunday"/>
  </r>
  <r>
    <x v="488"/>
    <d v="2023-05-07T00:00:00"/>
    <m/>
    <x v="0"/>
    <n v="39"/>
    <s v="month"/>
    <s v=""/>
    <s v="Sunday"/>
  </r>
  <r>
    <x v="1877"/>
    <d v="2023-05-07T00:00:00"/>
    <d v="2023-08-06T00:00:00"/>
    <x v="0"/>
    <n v="39"/>
    <s v="month"/>
    <n v="91"/>
    <s v="Sunday"/>
  </r>
  <r>
    <x v="1878"/>
    <d v="2023-05-07T00:00:00"/>
    <d v="2023-07-07T00:00:00"/>
    <x v="0"/>
    <n v="39"/>
    <s v="month"/>
    <n v="61"/>
    <s v="Sunday"/>
  </r>
  <r>
    <x v="1879"/>
    <d v="2023-05-07T00:00:00"/>
    <d v="2023-07-03T00:00:00"/>
    <x v="0"/>
    <n v="39"/>
    <s v="month"/>
    <n v="57"/>
    <s v="Sunday"/>
  </r>
  <r>
    <x v="1880"/>
    <d v="2023-05-07T00:00:00"/>
    <d v="2023-07-14T00:00:00"/>
    <x v="0"/>
    <n v="39"/>
    <s v="month"/>
    <n v="68"/>
    <s v="Sunday"/>
  </r>
  <r>
    <x v="1881"/>
    <d v="2023-05-07T00:00:00"/>
    <d v="2023-06-14T00:00:00"/>
    <x v="0"/>
    <n v="39"/>
    <s v="month"/>
    <n v="38"/>
    <s v="Sunday"/>
  </r>
  <r>
    <x v="1882"/>
    <d v="2023-05-07T00:00:00"/>
    <d v="2023-06-10T00:00:00"/>
    <x v="0"/>
    <n v="39"/>
    <s v="month"/>
    <n v="34"/>
    <s v="Sunday"/>
  </r>
  <r>
    <x v="1883"/>
    <d v="2023-05-07T00:00:00"/>
    <d v="2023-05-07T00:00:00"/>
    <x v="0"/>
    <n v="39"/>
    <s v="month"/>
    <n v="0"/>
    <s v="Sunday"/>
  </r>
  <r>
    <x v="1884"/>
    <d v="2023-05-07T00:00:00"/>
    <d v="2023-07-07T00:00:00"/>
    <x v="0"/>
    <n v="39"/>
    <s v="month"/>
    <n v="61"/>
    <s v="Sunday"/>
  </r>
  <r>
    <x v="1885"/>
    <d v="2023-05-08T00:00:00"/>
    <m/>
    <x v="0"/>
    <n v="39"/>
    <s v="month"/>
    <s v=""/>
    <s v="Monday"/>
  </r>
  <r>
    <x v="1886"/>
    <d v="2023-05-08T00:00:00"/>
    <m/>
    <x v="0"/>
    <n v="39"/>
    <s v="month"/>
    <s v=""/>
    <s v="Monday"/>
  </r>
  <r>
    <x v="1887"/>
    <d v="2023-05-08T00:00:00"/>
    <m/>
    <x v="0"/>
    <n v="39"/>
    <s v="month"/>
    <s v=""/>
    <s v="Monday"/>
  </r>
  <r>
    <x v="1888"/>
    <d v="2023-05-08T00:00:00"/>
    <m/>
    <x v="0"/>
    <n v="39"/>
    <s v="month"/>
    <s v=""/>
    <s v="Monday"/>
  </r>
  <r>
    <x v="1889"/>
    <d v="2023-05-08T00:00:00"/>
    <m/>
    <x v="0"/>
    <n v="39"/>
    <s v="month"/>
    <s v=""/>
    <s v="Monday"/>
  </r>
  <r>
    <x v="1890"/>
    <d v="2023-05-08T00:00:00"/>
    <m/>
    <x v="0"/>
    <n v="39"/>
    <s v="month"/>
    <s v=""/>
    <s v="Monday"/>
  </r>
  <r>
    <x v="1182"/>
    <d v="2023-05-08T00:00:00"/>
    <m/>
    <x v="0"/>
    <n v="39"/>
    <s v="month"/>
    <s v=""/>
    <s v="Monday"/>
  </r>
  <r>
    <x v="1891"/>
    <d v="2023-05-08T00:00:00"/>
    <m/>
    <x v="0"/>
    <n v="39"/>
    <s v="month"/>
    <s v=""/>
    <s v="Monday"/>
  </r>
  <r>
    <x v="1892"/>
    <d v="2023-05-08T00:00:00"/>
    <d v="2023-09-06T00:00:00"/>
    <x v="0"/>
    <n v="39"/>
    <s v="month"/>
    <n v="121"/>
    <s v="Monday"/>
  </r>
  <r>
    <x v="1893"/>
    <d v="2023-05-08T00:00:00"/>
    <d v="2023-05-09T00:00:00"/>
    <x v="0"/>
    <n v="39"/>
    <s v="month"/>
    <n v="1"/>
    <s v="Monday"/>
  </r>
  <r>
    <x v="1893"/>
    <d v="2023-05-08T00:00:00"/>
    <d v="2023-07-08T00:00:00"/>
    <x v="0"/>
    <n v="39"/>
    <s v="month"/>
    <n v="61"/>
    <s v="Monday"/>
  </r>
  <r>
    <x v="1894"/>
    <d v="2023-05-08T00:00:00"/>
    <d v="2023-06-14T00:00:00"/>
    <x v="0"/>
    <n v="39"/>
    <s v="month"/>
    <n v="37"/>
    <s v="Monday"/>
  </r>
  <r>
    <x v="1895"/>
    <d v="2023-05-08T00:00:00"/>
    <d v="2023-07-04T00:00:00"/>
    <x v="0"/>
    <n v="39"/>
    <s v="month"/>
    <n v="57"/>
    <s v="Monday"/>
  </r>
  <r>
    <x v="1896"/>
    <d v="2023-05-08T00:00:00"/>
    <d v="2023-07-03T00:00:00"/>
    <x v="0"/>
    <n v="39"/>
    <s v="month"/>
    <n v="56"/>
    <s v="Monday"/>
  </r>
  <r>
    <x v="1897"/>
    <d v="2023-05-08T00:00:00"/>
    <d v="2023-06-07T00:00:00"/>
    <x v="0"/>
    <n v="39"/>
    <s v="month"/>
    <n v="30"/>
    <s v="Monday"/>
  </r>
  <r>
    <x v="1898"/>
    <d v="2023-05-08T00:00:00"/>
    <d v="2023-06-15T00:00:00"/>
    <x v="0"/>
    <n v="39"/>
    <s v="month"/>
    <n v="38"/>
    <s v="Monday"/>
  </r>
  <r>
    <x v="1899"/>
    <d v="2023-05-08T00:00:00"/>
    <d v="2023-06-22T00:00:00"/>
    <x v="0"/>
    <n v="39"/>
    <s v="month"/>
    <n v="45"/>
    <s v="Monday"/>
  </r>
  <r>
    <x v="1900"/>
    <d v="2023-05-08T00:00:00"/>
    <d v="2023-05-25T00:00:00"/>
    <x v="0"/>
    <n v="39"/>
    <s v="month"/>
    <n v="17"/>
    <s v="Monday"/>
  </r>
  <r>
    <x v="1901"/>
    <d v="2023-05-08T00:00:00"/>
    <d v="2023-07-15T00:00:00"/>
    <x v="0"/>
    <n v="39"/>
    <s v="month"/>
    <n v="68"/>
    <s v="Monday"/>
  </r>
  <r>
    <x v="1902"/>
    <d v="2023-05-08T00:00:00"/>
    <d v="2023-07-08T00:00:00"/>
    <x v="0"/>
    <n v="39"/>
    <s v="month"/>
    <n v="61"/>
    <s v="Monday"/>
  </r>
  <r>
    <x v="1903"/>
    <d v="2023-05-09T00:00:00"/>
    <m/>
    <x v="0"/>
    <n v="39"/>
    <s v="month"/>
    <s v=""/>
    <s v="Tuesday"/>
  </r>
  <r>
    <x v="1904"/>
    <d v="2023-05-09T00:00:00"/>
    <m/>
    <x v="0"/>
    <n v="39"/>
    <s v="month"/>
    <s v=""/>
    <s v="Tuesday"/>
  </r>
  <r>
    <x v="1905"/>
    <d v="2023-05-09T00:00:00"/>
    <m/>
    <x v="0"/>
    <n v="39"/>
    <s v="month"/>
    <s v=""/>
    <s v="Tuesday"/>
  </r>
  <r>
    <x v="1906"/>
    <d v="2023-05-09T00:00:00"/>
    <m/>
    <x v="0"/>
    <n v="39"/>
    <s v="month"/>
    <s v=""/>
    <s v="Tuesday"/>
  </r>
  <r>
    <x v="1907"/>
    <d v="2023-05-09T00:00:00"/>
    <d v="2023-05-09T00:00:00"/>
    <x v="0"/>
    <n v="39"/>
    <s v="month"/>
    <n v="0"/>
    <s v="Tuesday"/>
  </r>
  <r>
    <x v="1908"/>
    <d v="2023-05-09T00:00:00"/>
    <d v="2023-05-10T00:00:00"/>
    <x v="1"/>
    <n v="39"/>
    <s v="month"/>
    <n v="1"/>
    <s v="Tuesday"/>
  </r>
  <r>
    <x v="1909"/>
    <d v="2023-05-09T00:00:00"/>
    <d v="2023-06-18T00:00:00"/>
    <x v="0"/>
    <n v="39"/>
    <s v="month"/>
    <n v="40"/>
    <s v="Tuesday"/>
  </r>
  <r>
    <x v="1910"/>
    <d v="2023-05-09T00:00:00"/>
    <d v="2023-06-09T00:00:00"/>
    <x v="0"/>
    <n v="39"/>
    <s v="month"/>
    <n v="31"/>
    <s v="Tuesday"/>
  </r>
  <r>
    <x v="1841"/>
    <d v="2023-05-09T00:00:00"/>
    <d v="2023-06-16T00:00:00"/>
    <x v="0"/>
    <n v="39"/>
    <s v="month"/>
    <n v="38"/>
    <s v="Tuesday"/>
  </r>
  <r>
    <x v="1911"/>
    <d v="2023-05-09T00:00:00"/>
    <d v="2023-06-16T00:00:00"/>
    <x v="0"/>
    <n v="39"/>
    <s v="month"/>
    <n v="38"/>
    <s v="Tuesday"/>
  </r>
  <r>
    <x v="1912"/>
    <d v="2023-05-09T00:00:00"/>
    <d v="2023-05-09T00:00:00"/>
    <x v="0"/>
    <n v="39"/>
    <s v="month"/>
    <n v="0"/>
    <s v="Tuesday"/>
  </r>
  <r>
    <x v="1913"/>
    <d v="2023-05-09T00:00:00"/>
    <d v="2023-05-29T00:00:00"/>
    <x v="0"/>
    <n v="39"/>
    <s v="month"/>
    <n v="20"/>
    <s v="Tuesday"/>
  </r>
  <r>
    <x v="1914"/>
    <d v="2023-05-09T00:00:00"/>
    <d v="2023-07-16T00:00:00"/>
    <x v="0"/>
    <n v="39"/>
    <s v="month"/>
    <n v="68"/>
    <s v="Tuesday"/>
  </r>
  <r>
    <x v="1915"/>
    <d v="2023-05-09T00:00:00"/>
    <d v="2023-08-16T00:00:00"/>
    <x v="0"/>
    <n v="39"/>
    <s v="month"/>
    <n v="99"/>
    <s v="Tuesday"/>
  </r>
  <r>
    <x v="1916"/>
    <d v="2023-05-10T00:00:00"/>
    <m/>
    <x v="0"/>
    <n v="39"/>
    <s v="month"/>
    <s v=""/>
    <s v="Wednesday"/>
  </r>
  <r>
    <x v="1054"/>
    <d v="2023-05-10T00:00:00"/>
    <m/>
    <x v="0"/>
    <n v="39"/>
    <s v="month"/>
    <s v=""/>
    <s v="Wednesday"/>
  </r>
  <r>
    <x v="1917"/>
    <d v="2023-05-10T00:00:00"/>
    <m/>
    <x v="0"/>
    <n v="39"/>
    <s v="month"/>
    <s v=""/>
    <s v="Wednesday"/>
  </r>
  <r>
    <x v="1918"/>
    <d v="2023-05-10T00:00:00"/>
    <d v="2023-05-10T00:00:00"/>
    <x v="0"/>
    <n v="39"/>
    <s v="month"/>
    <n v="0"/>
    <s v="Wednesday"/>
  </r>
  <r>
    <x v="1919"/>
    <d v="2023-05-10T00:00:00"/>
    <d v="2023-06-09T00:00:00"/>
    <x v="0"/>
    <n v="39"/>
    <s v="month"/>
    <n v="30"/>
    <s v="Wednesday"/>
  </r>
  <r>
    <x v="1920"/>
    <d v="2023-05-10T00:00:00"/>
    <d v="2023-08-09T00:00:00"/>
    <x v="0"/>
    <n v="39"/>
    <s v="month"/>
    <n v="91"/>
    <s v="Wednesday"/>
  </r>
  <r>
    <x v="1921"/>
    <d v="2023-05-10T00:00:00"/>
    <d v="2023-08-03T00:00:00"/>
    <x v="0"/>
    <n v="39"/>
    <s v="month"/>
    <n v="85"/>
    <s v="Wednesday"/>
  </r>
  <r>
    <x v="21"/>
    <d v="2023-05-11T00:00:00"/>
    <m/>
    <x v="0"/>
    <n v="39"/>
    <s v="month"/>
    <s v=""/>
    <s v="Thursday"/>
  </r>
  <r>
    <x v="1922"/>
    <d v="2023-05-11T00:00:00"/>
    <m/>
    <x v="0"/>
    <n v="39"/>
    <s v="month"/>
    <s v=""/>
    <s v="Thursday"/>
  </r>
  <r>
    <x v="1923"/>
    <d v="2023-05-11T00:00:00"/>
    <m/>
    <x v="0"/>
    <n v="39"/>
    <s v="month"/>
    <s v=""/>
    <s v="Thursday"/>
  </r>
  <r>
    <x v="1924"/>
    <d v="2023-05-11T00:00:00"/>
    <m/>
    <x v="0"/>
    <n v="39"/>
    <s v="month"/>
    <s v=""/>
    <s v="Thursday"/>
  </r>
  <r>
    <x v="1925"/>
    <d v="2023-05-11T00:00:00"/>
    <d v="2023-08-07T00:00:00"/>
    <x v="0"/>
    <n v="39"/>
    <s v="month"/>
    <n v="88"/>
    <s v="Thursday"/>
  </r>
  <r>
    <x v="1926"/>
    <d v="2023-05-11T00:00:00"/>
    <d v="2023-06-11T00:00:00"/>
    <x v="0"/>
    <n v="39"/>
    <s v="month"/>
    <n v="31"/>
    <s v="Thursday"/>
  </r>
  <r>
    <x v="1927"/>
    <d v="2023-05-11T00:00:00"/>
    <d v="2023-06-02T00:00:00"/>
    <x v="0"/>
    <n v="39"/>
    <s v="month"/>
    <n v="22"/>
    <s v="Thursday"/>
  </r>
  <r>
    <x v="1928"/>
    <d v="2023-05-11T00:00:00"/>
    <d v="2023-06-05T00:00:00"/>
    <x v="0"/>
    <n v="39"/>
    <s v="month"/>
    <n v="25"/>
    <s v="Thursday"/>
  </r>
  <r>
    <x v="1929"/>
    <d v="2023-05-11T00:00:00"/>
    <d v="2023-05-11T00:00:00"/>
    <x v="0"/>
    <n v="39"/>
    <s v="month"/>
    <n v="0"/>
    <s v="Thursday"/>
  </r>
  <r>
    <x v="1930"/>
    <d v="2023-05-11T00:00:00"/>
    <d v="2023-05-19T00:00:00"/>
    <x v="0"/>
    <n v="39"/>
    <s v="month"/>
    <n v="8"/>
    <s v="Thursday"/>
  </r>
  <r>
    <x v="1931"/>
    <d v="2023-05-12T00:00:00"/>
    <m/>
    <x v="0"/>
    <n v="39"/>
    <s v="month"/>
    <s v=""/>
    <s v="Friday"/>
  </r>
  <r>
    <x v="1932"/>
    <d v="2023-05-12T00:00:00"/>
    <m/>
    <x v="0"/>
    <n v="39"/>
    <s v="month"/>
    <s v=""/>
    <s v="Friday"/>
  </r>
  <r>
    <x v="1933"/>
    <d v="2023-05-12T00:00:00"/>
    <m/>
    <x v="0"/>
    <n v="39"/>
    <s v="month"/>
    <s v=""/>
    <s v="Friday"/>
  </r>
  <r>
    <x v="1934"/>
    <d v="2023-05-12T00:00:00"/>
    <m/>
    <x v="0"/>
    <n v="39"/>
    <s v="month"/>
    <s v=""/>
    <s v="Friday"/>
  </r>
  <r>
    <x v="1935"/>
    <d v="2023-05-12T00:00:00"/>
    <m/>
    <x v="0"/>
    <n v="39"/>
    <s v="month"/>
    <s v=""/>
    <s v="Friday"/>
  </r>
  <r>
    <x v="1936"/>
    <d v="2023-05-12T00:00:00"/>
    <m/>
    <x v="0"/>
    <n v="39"/>
    <s v="month"/>
    <s v=""/>
    <s v="Friday"/>
  </r>
  <r>
    <x v="1937"/>
    <d v="2023-05-12T00:00:00"/>
    <d v="2023-08-14T00:00:00"/>
    <x v="0"/>
    <n v="39"/>
    <s v="month"/>
    <n v="94"/>
    <s v="Friday"/>
  </r>
  <r>
    <x v="1938"/>
    <d v="2023-05-12T00:00:00"/>
    <d v="2023-05-13T00:00:00"/>
    <x v="0"/>
    <n v="39"/>
    <s v="month"/>
    <n v="1"/>
    <s v="Friday"/>
  </r>
  <r>
    <x v="1939"/>
    <d v="2023-05-12T00:00:00"/>
    <d v="2023-06-04T00:00:00"/>
    <x v="0"/>
    <n v="39"/>
    <s v="month"/>
    <n v="23"/>
    <s v="Friday"/>
  </r>
  <r>
    <x v="1940"/>
    <d v="2023-05-12T00:00:00"/>
    <d v="2023-06-19T00:00:00"/>
    <x v="0"/>
    <n v="39"/>
    <s v="month"/>
    <n v="38"/>
    <s v="Friday"/>
  </r>
  <r>
    <x v="1941"/>
    <d v="2023-05-12T00:00:00"/>
    <d v="2023-06-11T00:00:00"/>
    <x v="0"/>
    <n v="39"/>
    <s v="month"/>
    <n v="30"/>
    <s v="Friday"/>
  </r>
  <r>
    <x v="1942"/>
    <d v="2023-05-12T00:00:00"/>
    <d v="2023-06-30T00:00:00"/>
    <x v="0"/>
    <n v="39"/>
    <s v="month"/>
    <n v="49"/>
    <s v="Friday"/>
  </r>
  <r>
    <x v="1943"/>
    <d v="2023-05-13T00:00:00"/>
    <m/>
    <x v="0"/>
    <n v="39"/>
    <s v="month"/>
    <s v=""/>
    <s v="Saturday"/>
  </r>
  <r>
    <x v="1944"/>
    <d v="2023-05-13T00:00:00"/>
    <m/>
    <x v="0"/>
    <n v="39"/>
    <s v="month"/>
    <s v=""/>
    <s v="Saturday"/>
  </r>
  <r>
    <x v="1945"/>
    <d v="2023-05-13T00:00:00"/>
    <m/>
    <x v="0"/>
    <n v="39"/>
    <s v="month"/>
    <s v=""/>
    <s v="Saturday"/>
  </r>
  <r>
    <x v="1946"/>
    <d v="2023-05-14T00:00:00"/>
    <m/>
    <x v="0"/>
    <n v="39"/>
    <s v="month"/>
    <s v=""/>
    <s v="Sunday"/>
  </r>
  <r>
    <x v="1947"/>
    <d v="2023-05-14T00:00:00"/>
    <m/>
    <x v="0"/>
    <n v="39"/>
    <s v="month"/>
    <s v=""/>
    <s v="Sunday"/>
  </r>
  <r>
    <x v="1948"/>
    <d v="2023-05-14T00:00:00"/>
    <d v="2023-05-15T00:00:00"/>
    <x v="0"/>
    <n v="39"/>
    <s v="month"/>
    <n v="1"/>
    <s v="Sunday"/>
  </r>
  <r>
    <x v="1949"/>
    <d v="2023-05-14T00:00:00"/>
    <d v="2023-06-12T00:00:00"/>
    <x v="0"/>
    <n v="39"/>
    <s v="month"/>
    <n v="29"/>
    <s v="Sunday"/>
  </r>
  <r>
    <x v="1907"/>
    <d v="2023-05-14T00:00:00"/>
    <d v="2023-06-20T00:00:00"/>
    <x v="0"/>
    <n v="39"/>
    <s v="month"/>
    <n v="37"/>
    <s v="Sunday"/>
  </r>
  <r>
    <x v="1950"/>
    <d v="2023-05-14T00:00:00"/>
    <d v="2023-07-06T00:00:00"/>
    <x v="0"/>
    <n v="39"/>
    <s v="month"/>
    <n v="53"/>
    <s v="Sunday"/>
  </r>
  <r>
    <x v="1951"/>
    <d v="2023-05-14T00:00:00"/>
    <d v="2023-08-14T00:00:00"/>
    <x v="0"/>
    <n v="39"/>
    <s v="month"/>
    <n v="92"/>
    <s v="Sunday"/>
  </r>
  <r>
    <x v="1952"/>
    <d v="2023-05-14T00:00:00"/>
    <d v="2023-07-21T00:00:00"/>
    <x v="0"/>
    <n v="39"/>
    <s v="month"/>
    <n v="68"/>
    <s v="Sunday"/>
  </r>
  <r>
    <x v="1953"/>
    <d v="2023-05-15T00:00:00"/>
    <d v="2023-07-05T00:00:00"/>
    <x v="0"/>
    <n v="39"/>
    <s v="month"/>
    <n v="51"/>
    <s v="Monday"/>
  </r>
  <r>
    <x v="1954"/>
    <d v="2023-05-15T00:00:00"/>
    <d v="2023-07-12T00:00:00"/>
    <x v="0"/>
    <n v="39"/>
    <s v="month"/>
    <n v="58"/>
    <s v="Monday"/>
  </r>
  <r>
    <x v="1955"/>
    <d v="2023-05-15T00:00:00"/>
    <d v="2023-06-16T00:00:00"/>
    <x v="0"/>
    <n v="39"/>
    <s v="month"/>
    <n v="32"/>
    <s v="Monday"/>
  </r>
  <r>
    <x v="1956"/>
    <d v="2023-05-15T00:00:00"/>
    <d v="2023-08-22T00:00:00"/>
    <x v="0"/>
    <n v="39"/>
    <s v="month"/>
    <n v="99"/>
    <s v="Monday"/>
  </r>
  <r>
    <x v="1957"/>
    <d v="2023-05-16T00:00:00"/>
    <m/>
    <x v="0"/>
    <n v="39"/>
    <s v="month"/>
    <s v=""/>
    <s v="Tuesday"/>
  </r>
  <r>
    <x v="1958"/>
    <d v="2023-05-16T00:00:00"/>
    <m/>
    <x v="0"/>
    <n v="39"/>
    <s v="month"/>
    <s v=""/>
    <s v="Tuesday"/>
  </r>
  <r>
    <x v="1959"/>
    <d v="2023-05-16T00:00:00"/>
    <m/>
    <x v="0"/>
    <n v="39"/>
    <s v="month"/>
    <s v=""/>
    <s v="Tuesday"/>
  </r>
  <r>
    <x v="1960"/>
    <d v="2023-05-16T00:00:00"/>
    <m/>
    <x v="0"/>
    <n v="39"/>
    <s v="month"/>
    <s v=""/>
    <s v="Tuesday"/>
  </r>
  <r>
    <x v="1961"/>
    <d v="2023-05-16T00:00:00"/>
    <d v="2023-08-22T00:00:00"/>
    <x v="0"/>
    <n v="39"/>
    <s v="month"/>
    <n v="98"/>
    <s v="Tuesday"/>
  </r>
  <r>
    <x v="1962"/>
    <d v="2023-05-16T00:00:00"/>
    <d v="2023-05-17T00:00:00"/>
    <x v="0"/>
    <n v="39"/>
    <s v="month"/>
    <n v="1"/>
    <s v="Tuesday"/>
  </r>
  <r>
    <x v="1963"/>
    <d v="2023-05-16T00:00:00"/>
    <d v="2023-06-23T00:00:00"/>
    <x v="0"/>
    <n v="39"/>
    <s v="month"/>
    <n v="38"/>
    <s v="Tuesday"/>
  </r>
  <r>
    <x v="1964"/>
    <d v="2023-05-16T00:00:00"/>
    <d v="2023-05-25T00:00:00"/>
    <x v="0"/>
    <n v="39"/>
    <s v="month"/>
    <n v="9"/>
    <s v="Tuesday"/>
  </r>
  <r>
    <x v="1965"/>
    <d v="2023-05-16T00:00:00"/>
    <d v="2023-07-11T00:00:00"/>
    <x v="0"/>
    <n v="39"/>
    <s v="month"/>
    <n v="56"/>
    <s v="Tuesday"/>
  </r>
  <r>
    <x v="1966"/>
    <d v="2023-05-16T00:00:00"/>
    <d v="2023-08-03T00:00:00"/>
    <x v="0"/>
    <n v="39"/>
    <s v="month"/>
    <n v="79"/>
    <s v="Tuesday"/>
  </r>
  <r>
    <x v="1967"/>
    <d v="2023-05-16T00:00:00"/>
    <d v="2023-08-02T00:00:00"/>
    <x v="0"/>
    <n v="39"/>
    <s v="month"/>
    <n v="78"/>
    <s v="Tuesday"/>
  </r>
  <r>
    <x v="1968"/>
    <d v="2023-05-16T00:00:00"/>
    <d v="2023-06-16T00:00:00"/>
    <x v="0"/>
    <n v="39"/>
    <s v="month"/>
    <n v="31"/>
    <s v="Tuesday"/>
  </r>
  <r>
    <x v="1969"/>
    <d v="2023-05-17T00:00:00"/>
    <m/>
    <x v="0"/>
    <n v="39"/>
    <s v="month"/>
    <s v=""/>
    <s v="Wednesday"/>
  </r>
  <r>
    <x v="1970"/>
    <d v="2023-05-17T00:00:00"/>
    <m/>
    <x v="0"/>
    <n v="39"/>
    <s v="month"/>
    <s v=""/>
    <s v="Wednesday"/>
  </r>
  <r>
    <x v="1971"/>
    <d v="2023-05-17T00:00:00"/>
    <m/>
    <x v="0"/>
    <n v="39"/>
    <s v="month"/>
    <s v=""/>
    <s v="Wednesday"/>
  </r>
  <r>
    <x v="1972"/>
    <d v="2023-05-17T00:00:00"/>
    <m/>
    <x v="0"/>
    <n v="39"/>
    <s v="month"/>
    <s v=""/>
    <s v="Wednesday"/>
  </r>
  <r>
    <x v="1973"/>
    <d v="2023-05-17T00:00:00"/>
    <m/>
    <x v="0"/>
    <n v="39"/>
    <s v="month"/>
    <s v=""/>
    <s v="Wednesday"/>
  </r>
  <r>
    <x v="1974"/>
    <d v="2023-05-17T00:00:00"/>
    <d v="2023-08-10T00:00:00"/>
    <x v="0"/>
    <n v="39"/>
    <s v="month"/>
    <n v="85"/>
    <s v="Wednesday"/>
  </r>
  <r>
    <x v="1975"/>
    <d v="2023-05-17T00:00:00"/>
    <d v="2023-06-24T00:00:00"/>
    <x v="0"/>
    <n v="39"/>
    <s v="month"/>
    <n v="38"/>
    <s v="Wednesday"/>
  </r>
  <r>
    <x v="1976"/>
    <d v="2023-05-17T00:00:00"/>
    <d v="2023-07-21T00:00:00"/>
    <x v="0"/>
    <n v="39"/>
    <s v="month"/>
    <n v="65"/>
    <s v="Wednesday"/>
  </r>
  <r>
    <x v="1977"/>
    <d v="2023-05-17T00:00:00"/>
    <d v="2023-08-01T00:00:00"/>
    <x v="0"/>
    <n v="39"/>
    <s v="month"/>
    <n v="76"/>
    <s v="Wednesday"/>
  </r>
  <r>
    <x v="1978"/>
    <d v="2023-05-18T00:00:00"/>
    <m/>
    <x v="0"/>
    <n v="39"/>
    <s v="month"/>
    <s v=""/>
    <s v="Thursday"/>
  </r>
  <r>
    <x v="498"/>
    <d v="2023-05-18T00:00:00"/>
    <m/>
    <x v="0"/>
    <n v="39"/>
    <s v="month"/>
    <s v=""/>
    <s v="Thursday"/>
  </r>
  <r>
    <x v="1979"/>
    <d v="2023-05-18T00:00:00"/>
    <m/>
    <x v="0"/>
    <n v="39"/>
    <s v="month"/>
    <s v=""/>
    <s v="Thursday"/>
  </r>
  <r>
    <x v="1980"/>
    <d v="2023-05-18T00:00:00"/>
    <m/>
    <x v="0"/>
    <n v="39"/>
    <s v="month"/>
    <s v=""/>
    <s v="Thursday"/>
  </r>
  <r>
    <x v="1981"/>
    <d v="2023-05-18T00:00:00"/>
    <d v="2023-09-06T00:00:00"/>
    <x v="0"/>
    <n v="39"/>
    <s v="month"/>
    <n v="111"/>
    <s v="Thursday"/>
  </r>
  <r>
    <x v="1982"/>
    <d v="2023-05-18T00:00:00"/>
    <d v="2023-05-19T00:00:00"/>
    <x v="1"/>
    <n v="39"/>
    <s v="month"/>
    <n v="1"/>
    <s v="Thursday"/>
  </r>
  <r>
    <x v="1983"/>
    <d v="2023-05-18T00:00:00"/>
    <d v="2023-05-25T00:00:00"/>
    <x v="0"/>
    <n v="39"/>
    <s v="month"/>
    <n v="7"/>
    <s v="Thursday"/>
  </r>
  <r>
    <x v="1984"/>
    <d v="2023-05-18T00:00:00"/>
    <d v="2023-05-31T00:00:00"/>
    <x v="0"/>
    <n v="39"/>
    <s v="month"/>
    <n v="13"/>
    <s v="Thursday"/>
  </r>
  <r>
    <x v="1985"/>
    <d v="2023-05-18T00:00:00"/>
    <d v="2023-06-19T00:00:00"/>
    <x v="0"/>
    <n v="39"/>
    <s v="month"/>
    <n v="32"/>
    <s v="Thursday"/>
  </r>
  <r>
    <x v="1986"/>
    <d v="2023-05-18T00:00:00"/>
    <d v="2023-06-29T00:00:00"/>
    <x v="0"/>
    <n v="39"/>
    <s v="month"/>
    <n v="42"/>
    <s v="Thursday"/>
  </r>
  <r>
    <x v="1987"/>
    <d v="2023-05-18T00:00:00"/>
    <d v="2023-06-18T00:00:00"/>
    <x v="0"/>
    <n v="39"/>
    <s v="month"/>
    <n v="31"/>
    <s v="Thursday"/>
  </r>
  <r>
    <x v="1988"/>
    <d v="2023-05-19T00:00:00"/>
    <m/>
    <x v="0"/>
    <n v="39"/>
    <s v="month"/>
    <s v=""/>
    <s v="Friday"/>
  </r>
  <r>
    <x v="1989"/>
    <d v="2023-05-19T00:00:00"/>
    <d v="2023-05-20T00:00:00"/>
    <x v="0"/>
    <n v="39"/>
    <s v="month"/>
    <n v="1"/>
    <s v="Friday"/>
  </r>
  <r>
    <x v="1990"/>
    <d v="2023-05-19T00:00:00"/>
    <d v="2023-06-18T00:00:00"/>
    <x v="0"/>
    <n v="39"/>
    <s v="month"/>
    <n v="30"/>
    <s v="Friday"/>
  </r>
  <r>
    <x v="1991"/>
    <d v="2023-05-19T00:00:00"/>
    <d v="2023-06-26T00:00:00"/>
    <x v="0"/>
    <n v="39"/>
    <s v="month"/>
    <n v="38"/>
    <s v="Friday"/>
  </r>
  <r>
    <x v="1992"/>
    <d v="2023-05-19T00:00:00"/>
    <d v="2023-06-26T00:00:00"/>
    <x v="0"/>
    <n v="39"/>
    <s v="month"/>
    <n v="38"/>
    <s v="Friday"/>
  </r>
  <r>
    <x v="1993"/>
    <d v="2023-05-19T00:00:00"/>
    <d v="2023-06-14T00:00:00"/>
    <x v="0"/>
    <n v="39"/>
    <s v="month"/>
    <n v="26"/>
    <s v="Friday"/>
  </r>
  <r>
    <x v="1994"/>
    <d v="2023-05-19T00:00:00"/>
    <d v="2023-05-27T00:00:00"/>
    <x v="0"/>
    <n v="39"/>
    <s v="month"/>
    <n v="8"/>
    <s v="Friday"/>
  </r>
  <r>
    <x v="1995"/>
    <d v="2023-05-19T00:00:00"/>
    <d v="2023-08-26T00:00:00"/>
    <x v="0"/>
    <n v="39"/>
    <s v="month"/>
    <n v="99"/>
    <s v="Friday"/>
  </r>
  <r>
    <x v="1996"/>
    <d v="2023-05-19T00:00:00"/>
    <d v="2023-07-18T00:00:00"/>
    <x v="0"/>
    <n v="39"/>
    <s v="month"/>
    <n v="60"/>
    <s v="Friday"/>
  </r>
  <r>
    <x v="1997"/>
    <d v="2023-05-19T00:00:00"/>
    <d v="2023-07-14T00:00:00"/>
    <x v="0"/>
    <n v="39"/>
    <s v="month"/>
    <n v="56"/>
    <s v="Friday"/>
  </r>
  <r>
    <x v="1998"/>
    <d v="2023-05-20T00:00:00"/>
    <m/>
    <x v="0"/>
    <n v="39"/>
    <s v="month"/>
    <s v=""/>
    <s v="Saturday"/>
  </r>
  <r>
    <x v="1999"/>
    <d v="2023-05-20T00:00:00"/>
    <d v="2023-06-27T00:00:00"/>
    <x v="0"/>
    <n v="39"/>
    <s v="month"/>
    <n v="38"/>
    <s v="Saturday"/>
  </r>
  <r>
    <x v="2000"/>
    <d v="2023-05-20T00:00:00"/>
    <d v="2023-06-21T00:00:00"/>
    <x v="0"/>
    <n v="39"/>
    <s v="month"/>
    <n v="32"/>
    <s v="Saturday"/>
  </r>
  <r>
    <x v="2001"/>
    <d v="2023-05-21T00:00:00"/>
    <m/>
    <x v="0"/>
    <n v="39"/>
    <s v="month"/>
    <s v=""/>
    <s v="Sunday"/>
  </r>
  <r>
    <x v="23"/>
    <d v="2023-05-21T00:00:00"/>
    <m/>
    <x v="0"/>
    <n v="39"/>
    <s v="month"/>
    <s v=""/>
    <s v="Sunday"/>
  </r>
  <r>
    <x v="2002"/>
    <d v="2023-05-21T00:00:00"/>
    <d v="2023-05-22T00:00:00"/>
    <x v="0"/>
    <n v="39"/>
    <s v="month"/>
    <n v="1"/>
    <s v="Sunday"/>
  </r>
  <r>
    <x v="2003"/>
    <d v="2023-05-21T00:00:00"/>
    <d v="2023-05-22T00:00:00"/>
    <x v="0"/>
    <n v="39"/>
    <s v="month"/>
    <n v="1"/>
    <s v="Sunday"/>
  </r>
  <r>
    <x v="2004"/>
    <d v="2023-05-21T00:00:00"/>
    <d v="2023-05-21T00:00:00"/>
    <x v="0"/>
    <n v="39"/>
    <s v="month"/>
    <n v="0"/>
    <s v="Sunday"/>
  </r>
  <r>
    <x v="2005"/>
    <d v="2023-05-21T00:00:00"/>
    <d v="2023-05-22T00:00:00"/>
    <x v="1"/>
    <n v="39"/>
    <s v="month"/>
    <n v="1"/>
    <s v="Sunday"/>
  </r>
  <r>
    <x v="2006"/>
    <d v="2023-05-21T00:00:00"/>
    <d v="2023-05-21T00:00:00"/>
    <x v="0"/>
    <n v="39"/>
    <s v="month"/>
    <n v="0"/>
    <s v="Sunday"/>
  </r>
  <r>
    <x v="2007"/>
    <d v="2023-05-21T00:00:00"/>
    <d v="2023-07-20T00:00:00"/>
    <x v="0"/>
    <n v="39"/>
    <s v="month"/>
    <n v="60"/>
    <s v="Sunday"/>
  </r>
  <r>
    <x v="2008"/>
    <d v="2023-05-22T00:00:00"/>
    <m/>
    <x v="0"/>
    <n v="39"/>
    <s v="month"/>
    <s v=""/>
    <s v="Monday"/>
  </r>
  <r>
    <x v="2009"/>
    <d v="2023-05-22T00:00:00"/>
    <m/>
    <x v="0"/>
    <n v="39"/>
    <s v="month"/>
    <s v=""/>
    <s v="Monday"/>
  </r>
  <r>
    <x v="2010"/>
    <d v="2023-05-22T00:00:00"/>
    <m/>
    <x v="0"/>
    <n v="39"/>
    <s v="month"/>
    <s v=""/>
    <s v="Monday"/>
  </r>
  <r>
    <x v="2011"/>
    <d v="2023-05-22T00:00:00"/>
    <m/>
    <x v="0"/>
    <n v="39"/>
    <s v="month"/>
    <s v=""/>
    <s v="Monday"/>
  </r>
  <r>
    <x v="2012"/>
    <d v="2023-05-22T00:00:00"/>
    <m/>
    <x v="0"/>
    <n v="39"/>
    <s v="month"/>
    <s v=""/>
    <s v="Monday"/>
  </r>
  <r>
    <x v="2013"/>
    <d v="2023-05-22T00:00:00"/>
    <d v="2023-05-23T00:00:00"/>
    <x v="1"/>
    <n v="39"/>
    <s v="month"/>
    <n v="1"/>
    <s v="Monday"/>
  </r>
  <r>
    <x v="2014"/>
    <d v="2023-05-22T00:00:00"/>
    <d v="2023-08-21T00:00:00"/>
    <x v="0"/>
    <n v="39"/>
    <s v="month"/>
    <n v="91"/>
    <s v="Monday"/>
  </r>
  <r>
    <x v="2015"/>
    <d v="2023-05-23T00:00:00"/>
    <m/>
    <x v="0"/>
    <n v="39"/>
    <s v="month"/>
    <s v=""/>
    <s v="Tuesday"/>
  </r>
  <r>
    <x v="2016"/>
    <d v="2023-05-23T00:00:00"/>
    <d v="2023-05-24T00:00:00"/>
    <x v="0"/>
    <n v="39"/>
    <s v="month"/>
    <n v="1"/>
    <s v="Tuesday"/>
  </r>
  <r>
    <x v="2017"/>
    <d v="2023-05-23T00:00:00"/>
    <d v="2023-07-20T00:00:00"/>
    <x v="0"/>
    <n v="39"/>
    <s v="month"/>
    <n v="58"/>
    <s v="Tuesday"/>
  </r>
  <r>
    <x v="2018"/>
    <d v="2023-05-23T00:00:00"/>
    <d v="2023-07-08T00:00:00"/>
    <x v="0"/>
    <n v="39"/>
    <s v="month"/>
    <n v="46"/>
    <s v="Tuesday"/>
  </r>
  <r>
    <x v="2019"/>
    <d v="2023-05-23T00:00:00"/>
    <d v="2023-06-26T00:00:00"/>
    <x v="0"/>
    <n v="39"/>
    <s v="month"/>
    <n v="34"/>
    <s v="Tuesday"/>
  </r>
  <r>
    <x v="2020"/>
    <d v="2023-05-23T00:00:00"/>
    <d v="2023-06-21T00:00:00"/>
    <x v="0"/>
    <n v="39"/>
    <s v="month"/>
    <n v="29"/>
    <s v="Tuesday"/>
  </r>
  <r>
    <x v="2021"/>
    <d v="2023-05-23T00:00:00"/>
    <d v="2023-06-26T00:00:00"/>
    <x v="0"/>
    <n v="39"/>
    <s v="month"/>
    <n v="34"/>
    <s v="Tuesday"/>
  </r>
  <r>
    <x v="2022"/>
    <d v="2023-05-24T00:00:00"/>
    <m/>
    <x v="0"/>
    <n v="39"/>
    <s v="month"/>
    <s v=""/>
    <s v="Wednesday"/>
  </r>
  <r>
    <x v="2023"/>
    <d v="2023-05-24T00:00:00"/>
    <d v="2023-07-09T00:00:00"/>
    <x v="0"/>
    <n v="39"/>
    <s v="month"/>
    <n v="46"/>
    <s v="Wednesday"/>
  </r>
  <r>
    <x v="1918"/>
    <d v="2023-05-24T00:00:00"/>
    <d v="2023-06-27T00:00:00"/>
    <x v="0"/>
    <n v="39"/>
    <s v="month"/>
    <n v="34"/>
    <s v="Wednesday"/>
  </r>
  <r>
    <x v="2024"/>
    <d v="2023-05-24T00:00:00"/>
    <d v="2023-05-24T00:00:00"/>
    <x v="0"/>
    <n v="39"/>
    <s v="month"/>
    <n v="0"/>
    <s v="Wednesday"/>
  </r>
  <r>
    <x v="2025"/>
    <d v="2023-05-25T00:00:00"/>
    <m/>
    <x v="0"/>
    <n v="39"/>
    <s v="month"/>
    <s v=""/>
    <s v="Thursday"/>
  </r>
  <r>
    <x v="2026"/>
    <d v="2023-05-25T00:00:00"/>
    <m/>
    <x v="0"/>
    <n v="39"/>
    <s v="month"/>
    <s v=""/>
    <s v="Thursday"/>
  </r>
  <r>
    <x v="2027"/>
    <d v="2023-05-25T00:00:00"/>
    <m/>
    <x v="0"/>
    <n v="39"/>
    <s v="month"/>
    <s v=""/>
    <s v="Thursday"/>
  </r>
  <r>
    <x v="2028"/>
    <d v="2023-05-25T00:00:00"/>
    <m/>
    <x v="0"/>
    <n v="39"/>
    <s v="month"/>
    <s v=""/>
    <s v="Thursday"/>
  </r>
  <r>
    <x v="2029"/>
    <d v="2023-05-25T00:00:00"/>
    <d v="2023-05-26T00:00:00"/>
    <x v="1"/>
    <n v="39"/>
    <s v="month"/>
    <n v="1"/>
    <s v="Thursday"/>
  </r>
  <r>
    <x v="2030"/>
    <d v="2023-05-25T00:00:00"/>
    <d v="2023-05-26T00:00:00"/>
    <x v="0"/>
    <n v="39"/>
    <s v="month"/>
    <n v="1"/>
    <s v="Thursday"/>
  </r>
  <r>
    <x v="2031"/>
    <d v="2023-05-25T00:00:00"/>
    <d v="2023-06-19T00:00:00"/>
    <x v="0"/>
    <n v="39"/>
    <s v="month"/>
    <n v="25"/>
    <s v="Thursday"/>
  </r>
  <r>
    <x v="2032"/>
    <d v="2023-05-25T00:00:00"/>
    <d v="2023-06-29T00:00:00"/>
    <x v="0"/>
    <n v="39"/>
    <s v="month"/>
    <n v="35"/>
    <s v="Thursday"/>
  </r>
  <r>
    <x v="1938"/>
    <d v="2023-05-25T00:00:00"/>
    <d v="2023-07-02T00:00:00"/>
    <x v="0"/>
    <n v="39"/>
    <s v="month"/>
    <n v="38"/>
    <s v="Thursday"/>
  </r>
  <r>
    <x v="2033"/>
    <d v="2023-05-25T00:00:00"/>
    <d v="2023-06-15T00:00:00"/>
    <x v="0"/>
    <n v="39"/>
    <s v="month"/>
    <n v="21"/>
    <s v="Thursday"/>
  </r>
  <r>
    <x v="2034"/>
    <d v="2023-05-25T00:00:00"/>
    <d v="2023-08-17T00:00:00"/>
    <x v="0"/>
    <n v="39"/>
    <s v="month"/>
    <n v="84"/>
    <s v="Thursday"/>
  </r>
  <r>
    <x v="2035"/>
    <d v="2023-05-25T00:00:00"/>
    <d v="2023-08-25T00:00:00"/>
    <x v="0"/>
    <n v="39"/>
    <s v="month"/>
    <n v="92"/>
    <s v="Thursday"/>
  </r>
  <r>
    <x v="2036"/>
    <d v="2023-05-26T00:00:00"/>
    <m/>
    <x v="0"/>
    <n v="39"/>
    <s v="month"/>
    <s v=""/>
    <s v="Friday"/>
  </r>
  <r>
    <x v="2037"/>
    <d v="2023-05-26T00:00:00"/>
    <m/>
    <x v="0"/>
    <n v="39"/>
    <s v="month"/>
    <s v=""/>
    <s v="Friday"/>
  </r>
  <r>
    <x v="2038"/>
    <d v="2023-05-26T00:00:00"/>
    <m/>
    <x v="0"/>
    <n v="39"/>
    <s v="month"/>
    <s v=""/>
    <s v="Friday"/>
  </r>
  <r>
    <x v="2039"/>
    <d v="2023-05-26T00:00:00"/>
    <d v="2023-05-27T00:00:00"/>
    <x v="1"/>
    <n v="39"/>
    <s v="month"/>
    <n v="1"/>
    <s v="Friday"/>
  </r>
  <r>
    <x v="2040"/>
    <d v="2023-05-26T00:00:00"/>
    <d v="2023-06-27T00:00:00"/>
    <x v="0"/>
    <n v="39"/>
    <s v="month"/>
    <n v="32"/>
    <s v="Friday"/>
  </r>
  <r>
    <x v="2041"/>
    <d v="2023-05-26T00:00:00"/>
    <d v="2023-06-17T00:00:00"/>
    <x v="0"/>
    <n v="39"/>
    <s v="month"/>
    <n v="22"/>
    <s v="Friday"/>
  </r>
  <r>
    <x v="2042"/>
    <d v="2023-05-26T00:00:00"/>
    <d v="2023-06-18T00:00:00"/>
    <x v="0"/>
    <n v="39"/>
    <s v="month"/>
    <n v="23"/>
    <s v="Friday"/>
  </r>
  <r>
    <x v="2043"/>
    <d v="2023-05-26T00:00:00"/>
    <d v="2023-06-11T00:00:00"/>
    <x v="0"/>
    <n v="39"/>
    <s v="month"/>
    <n v="16"/>
    <s v="Friday"/>
  </r>
  <r>
    <x v="2004"/>
    <d v="2023-05-26T00:00:00"/>
    <d v="2023-06-10T00:00:00"/>
    <x v="0"/>
    <n v="39"/>
    <s v="month"/>
    <n v="15"/>
    <s v="Friday"/>
  </r>
  <r>
    <x v="2044"/>
    <d v="2023-05-26T00:00:00"/>
    <d v="2023-09-02T00:00:00"/>
    <x v="0"/>
    <n v="39"/>
    <s v="month"/>
    <n v="99"/>
    <s v="Friday"/>
  </r>
  <r>
    <x v="2045"/>
    <d v="2023-05-26T00:00:00"/>
    <d v="2023-07-04T00:00:00"/>
    <x v="0"/>
    <n v="39"/>
    <s v="month"/>
    <n v="39"/>
    <s v="Friday"/>
  </r>
  <r>
    <x v="2046"/>
    <d v="2023-05-26T00:00:00"/>
    <d v="2023-06-27T00:00:00"/>
    <x v="0"/>
    <n v="39"/>
    <s v="month"/>
    <n v="32"/>
    <s v="Friday"/>
  </r>
  <r>
    <x v="2047"/>
    <d v="2023-05-26T00:00:00"/>
    <d v="2023-07-25T00:00:00"/>
    <x v="0"/>
    <n v="39"/>
    <s v="month"/>
    <n v="60"/>
    <s v="Friday"/>
  </r>
  <r>
    <x v="2048"/>
    <d v="2023-05-26T00:00:00"/>
    <d v="2023-07-26T00:00:00"/>
    <x v="0"/>
    <n v="39"/>
    <s v="month"/>
    <n v="61"/>
    <s v="Friday"/>
  </r>
  <r>
    <x v="2049"/>
    <d v="2023-05-26T00:00:00"/>
    <d v="2023-07-26T00:00:00"/>
    <x v="0"/>
    <n v="39"/>
    <s v="month"/>
    <n v="61"/>
    <s v="Friday"/>
  </r>
  <r>
    <x v="813"/>
    <d v="2023-05-27T00:00:00"/>
    <m/>
    <x v="0"/>
    <n v="39"/>
    <s v="month"/>
    <s v=""/>
    <s v="Saturday"/>
  </r>
  <r>
    <x v="2050"/>
    <d v="2023-05-27T00:00:00"/>
    <m/>
    <x v="0"/>
    <n v="39"/>
    <s v="month"/>
    <s v=""/>
    <s v="Saturday"/>
  </r>
  <r>
    <x v="2051"/>
    <d v="2023-05-27T00:00:00"/>
    <m/>
    <x v="0"/>
    <n v="39"/>
    <s v="month"/>
    <s v=""/>
    <s v="Saturday"/>
  </r>
  <r>
    <x v="2052"/>
    <d v="2023-05-27T00:00:00"/>
    <d v="2023-08-03T00:00:00"/>
    <x v="0"/>
    <n v="39"/>
    <s v="month"/>
    <n v="68"/>
    <s v="Saturday"/>
  </r>
  <r>
    <x v="2053"/>
    <d v="2023-05-27T00:00:00"/>
    <d v="2023-06-03T00:00:00"/>
    <x v="0"/>
    <n v="39"/>
    <s v="month"/>
    <n v="7"/>
    <s v="Saturday"/>
  </r>
  <r>
    <x v="2054"/>
    <d v="2023-05-27T00:00:00"/>
    <d v="2023-06-08T00:00:00"/>
    <x v="0"/>
    <n v="39"/>
    <s v="month"/>
    <n v="12"/>
    <s v="Saturday"/>
  </r>
  <r>
    <x v="2055"/>
    <d v="2023-05-27T00:00:00"/>
    <d v="2023-07-04T00:00:00"/>
    <x v="0"/>
    <n v="39"/>
    <s v="month"/>
    <n v="38"/>
    <s v="Saturday"/>
  </r>
  <r>
    <x v="2056"/>
    <d v="2023-05-27T00:00:00"/>
    <d v="2023-07-04T00:00:00"/>
    <x v="0"/>
    <n v="39"/>
    <s v="month"/>
    <n v="38"/>
    <s v="Saturday"/>
  </r>
  <r>
    <x v="2057"/>
    <d v="2023-05-27T00:00:00"/>
    <d v="2023-07-26T00:00:00"/>
    <x v="0"/>
    <n v="39"/>
    <s v="month"/>
    <n v="60"/>
    <s v="Saturday"/>
  </r>
  <r>
    <x v="2058"/>
    <d v="2023-05-27T00:00:00"/>
    <d v="2023-09-03T00:00:00"/>
    <x v="0"/>
    <n v="39"/>
    <s v="month"/>
    <n v="99"/>
    <s v="Saturday"/>
  </r>
  <r>
    <x v="1784"/>
    <d v="2023-05-28T00:00:00"/>
    <m/>
    <x v="0"/>
    <n v="39"/>
    <s v="month"/>
    <s v=""/>
    <s v="Sunday"/>
  </r>
  <r>
    <x v="2059"/>
    <d v="2023-05-28T00:00:00"/>
    <m/>
    <x v="0"/>
    <n v="39"/>
    <s v="month"/>
    <s v=""/>
    <s v="Sunday"/>
  </r>
  <r>
    <x v="2060"/>
    <d v="2023-05-28T00:00:00"/>
    <m/>
    <x v="0"/>
    <n v="39"/>
    <s v="month"/>
    <s v=""/>
    <s v="Sunday"/>
  </r>
  <r>
    <x v="222"/>
    <d v="2023-05-29T00:00:00"/>
    <m/>
    <x v="0"/>
    <n v="39"/>
    <s v="month"/>
    <s v=""/>
    <s v="Monday"/>
  </r>
  <r>
    <x v="2061"/>
    <d v="2023-05-29T00:00:00"/>
    <m/>
    <x v="0"/>
    <n v="39"/>
    <s v="month"/>
    <s v=""/>
    <s v="Monday"/>
  </r>
  <r>
    <x v="2062"/>
    <d v="2023-05-29T00:00:00"/>
    <m/>
    <x v="0"/>
    <n v="39"/>
    <s v="month"/>
    <s v=""/>
    <s v="Monday"/>
  </r>
  <r>
    <x v="2063"/>
    <d v="2023-05-29T00:00:00"/>
    <d v="2023-08-28T00:00:00"/>
    <x v="0"/>
    <n v="39"/>
    <s v="month"/>
    <n v="91"/>
    <s v="Monday"/>
  </r>
  <r>
    <x v="2064"/>
    <d v="2023-05-29T00:00:00"/>
    <d v="2023-07-03T00:00:00"/>
    <x v="0"/>
    <n v="39"/>
    <s v="month"/>
    <n v="35"/>
    <s v="Monday"/>
  </r>
  <r>
    <x v="2065"/>
    <d v="2023-05-30T00:00:00"/>
    <m/>
    <x v="0"/>
    <n v="39"/>
    <s v="month"/>
    <s v=""/>
    <s v="Tuesday"/>
  </r>
  <r>
    <x v="2066"/>
    <d v="2023-05-30T00:00:00"/>
    <m/>
    <x v="0"/>
    <n v="39"/>
    <s v="month"/>
    <s v=""/>
    <s v="Tuesday"/>
  </r>
  <r>
    <x v="2067"/>
    <d v="2023-05-30T00:00:00"/>
    <m/>
    <x v="0"/>
    <n v="39"/>
    <s v="month"/>
    <s v=""/>
    <s v="Tuesday"/>
  </r>
  <r>
    <x v="2068"/>
    <d v="2023-05-30T00:00:00"/>
    <m/>
    <x v="0"/>
    <n v="39"/>
    <s v="month"/>
    <s v=""/>
    <s v="Tuesday"/>
  </r>
  <r>
    <x v="2069"/>
    <d v="2023-05-30T00:00:00"/>
    <m/>
    <x v="0"/>
    <n v="39"/>
    <s v="month"/>
    <s v=""/>
    <s v="Tuesday"/>
  </r>
  <r>
    <x v="2070"/>
    <d v="2023-05-30T00:00:00"/>
    <d v="2023-09-03T00:00:00"/>
    <x v="0"/>
    <n v="39"/>
    <s v="month"/>
    <n v="96"/>
    <s v="Tuesday"/>
  </r>
  <r>
    <x v="2071"/>
    <d v="2023-05-30T00:00:00"/>
    <d v="2023-05-31T00:00:00"/>
    <x v="0"/>
    <n v="39"/>
    <s v="month"/>
    <n v="1"/>
    <s v="Tuesday"/>
  </r>
  <r>
    <x v="2072"/>
    <d v="2023-05-30T00:00:00"/>
    <d v="2023-06-28T00:00:00"/>
    <x v="0"/>
    <n v="39"/>
    <s v="month"/>
    <n v="29"/>
    <s v="Tuesday"/>
  </r>
  <r>
    <x v="2073"/>
    <d v="2023-05-30T00:00:00"/>
    <d v="2023-06-30T00:00:00"/>
    <x v="0"/>
    <n v="39"/>
    <s v="month"/>
    <n v="31"/>
    <s v="Tuesday"/>
  </r>
  <r>
    <x v="2074"/>
    <d v="2023-05-30T00:00:00"/>
    <d v="2023-06-04T00:00:00"/>
    <x v="0"/>
    <n v="39"/>
    <s v="month"/>
    <n v="5"/>
    <s v="Tuesday"/>
  </r>
  <r>
    <x v="2075"/>
    <d v="2023-05-30T00:00:00"/>
    <d v="2023-07-07T00:00:00"/>
    <x v="0"/>
    <n v="39"/>
    <s v="month"/>
    <n v="38"/>
    <s v="Tuesday"/>
  </r>
  <r>
    <x v="2076"/>
    <d v="2023-05-30T00:00:00"/>
    <d v="2023-08-02T00:00:00"/>
    <x v="0"/>
    <n v="39"/>
    <s v="month"/>
    <n v="64"/>
    <s v="Tuesday"/>
  </r>
  <r>
    <x v="2077"/>
    <d v="2023-05-30T00:00:00"/>
    <d v="2023-07-30T00:00:00"/>
    <x v="0"/>
    <n v="39"/>
    <s v="month"/>
    <n v="61"/>
    <s v="Tuesday"/>
  </r>
  <r>
    <x v="2078"/>
    <d v="2023-05-30T00:00:00"/>
    <d v="2023-08-08T00:00:00"/>
    <x v="0"/>
    <n v="39"/>
    <s v="month"/>
    <n v="70"/>
    <s v="Tuesday"/>
  </r>
  <r>
    <x v="2079"/>
    <d v="2023-05-30T00:00:00"/>
    <d v="2023-07-11T00:00:00"/>
    <x v="0"/>
    <n v="39"/>
    <s v="month"/>
    <n v="42"/>
    <s v="Tuesday"/>
  </r>
  <r>
    <x v="2080"/>
    <d v="2023-05-30T00:00:00"/>
    <d v="2023-08-29T00:00:00"/>
    <x v="0"/>
    <n v="39"/>
    <s v="month"/>
    <n v="91"/>
    <s v="Tuesday"/>
  </r>
  <r>
    <x v="2081"/>
    <d v="2023-05-31T00:00:00"/>
    <m/>
    <x v="0"/>
    <n v="39"/>
    <s v="month"/>
    <s v=""/>
    <s v="Wednesday"/>
  </r>
  <r>
    <x v="2082"/>
    <d v="2023-05-31T00:00:00"/>
    <m/>
    <x v="0"/>
    <n v="39"/>
    <s v="month"/>
    <s v=""/>
    <s v="Wednesday"/>
  </r>
  <r>
    <x v="2083"/>
    <d v="2023-05-31T00:00:00"/>
    <m/>
    <x v="0"/>
    <n v="39"/>
    <s v="month"/>
    <s v=""/>
    <s v="Wednesday"/>
  </r>
  <r>
    <x v="211"/>
    <d v="2023-05-31T00:00:00"/>
    <m/>
    <x v="0"/>
    <n v="39"/>
    <s v="month"/>
    <s v=""/>
    <s v="Wednesday"/>
  </r>
  <r>
    <x v="2084"/>
    <d v="2023-05-31T00:00:00"/>
    <m/>
    <x v="0"/>
    <n v="39"/>
    <s v="month"/>
    <s v=""/>
    <s v="Wednesday"/>
  </r>
  <r>
    <x v="2085"/>
    <d v="2023-05-31T00:00:00"/>
    <m/>
    <x v="0"/>
    <n v="39"/>
    <s v="month"/>
    <s v=""/>
    <s v="Wednesday"/>
  </r>
  <r>
    <x v="1506"/>
    <d v="2023-05-31T00:00:00"/>
    <m/>
    <x v="0"/>
    <n v="39"/>
    <s v="month"/>
    <s v=""/>
    <s v="Wednesday"/>
  </r>
  <r>
    <x v="2086"/>
    <d v="2023-05-31T00:00:00"/>
    <m/>
    <x v="0"/>
    <n v="39"/>
    <s v="month"/>
    <s v=""/>
    <s v="Wednesday"/>
  </r>
  <r>
    <x v="2087"/>
    <d v="2023-05-31T00:00:00"/>
    <d v="2023-08-31T00:00:00"/>
    <x v="0"/>
    <n v="39"/>
    <s v="month"/>
    <n v="92"/>
    <s v="Wednesday"/>
  </r>
  <r>
    <x v="2088"/>
    <d v="2023-05-31T00:00:00"/>
    <d v="2023-06-15T00:00:00"/>
    <x v="0"/>
    <n v="39"/>
    <s v="month"/>
    <n v="15"/>
    <s v="Wednesday"/>
  </r>
  <r>
    <x v="681"/>
    <d v="2023-05-31T00:00:00"/>
    <d v="2023-09-03T00:00:00"/>
    <x v="0"/>
    <n v="39"/>
    <s v="month"/>
    <n v="95"/>
    <s v="Wednesday"/>
  </r>
  <r>
    <x v="2089"/>
    <d v="2023-05-31T00:00:00"/>
    <d v="2023-07-02T00:00:00"/>
    <x v="0"/>
    <n v="39"/>
    <s v="month"/>
    <n v="32"/>
    <s v="Wednesday"/>
  </r>
  <r>
    <x v="2090"/>
    <d v="2023-05-31T00:00:00"/>
    <d v="2023-07-07T00:00:00"/>
    <x v="0"/>
    <n v="39"/>
    <s v="month"/>
    <n v="37"/>
    <s v="Wednesday"/>
  </r>
  <r>
    <x v="2091"/>
    <d v="2023-05-31T00:00:00"/>
    <d v="2023-06-21T00:00:00"/>
    <x v="0"/>
    <n v="39"/>
    <s v="month"/>
    <n v="21"/>
    <s v="Wednesday"/>
  </r>
  <r>
    <x v="2092"/>
    <d v="2023-05-31T00:00:00"/>
    <d v="2023-06-29T00:00:00"/>
    <x v="0"/>
    <n v="39"/>
    <s v="month"/>
    <n v="29"/>
    <s v="Wednesday"/>
  </r>
  <r>
    <x v="2093"/>
    <d v="2023-05-31T00:00:00"/>
    <d v="2023-09-07T00:00:00"/>
    <x v="0"/>
    <n v="39"/>
    <s v="month"/>
    <n v="99"/>
    <s v="Wednesday"/>
  </r>
  <r>
    <x v="2094"/>
    <d v="2023-06-01T00:00:00"/>
    <m/>
    <x v="0"/>
    <n v="39"/>
    <s v="month"/>
    <s v=""/>
    <s v="Thursday"/>
  </r>
  <r>
    <x v="2095"/>
    <d v="2023-06-01T00:00:00"/>
    <m/>
    <x v="0"/>
    <n v="39"/>
    <s v="month"/>
    <s v=""/>
    <s v="Thursday"/>
  </r>
  <r>
    <x v="2096"/>
    <d v="2023-06-01T00:00:00"/>
    <m/>
    <x v="0"/>
    <n v="39"/>
    <s v="month"/>
    <s v=""/>
    <s v="Thursday"/>
  </r>
  <r>
    <x v="2097"/>
    <d v="2023-06-01T00:00:00"/>
    <m/>
    <x v="0"/>
    <n v="39"/>
    <s v="month"/>
    <s v=""/>
    <s v="Thursday"/>
  </r>
  <r>
    <x v="2098"/>
    <d v="2023-06-01T00:00:00"/>
    <d v="2023-09-06T00:00:00"/>
    <x v="0"/>
    <n v="39"/>
    <s v="month"/>
    <n v="97"/>
    <s v="Thursday"/>
  </r>
  <r>
    <x v="2099"/>
    <d v="2023-06-01T00:00:00"/>
    <d v="2023-06-11T00:00:00"/>
    <x v="0"/>
    <n v="39"/>
    <s v="month"/>
    <n v="10"/>
    <s v="Thursday"/>
  </r>
  <r>
    <x v="2100"/>
    <d v="2023-06-01T00:00:00"/>
    <d v="2023-07-08T00:00:00"/>
    <x v="0"/>
    <n v="39"/>
    <s v="month"/>
    <n v="37"/>
    <s v="Thursday"/>
  </r>
  <r>
    <x v="2101"/>
    <d v="2023-06-01T00:00:00"/>
    <d v="2023-07-04T00:00:00"/>
    <x v="0"/>
    <n v="39"/>
    <s v="month"/>
    <n v="33"/>
    <s v="Thursday"/>
  </r>
  <r>
    <x v="2102"/>
    <d v="2023-06-01T00:00:00"/>
    <d v="2023-06-14T00:00:00"/>
    <x v="0"/>
    <n v="39"/>
    <s v="month"/>
    <n v="13"/>
    <s v="Thursday"/>
  </r>
  <r>
    <x v="2103"/>
    <d v="2023-06-01T00:00:00"/>
    <d v="2023-07-01T00:00:00"/>
    <x v="0"/>
    <n v="39"/>
    <s v="month"/>
    <n v="30"/>
    <s v="Thursday"/>
  </r>
  <r>
    <x v="2104"/>
    <d v="2023-06-01T00:00:00"/>
    <d v="2023-08-01T00:00:00"/>
    <x v="0"/>
    <n v="39"/>
    <s v="month"/>
    <n v="61"/>
    <s v="Thursday"/>
  </r>
  <r>
    <x v="2105"/>
    <d v="2023-06-02T00:00:00"/>
    <m/>
    <x v="0"/>
    <n v="39"/>
    <s v="month"/>
    <s v=""/>
    <s v="Friday"/>
  </r>
  <r>
    <x v="492"/>
    <d v="2023-06-02T00:00:00"/>
    <m/>
    <x v="0"/>
    <n v="39"/>
    <s v="month"/>
    <s v=""/>
    <s v="Friday"/>
  </r>
  <r>
    <x v="2106"/>
    <d v="2023-06-02T00:00:00"/>
    <d v="2023-09-04T00:00:00"/>
    <x v="0"/>
    <n v="39"/>
    <s v="month"/>
    <n v="94"/>
    <s v="Friday"/>
  </r>
  <r>
    <x v="2107"/>
    <d v="2023-06-02T00:00:00"/>
    <d v="2023-06-29T00:00:00"/>
    <x v="0"/>
    <n v="39"/>
    <s v="month"/>
    <n v="27"/>
    <s v="Friday"/>
  </r>
  <r>
    <x v="2108"/>
    <d v="2023-06-02T00:00:00"/>
    <d v="2023-07-02T00:00:00"/>
    <x v="0"/>
    <n v="39"/>
    <s v="month"/>
    <n v="30"/>
    <s v="Friday"/>
  </r>
  <r>
    <x v="2109"/>
    <d v="2023-06-02T00:00:00"/>
    <d v="2023-06-27T00:00:00"/>
    <x v="0"/>
    <n v="39"/>
    <s v="month"/>
    <n v="25"/>
    <s v="Friday"/>
  </r>
  <r>
    <x v="2110"/>
    <d v="2023-06-02T00:00:00"/>
    <d v="2023-07-14T00:00:00"/>
    <x v="0"/>
    <n v="39"/>
    <s v="month"/>
    <n v="42"/>
    <s v="Friday"/>
  </r>
  <r>
    <x v="2111"/>
    <d v="2023-06-03T00:00:00"/>
    <m/>
    <x v="0"/>
    <n v="39"/>
    <s v="month"/>
    <s v=""/>
    <s v="Saturday"/>
  </r>
  <r>
    <x v="1759"/>
    <d v="2023-06-03T00:00:00"/>
    <m/>
    <x v="0"/>
    <n v="39"/>
    <s v="month"/>
    <s v=""/>
    <s v="Saturday"/>
  </r>
  <r>
    <x v="333"/>
    <d v="2023-06-03T00:00:00"/>
    <m/>
    <x v="0"/>
    <n v="39"/>
    <s v="month"/>
    <s v=""/>
    <s v="Saturday"/>
  </r>
  <r>
    <x v="2112"/>
    <d v="2023-06-03T00:00:00"/>
    <d v="2023-06-04T00:00:00"/>
    <x v="1"/>
    <n v="39"/>
    <s v="month"/>
    <n v="1"/>
    <s v="Saturday"/>
  </r>
  <r>
    <x v="2113"/>
    <d v="2023-06-03T00:00:00"/>
    <d v="2023-06-29T00:00:00"/>
    <x v="0"/>
    <n v="39"/>
    <s v="month"/>
    <n v="26"/>
    <s v="Saturday"/>
  </r>
  <r>
    <x v="2114"/>
    <d v="2023-06-03T00:00:00"/>
    <d v="2023-06-20T00:00:00"/>
    <x v="0"/>
    <n v="39"/>
    <s v="month"/>
    <n v="17"/>
    <s v="Saturday"/>
  </r>
  <r>
    <x v="2115"/>
    <d v="2023-06-03T00:00:00"/>
    <d v="2023-06-27T00:00:00"/>
    <x v="0"/>
    <n v="39"/>
    <s v="month"/>
    <n v="24"/>
    <s v="Saturday"/>
  </r>
  <r>
    <x v="2116"/>
    <d v="2023-06-04T00:00:00"/>
    <m/>
    <x v="0"/>
    <n v="39"/>
    <s v="month"/>
    <s v=""/>
    <s v="Sunday"/>
  </r>
  <r>
    <x v="2117"/>
    <d v="2023-06-04T00:00:00"/>
    <d v="2023-07-05T00:00:00"/>
    <x v="0"/>
    <n v="39"/>
    <s v="month"/>
    <n v="31"/>
    <s v="Sunday"/>
  </r>
  <r>
    <x v="2118"/>
    <d v="2023-06-04T00:00:00"/>
    <d v="2023-07-14T00:00:00"/>
    <x v="0"/>
    <n v="39"/>
    <s v="month"/>
    <n v="40"/>
    <s v="Sunday"/>
  </r>
  <r>
    <x v="2119"/>
    <d v="2023-06-05T00:00:00"/>
    <m/>
    <x v="0"/>
    <n v="39"/>
    <s v="month"/>
    <s v=""/>
    <s v="Monday"/>
  </r>
  <r>
    <x v="2120"/>
    <d v="2023-06-05T00:00:00"/>
    <m/>
    <x v="0"/>
    <n v="39"/>
    <s v="month"/>
    <s v=""/>
    <s v="Monday"/>
  </r>
  <r>
    <x v="2121"/>
    <d v="2023-06-05T00:00:00"/>
    <m/>
    <x v="0"/>
    <n v="39"/>
    <s v="month"/>
    <s v=""/>
    <s v="Monday"/>
  </r>
  <r>
    <x v="2122"/>
    <d v="2023-06-05T00:00:00"/>
    <d v="2023-08-12T00:00:00"/>
    <x v="0"/>
    <n v="39"/>
    <s v="month"/>
    <n v="68"/>
    <s v="Monday"/>
  </r>
  <r>
    <x v="2123"/>
    <d v="2023-06-05T00:00:00"/>
    <d v="2023-08-20T00:00:00"/>
    <x v="0"/>
    <n v="39"/>
    <s v="month"/>
    <n v="76"/>
    <s v="Monday"/>
  </r>
  <r>
    <x v="2124"/>
    <d v="2023-06-05T00:00:00"/>
    <d v="2023-09-03T00:00:00"/>
    <x v="0"/>
    <n v="39"/>
    <s v="month"/>
    <n v="90"/>
    <s v="Monday"/>
  </r>
  <r>
    <x v="2125"/>
    <d v="2023-06-06T00:00:00"/>
    <m/>
    <x v="0"/>
    <n v="39"/>
    <s v="month"/>
    <s v=""/>
    <s v="Tuesday"/>
  </r>
  <r>
    <x v="2126"/>
    <d v="2023-06-06T00:00:00"/>
    <m/>
    <x v="0"/>
    <n v="39"/>
    <s v="month"/>
    <s v=""/>
    <s v="Tuesday"/>
  </r>
  <r>
    <x v="2127"/>
    <d v="2023-06-06T00:00:00"/>
    <m/>
    <x v="0"/>
    <n v="39"/>
    <s v="month"/>
    <s v=""/>
    <s v="Tuesday"/>
  </r>
  <r>
    <x v="1097"/>
    <d v="2023-06-06T00:00:00"/>
    <m/>
    <x v="0"/>
    <n v="39"/>
    <s v="month"/>
    <s v=""/>
    <s v="Tuesday"/>
  </r>
  <r>
    <x v="2128"/>
    <d v="2023-06-06T00:00:00"/>
    <d v="2023-06-13T00:00:00"/>
    <x v="0"/>
    <n v="39"/>
    <s v="month"/>
    <n v="7"/>
    <s v="Tuesday"/>
  </r>
  <r>
    <x v="2129"/>
    <d v="2023-06-06T00:00:00"/>
    <d v="2023-08-22T00:00:00"/>
    <x v="0"/>
    <n v="39"/>
    <s v="month"/>
    <n v="77"/>
    <s v="Tuesday"/>
  </r>
  <r>
    <x v="2130"/>
    <d v="2023-06-06T00:00:00"/>
    <d v="2023-07-13T00:00:00"/>
    <x v="0"/>
    <n v="39"/>
    <s v="month"/>
    <n v="37"/>
    <s v="Tuesday"/>
  </r>
  <r>
    <x v="2131"/>
    <d v="2023-06-07T00:00:00"/>
    <m/>
    <x v="0"/>
    <n v="39"/>
    <s v="month"/>
    <s v=""/>
    <s v="Wednesday"/>
  </r>
  <r>
    <x v="2132"/>
    <d v="2023-06-07T00:00:00"/>
    <m/>
    <x v="0"/>
    <n v="39"/>
    <s v="month"/>
    <s v=""/>
    <s v="Wednesday"/>
  </r>
  <r>
    <x v="2133"/>
    <d v="2023-06-07T00:00:00"/>
    <m/>
    <x v="0"/>
    <n v="39"/>
    <s v="month"/>
    <s v=""/>
    <s v="Wednesday"/>
  </r>
  <r>
    <x v="2134"/>
    <d v="2023-06-07T00:00:00"/>
    <m/>
    <x v="0"/>
    <n v="39"/>
    <s v="month"/>
    <s v=""/>
    <s v="Wednesday"/>
  </r>
  <r>
    <x v="2135"/>
    <d v="2023-06-07T00:00:00"/>
    <m/>
    <x v="0"/>
    <n v="39"/>
    <s v="month"/>
    <s v=""/>
    <s v="Wednesday"/>
  </r>
  <r>
    <x v="2136"/>
    <d v="2023-06-07T00:00:00"/>
    <m/>
    <x v="0"/>
    <n v="39"/>
    <s v="month"/>
    <s v=""/>
    <s v="Wednesday"/>
  </r>
  <r>
    <x v="1602"/>
    <d v="2023-06-07T00:00:00"/>
    <m/>
    <x v="0"/>
    <n v="39"/>
    <s v="month"/>
    <s v=""/>
    <s v="Wednesday"/>
  </r>
  <r>
    <x v="2137"/>
    <d v="2023-06-07T00:00:00"/>
    <d v="2023-08-31T00:00:00"/>
    <x v="0"/>
    <n v="39"/>
    <s v="month"/>
    <n v="85"/>
    <s v="Wednesday"/>
  </r>
  <r>
    <x v="2138"/>
    <d v="2023-06-07T00:00:00"/>
    <d v="2023-06-29T00:00:00"/>
    <x v="0"/>
    <n v="39"/>
    <s v="month"/>
    <n v="22"/>
    <s v="Wednesday"/>
  </r>
  <r>
    <x v="2139"/>
    <d v="2023-06-07T00:00:00"/>
    <d v="2023-08-14T00:00:00"/>
    <x v="0"/>
    <n v="39"/>
    <s v="month"/>
    <n v="68"/>
    <s v="Wednesday"/>
  </r>
  <r>
    <x v="2140"/>
    <d v="2023-06-07T00:00:00"/>
    <d v="2023-07-09T00:00:00"/>
    <x v="0"/>
    <n v="39"/>
    <s v="month"/>
    <n v="32"/>
    <s v="Wednesday"/>
  </r>
  <r>
    <x v="2141"/>
    <d v="2023-06-08T00:00:00"/>
    <m/>
    <x v="0"/>
    <n v="39"/>
    <s v="month"/>
    <s v=""/>
    <s v="Thursday"/>
  </r>
  <r>
    <x v="1416"/>
    <d v="2023-06-08T00:00:00"/>
    <m/>
    <x v="0"/>
    <n v="39"/>
    <s v="month"/>
    <s v=""/>
    <s v="Thursday"/>
  </r>
  <r>
    <x v="2142"/>
    <d v="2023-06-08T00:00:00"/>
    <m/>
    <x v="0"/>
    <n v="39"/>
    <s v="month"/>
    <s v=""/>
    <s v="Thursday"/>
  </r>
  <r>
    <x v="2143"/>
    <d v="2023-06-08T00:00:00"/>
    <d v="2023-07-02T00:00:00"/>
    <x v="0"/>
    <n v="39"/>
    <s v="month"/>
    <n v="24"/>
    <s v="Thursday"/>
  </r>
  <r>
    <x v="2144"/>
    <d v="2023-06-08T00:00:00"/>
    <d v="2023-06-28T00:00:00"/>
    <x v="0"/>
    <n v="39"/>
    <s v="month"/>
    <n v="20"/>
    <s v="Thursday"/>
  </r>
  <r>
    <x v="2145"/>
    <d v="2023-06-08T00:00:00"/>
    <d v="2023-06-08T00:00:00"/>
    <x v="0"/>
    <n v="39"/>
    <s v="month"/>
    <n v="0"/>
    <s v="Thursday"/>
  </r>
  <r>
    <x v="2146"/>
    <d v="2023-06-08T00:00:00"/>
    <d v="2023-06-28T00:00:00"/>
    <x v="0"/>
    <n v="39"/>
    <s v="month"/>
    <n v="20"/>
    <s v="Thursday"/>
  </r>
  <r>
    <x v="2147"/>
    <d v="2023-06-08T00:00:00"/>
    <d v="2023-07-23T00:00:00"/>
    <x v="0"/>
    <n v="39"/>
    <s v="month"/>
    <n v="45"/>
    <s v="Thursday"/>
  </r>
  <r>
    <x v="752"/>
    <d v="2023-06-09T00:00:00"/>
    <m/>
    <x v="0"/>
    <n v="39"/>
    <s v="month"/>
    <s v=""/>
    <s v="Friday"/>
  </r>
  <r>
    <x v="2148"/>
    <d v="2023-06-09T00:00:00"/>
    <m/>
    <x v="0"/>
    <n v="39"/>
    <s v="month"/>
    <s v=""/>
    <s v="Friday"/>
  </r>
  <r>
    <x v="2149"/>
    <d v="2023-06-09T00:00:00"/>
    <m/>
    <x v="0"/>
    <n v="39"/>
    <s v="month"/>
    <s v=""/>
    <s v="Friday"/>
  </r>
  <r>
    <x v="2150"/>
    <d v="2023-06-09T00:00:00"/>
    <m/>
    <x v="0"/>
    <n v="39"/>
    <s v="month"/>
    <s v=""/>
    <s v="Friday"/>
  </r>
  <r>
    <x v="2151"/>
    <d v="2023-06-09T00:00:00"/>
    <d v="2023-06-10T00:00:00"/>
    <x v="0"/>
    <n v="39"/>
    <s v="month"/>
    <n v="1"/>
    <s v="Friday"/>
  </r>
  <r>
    <x v="2152"/>
    <d v="2023-06-09T00:00:00"/>
    <d v="2023-07-28T00:00:00"/>
    <x v="0"/>
    <n v="39"/>
    <s v="month"/>
    <n v="49"/>
    <s v="Friday"/>
  </r>
  <r>
    <x v="2153"/>
    <d v="2023-06-09T00:00:00"/>
    <d v="2023-07-02T00:00:00"/>
    <x v="0"/>
    <n v="39"/>
    <s v="month"/>
    <n v="23"/>
    <s v="Friday"/>
  </r>
  <r>
    <x v="2154"/>
    <d v="2023-06-09T00:00:00"/>
    <d v="2023-06-09T00:00:00"/>
    <x v="0"/>
    <n v="39"/>
    <s v="month"/>
    <n v="0"/>
    <s v="Friday"/>
  </r>
  <r>
    <x v="2155"/>
    <d v="2023-06-09T00:00:00"/>
    <d v="2023-07-24T00:00:00"/>
    <x v="0"/>
    <n v="39"/>
    <s v="month"/>
    <n v="45"/>
    <s v="Friday"/>
  </r>
  <r>
    <x v="2156"/>
    <d v="2023-06-09T00:00:00"/>
    <d v="2023-07-16T00:00:00"/>
    <x v="0"/>
    <n v="39"/>
    <s v="month"/>
    <n v="37"/>
    <s v="Friday"/>
  </r>
  <r>
    <x v="2157"/>
    <d v="2023-06-09T00:00:00"/>
    <d v="2023-07-16T00:00:00"/>
    <x v="0"/>
    <n v="39"/>
    <s v="month"/>
    <n v="37"/>
    <s v="Friday"/>
  </r>
  <r>
    <x v="1363"/>
    <d v="2023-06-10T00:00:00"/>
    <d v="2023-06-11T00:00:00"/>
    <x v="0"/>
    <n v="39"/>
    <s v="month"/>
    <n v="1"/>
    <s v="Saturday"/>
  </r>
  <r>
    <x v="2158"/>
    <d v="2023-06-10T00:00:00"/>
    <d v="2023-06-24T00:00:00"/>
    <x v="0"/>
    <n v="39"/>
    <s v="month"/>
    <n v="14"/>
    <s v="Saturday"/>
  </r>
  <r>
    <x v="2159"/>
    <d v="2023-06-10T00:00:00"/>
    <d v="2023-08-11T00:00:00"/>
    <x v="0"/>
    <n v="39"/>
    <s v="month"/>
    <n v="62"/>
    <s v="Saturday"/>
  </r>
  <r>
    <x v="2160"/>
    <d v="2023-06-11T00:00:00"/>
    <m/>
    <x v="0"/>
    <n v="39"/>
    <s v="month"/>
    <s v=""/>
    <s v="Sunday"/>
  </r>
  <r>
    <x v="2161"/>
    <d v="2023-06-11T00:00:00"/>
    <d v="2023-07-18T00:00:00"/>
    <x v="0"/>
    <n v="39"/>
    <s v="month"/>
    <n v="37"/>
    <s v="Sunday"/>
  </r>
  <r>
    <x v="2162"/>
    <d v="2023-06-11T00:00:00"/>
    <d v="2023-07-26T00:00:00"/>
    <x v="0"/>
    <n v="39"/>
    <s v="month"/>
    <n v="45"/>
    <s v="Sunday"/>
  </r>
  <r>
    <x v="2016"/>
    <d v="2023-06-11T00:00:00"/>
    <d v="2023-07-18T00:00:00"/>
    <x v="0"/>
    <n v="39"/>
    <s v="month"/>
    <n v="37"/>
    <s v="Sunday"/>
  </r>
  <r>
    <x v="2163"/>
    <d v="2023-06-12T00:00:00"/>
    <m/>
    <x v="0"/>
    <n v="39"/>
    <s v="month"/>
    <s v=""/>
    <s v="Monday"/>
  </r>
  <r>
    <x v="2164"/>
    <d v="2023-06-12T00:00:00"/>
    <m/>
    <x v="0"/>
    <n v="39"/>
    <s v="month"/>
    <s v=""/>
    <s v="Monday"/>
  </r>
  <r>
    <x v="2165"/>
    <d v="2023-06-12T00:00:00"/>
    <m/>
    <x v="0"/>
    <n v="39"/>
    <s v="month"/>
    <s v=""/>
    <s v="Monday"/>
  </r>
  <r>
    <x v="2166"/>
    <d v="2023-06-12T00:00:00"/>
    <m/>
    <x v="0"/>
    <n v="39"/>
    <s v="month"/>
    <s v=""/>
    <s v="Monday"/>
  </r>
  <r>
    <x v="2167"/>
    <d v="2023-06-12T00:00:00"/>
    <m/>
    <x v="0"/>
    <n v="39"/>
    <s v="month"/>
    <s v=""/>
    <s v="Monday"/>
  </r>
  <r>
    <x v="2168"/>
    <d v="2023-06-12T00:00:00"/>
    <d v="2023-06-13T00:00:00"/>
    <x v="1"/>
    <n v="39"/>
    <s v="month"/>
    <n v="1"/>
    <s v="Monday"/>
  </r>
  <r>
    <x v="2169"/>
    <d v="2023-06-12T00:00:00"/>
    <d v="2023-07-10T00:00:00"/>
    <x v="0"/>
    <n v="39"/>
    <s v="month"/>
    <n v="28"/>
    <s v="Monday"/>
  </r>
  <r>
    <x v="2170"/>
    <d v="2023-06-12T00:00:00"/>
    <d v="2023-07-20T00:00:00"/>
    <x v="0"/>
    <n v="39"/>
    <s v="month"/>
    <n v="38"/>
    <s v="Monday"/>
  </r>
  <r>
    <x v="2171"/>
    <d v="2023-06-12T00:00:00"/>
    <d v="2023-08-11T00:00:00"/>
    <x v="0"/>
    <n v="39"/>
    <s v="month"/>
    <n v="60"/>
    <s v="Monday"/>
  </r>
  <r>
    <x v="2172"/>
    <d v="2023-06-12T00:00:00"/>
    <d v="2023-08-06T00:00:00"/>
    <x v="0"/>
    <n v="39"/>
    <s v="month"/>
    <n v="55"/>
    <s v="Monday"/>
  </r>
  <r>
    <x v="2173"/>
    <d v="2023-06-12T00:00:00"/>
    <d v="2023-07-06T00:00:00"/>
    <x v="0"/>
    <n v="39"/>
    <s v="month"/>
    <n v="24"/>
    <s v="Monday"/>
  </r>
  <r>
    <x v="2174"/>
    <d v="2023-06-12T00:00:00"/>
    <d v="2023-07-12T00:00:00"/>
    <x v="0"/>
    <n v="39"/>
    <s v="month"/>
    <n v="30"/>
    <s v="Monday"/>
  </r>
  <r>
    <x v="1826"/>
    <d v="2023-06-13T00:00:00"/>
    <m/>
    <x v="0"/>
    <n v="39"/>
    <s v="month"/>
    <s v=""/>
    <s v="Tuesday"/>
  </r>
  <r>
    <x v="2175"/>
    <d v="2023-06-13T00:00:00"/>
    <m/>
    <x v="0"/>
    <n v="39"/>
    <s v="month"/>
    <s v=""/>
    <s v="Tuesday"/>
  </r>
  <r>
    <x v="2176"/>
    <d v="2023-06-13T00:00:00"/>
    <m/>
    <x v="0"/>
    <n v="39"/>
    <s v="month"/>
    <s v=""/>
    <s v="Tuesday"/>
  </r>
  <r>
    <x v="2177"/>
    <d v="2023-06-13T00:00:00"/>
    <m/>
    <x v="0"/>
    <n v="39"/>
    <s v="month"/>
    <s v=""/>
    <s v="Tuesday"/>
  </r>
  <r>
    <x v="2178"/>
    <d v="2023-06-13T00:00:00"/>
    <m/>
    <x v="0"/>
    <n v="39"/>
    <s v="month"/>
    <s v=""/>
    <s v="Tuesday"/>
  </r>
  <r>
    <x v="1869"/>
    <d v="2023-06-13T00:00:00"/>
    <d v="2023-06-14T00:00:00"/>
    <x v="0"/>
    <n v="39"/>
    <s v="month"/>
    <n v="1"/>
    <s v="Tuesday"/>
  </r>
  <r>
    <x v="2179"/>
    <d v="2023-06-13T00:00:00"/>
    <d v="2023-07-31T00:00:00"/>
    <x v="0"/>
    <n v="39"/>
    <s v="month"/>
    <n v="48"/>
    <s v="Tuesday"/>
  </r>
  <r>
    <x v="2180"/>
    <d v="2023-06-13T00:00:00"/>
    <d v="2023-07-21T00:00:00"/>
    <x v="0"/>
    <n v="39"/>
    <s v="month"/>
    <n v="38"/>
    <s v="Tuesday"/>
  </r>
  <r>
    <x v="2181"/>
    <d v="2023-06-13T00:00:00"/>
    <d v="2023-07-05T00:00:00"/>
    <x v="0"/>
    <n v="39"/>
    <s v="month"/>
    <n v="22"/>
    <s v="Tuesday"/>
  </r>
  <r>
    <x v="2182"/>
    <d v="2023-06-14T00:00:00"/>
    <m/>
    <x v="0"/>
    <n v="39"/>
    <s v="month"/>
    <s v=""/>
    <s v="Wednesday"/>
  </r>
  <r>
    <x v="2183"/>
    <d v="2023-06-14T00:00:00"/>
    <m/>
    <x v="0"/>
    <n v="39"/>
    <s v="month"/>
    <s v=""/>
    <s v="Wednesday"/>
  </r>
  <r>
    <x v="1583"/>
    <d v="2023-06-14T00:00:00"/>
    <d v="2023-06-15T00:00:00"/>
    <x v="0"/>
    <n v="39"/>
    <s v="month"/>
    <n v="1"/>
    <s v="Wednesday"/>
  </r>
  <r>
    <x v="2184"/>
    <d v="2023-06-14T00:00:00"/>
    <d v="2023-06-14T00:00:00"/>
    <x v="1"/>
    <n v="39"/>
    <s v="month"/>
    <n v="0"/>
    <s v="Wednesday"/>
  </r>
  <r>
    <x v="2185"/>
    <d v="2023-06-14T00:00:00"/>
    <d v="2023-07-14T00:00:00"/>
    <x v="0"/>
    <n v="39"/>
    <s v="month"/>
    <n v="30"/>
    <s v="Wednesday"/>
  </r>
  <r>
    <x v="2186"/>
    <d v="2023-06-14T00:00:00"/>
    <d v="2023-08-11T00:00:00"/>
    <x v="0"/>
    <n v="39"/>
    <s v="month"/>
    <n v="58"/>
    <s v="Wednesday"/>
  </r>
  <r>
    <x v="2187"/>
    <d v="2023-06-14T00:00:00"/>
    <d v="2023-07-01T00:00:00"/>
    <x v="0"/>
    <n v="39"/>
    <s v="month"/>
    <n v="17"/>
    <s v="Wednesday"/>
  </r>
  <r>
    <x v="2188"/>
    <d v="2023-06-15T00:00:00"/>
    <m/>
    <x v="0"/>
    <n v="39"/>
    <s v="month"/>
    <s v=""/>
    <s v="Thursday"/>
  </r>
  <r>
    <x v="1021"/>
    <d v="2023-06-15T00:00:00"/>
    <m/>
    <x v="0"/>
    <n v="39"/>
    <s v="month"/>
    <s v=""/>
    <s v="Thursday"/>
  </r>
  <r>
    <x v="2189"/>
    <d v="2023-06-15T00:00:00"/>
    <m/>
    <x v="0"/>
    <n v="39"/>
    <s v="month"/>
    <s v=""/>
    <s v="Thursday"/>
  </r>
  <r>
    <x v="2190"/>
    <d v="2023-06-15T00:00:00"/>
    <m/>
    <x v="0"/>
    <n v="39"/>
    <s v="month"/>
    <s v=""/>
    <s v="Thursday"/>
  </r>
  <r>
    <x v="1869"/>
    <d v="2023-06-15T00:00:00"/>
    <m/>
    <x v="0"/>
    <n v="39"/>
    <s v="month"/>
    <s v=""/>
    <s v="Thursday"/>
  </r>
  <r>
    <x v="2191"/>
    <d v="2023-06-15T00:00:00"/>
    <m/>
    <x v="0"/>
    <n v="39"/>
    <s v="month"/>
    <s v=""/>
    <s v="Thursday"/>
  </r>
  <r>
    <x v="2192"/>
    <d v="2023-06-15T00:00:00"/>
    <m/>
    <x v="0"/>
    <n v="39"/>
    <s v="month"/>
    <s v=""/>
    <s v="Thursday"/>
  </r>
  <r>
    <x v="2193"/>
    <d v="2023-06-15T00:00:00"/>
    <d v="2023-07-22T00:00:00"/>
    <x v="0"/>
    <n v="39"/>
    <s v="month"/>
    <n v="37"/>
    <s v="Thursday"/>
  </r>
  <r>
    <x v="2194"/>
    <d v="2023-06-15T00:00:00"/>
    <d v="2023-08-22T00:00:00"/>
    <x v="0"/>
    <n v="39"/>
    <s v="month"/>
    <n v="68"/>
    <s v="Thursday"/>
  </r>
  <r>
    <x v="2195"/>
    <d v="2023-06-15T00:00:00"/>
    <d v="2023-08-22T00:00:00"/>
    <x v="0"/>
    <n v="39"/>
    <s v="month"/>
    <n v="68"/>
    <s v="Thursday"/>
  </r>
  <r>
    <x v="2196"/>
    <d v="2023-06-15T00:00:00"/>
    <d v="2023-07-22T00:00:00"/>
    <x v="0"/>
    <n v="39"/>
    <s v="month"/>
    <n v="37"/>
    <s v="Thursday"/>
  </r>
  <r>
    <x v="2197"/>
    <d v="2023-06-15T00:00:00"/>
    <d v="2023-07-15T00:00:00"/>
    <x v="0"/>
    <n v="39"/>
    <s v="month"/>
    <n v="30"/>
    <s v="Thursday"/>
  </r>
  <r>
    <x v="2198"/>
    <d v="2023-06-16T00:00:00"/>
    <m/>
    <x v="0"/>
    <n v="39"/>
    <s v="month"/>
    <s v=""/>
    <s v="Friday"/>
  </r>
  <r>
    <x v="2199"/>
    <d v="2023-06-16T00:00:00"/>
    <m/>
    <x v="0"/>
    <n v="39"/>
    <s v="month"/>
    <s v=""/>
    <s v="Friday"/>
  </r>
  <r>
    <x v="2200"/>
    <d v="2023-06-16T00:00:00"/>
    <m/>
    <x v="0"/>
    <n v="39"/>
    <s v="month"/>
    <s v=""/>
    <s v="Friday"/>
  </r>
  <r>
    <x v="2201"/>
    <d v="2023-06-16T00:00:00"/>
    <m/>
    <x v="0"/>
    <n v="39"/>
    <s v="month"/>
    <s v=""/>
    <s v="Friday"/>
  </r>
  <r>
    <x v="998"/>
    <d v="2023-06-16T00:00:00"/>
    <d v="2023-06-17T00:00:00"/>
    <x v="0"/>
    <n v="39"/>
    <s v="month"/>
    <n v="1"/>
    <s v="Friday"/>
  </r>
  <r>
    <x v="2202"/>
    <d v="2023-06-16T00:00:00"/>
    <d v="2023-07-12T00:00:00"/>
    <x v="0"/>
    <n v="39"/>
    <s v="month"/>
    <n v="26"/>
    <s v="Friday"/>
  </r>
  <r>
    <x v="2203"/>
    <d v="2023-06-16T00:00:00"/>
    <d v="2023-07-23T00:00:00"/>
    <x v="0"/>
    <n v="39"/>
    <s v="month"/>
    <n v="37"/>
    <s v="Friday"/>
  </r>
  <r>
    <x v="923"/>
    <d v="2023-06-16T00:00:00"/>
    <d v="2023-07-24T00:00:00"/>
    <x v="0"/>
    <n v="39"/>
    <s v="month"/>
    <n v="38"/>
    <s v="Friday"/>
  </r>
  <r>
    <x v="2204"/>
    <d v="2023-06-16T00:00:00"/>
    <d v="2023-08-15T00:00:00"/>
    <x v="0"/>
    <n v="39"/>
    <s v="month"/>
    <n v="60"/>
    <s v="Friday"/>
  </r>
  <r>
    <x v="2205"/>
    <d v="2023-06-16T00:00:00"/>
    <d v="2023-07-13T00:00:00"/>
    <x v="0"/>
    <n v="39"/>
    <s v="month"/>
    <n v="27"/>
    <s v="Friday"/>
  </r>
  <r>
    <x v="2206"/>
    <d v="2023-06-16T00:00:00"/>
    <d v="2023-07-16T00:00:00"/>
    <x v="0"/>
    <n v="39"/>
    <s v="month"/>
    <n v="30"/>
    <s v="Friday"/>
  </r>
  <r>
    <x v="2207"/>
    <d v="2023-06-17T00:00:00"/>
    <m/>
    <x v="0"/>
    <n v="39"/>
    <s v="month"/>
    <s v=""/>
    <s v="Saturday"/>
  </r>
  <r>
    <x v="2208"/>
    <d v="2023-06-17T00:00:00"/>
    <d v="2023-07-24T00:00:00"/>
    <x v="0"/>
    <n v="39"/>
    <s v="month"/>
    <n v="37"/>
    <s v="Saturday"/>
  </r>
  <r>
    <x v="2209"/>
    <d v="2023-06-17T00:00:00"/>
    <d v="2023-07-24T00:00:00"/>
    <x v="0"/>
    <n v="39"/>
    <s v="month"/>
    <n v="37"/>
    <s v="Saturday"/>
  </r>
  <r>
    <x v="2210"/>
    <d v="2023-06-17T00:00:00"/>
    <d v="2023-08-24T00:00:00"/>
    <x v="0"/>
    <n v="39"/>
    <s v="month"/>
    <n v="68"/>
    <s v="Saturday"/>
  </r>
  <r>
    <x v="2211"/>
    <d v="2023-06-17T00:00:00"/>
    <d v="2023-08-01T00:00:00"/>
    <x v="0"/>
    <n v="39"/>
    <s v="month"/>
    <n v="45"/>
    <s v="Saturday"/>
  </r>
  <r>
    <x v="2212"/>
    <d v="2023-06-17T00:00:00"/>
    <d v="2023-08-24T00:00:00"/>
    <x v="0"/>
    <n v="39"/>
    <s v="month"/>
    <n v="68"/>
    <s v="Saturday"/>
  </r>
  <r>
    <x v="2213"/>
    <d v="2023-06-17T00:00:00"/>
    <d v="2023-07-20T00:00:00"/>
    <x v="0"/>
    <n v="39"/>
    <s v="month"/>
    <n v="33"/>
    <s v="Saturday"/>
  </r>
  <r>
    <x v="2214"/>
    <d v="2023-06-17T00:00:00"/>
    <d v="2023-07-24T00:00:00"/>
    <x v="0"/>
    <n v="39"/>
    <s v="month"/>
    <n v="37"/>
    <s v="Saturday"/>
  </r>
  <r>
    <x v="2215"/>
    <d v="2023-06-18T00:00:00"/>
    <m/>
    <x v="0"/>
    <n v="39"/>
    <s v="month"/>
    <s v=""/>
    <s v="Sunday"/>
  </r>
  <r>
    <x v="2216"/>
    <d v="2023-06-18T00:00:00"/>
    <m/>
    <x v="0"/>
    <n v="39"/>
    <s v="month"/>
    <s v=""/>
    <s v="Sunday"/>
  </r>
  <r>
    <x v="2217"/>
    <d v="2023-06-18T00:00:00"/>
    <m/>
    <x v="0"/>
    <n v="39"/>
    <s v="month"/>
    <s v=""/>
    <s v="Sunday"/>
  </r>
  <r>
    <x v="2218"/>
    <d v="2023-06-18T00:00:00"/>
    <m/>
    <x v="0"/>
    <n v="39"/>
    <s v="month"/>
    <s v=""/>
    <s v="Sunday"/>
  </r>
  <r>
    <x v="2219"/>
    <d v="2023-06-18T00:00:00"/>
    <m/>
    <x v="0"/>
    <n v="39"/>
    <s v="month"/>
    <s v=""/>
    <s v="Sunday"/>
  </r>
  <r>
    <x v="1732"/>
    <d v="2023-06-18T00:00:00"/>
    <m/>
    <x v="0"/>
    <n v="39"/>
    <s v="month"/>
    <s v=""/>
    <s v="Sunday"/>
  </r>
  <r>
    <x v="2220"/>
    <d v="2023-06-18T00:00:00"/>
    <d v="2023-08-26T00:00:00"/>
    <x v="0"/>
    <n v="39"/>
    <s v="month"/>
    <n v="69"/>
    <s v="Sunday"/>
  </r>
  <r>
    <x v="2221"/>
    <d v="2023-06-18T00:00:00"/>
    <d v="2023-07-14T00:00:00"/>
    <x v="0"/>
    <n v="39"/>
    <s v="month"/>
    <n v="26"/>
    <s v="Sunday"/>
  </r>
  <r>
    <x v="2222"/>
    <d v="2023-06-19T00:00:00"/>
    <m/>
    <x v="0"/>
    <n v="39"/>
    <s v="month"/>
    <s v=""/>
    <s v="Monday"/>
  </r>
  <r>
    <x v="2223"/>
    <d v="2023-06-19T00:00:00"/>
    <m/>
    <x v="0"/>
    <n v="39"/>
    <s v="month"/>
    <s v=""/>
    <s v="Monday"/>
  </r>
  <r>
    <x v="2224"/>
    <d v="2023-06-19T00:00:00"/>
    <m/>
    <x v="0"/>
    <n v="39"/>
    <s v="month"/>
    <s v=""/>
    <s v="Monday"/>
  </r>
  <r>
    <x v="2225"/>
    <d v="2023-06-19T00:00:00"/>
    <m/>
    <x v="0"/>
    <n v="39"/>
    <s v="month"/>
    <s v=""/>
    <s v="Monday"/>
  </r>
  <r>
    <x v="2226"/>
    <d v="2023-06-19T00:00:00"/>
    <m/>
    <x v="0"/>
    <n v="39"/>
    <s v="month"/>
    <s v=""/>
    <s v="Monday"/>
  </r>
  <r>
    <x v="2227"/>
    <d v="2023-06-19T00:00:00"/>
    <d v="2023-08-07T00:00:00"/>
    <x v="0"/>
    <n v="39"/>
    <s v="month"/>
    <n v="49"/>
    <s v="Monday"/>
  </r>
  <r>
    <x v="2228"/>
    <d v="2023-06-19T00:00:00"/>
    <d v="2023-07-26T00:00:00"/>
    <x v="0"/>
    <n v="39"/>
    <s v="month"/>
    <n v="37"/>
    <s v="Monday"/>
  </r>
  <r>
    <x v="2229"/>
    <d v="2023-06-19T00:00:00"/>
    <d v="2023-08-06T00:00:00"/>
    <x v="0"/>
    <n v="39"/>
    <s v="month"/>
    <n v="48"/>
    <s v="Monday"/>
  </r>
  <r>
    <x v="2230"/>
    <d v="2023-06-19T00:00:00"/>
    <d v="2023-06-20T00:00:00"/>
    <x v="0"/>
    <n v="39"/>
    <s v="month"/>
    <n v="1"/>
    <s v="Monday"/>
  </r>
  <r>
    <x v="2231"/>
    <d v="2023-06-19T00:00:00"/>
    <d v="2023-07-26T00:00:00"/>
    <x v="0"/>
    <n v="39"/>
    <s v="month"/>
    <n v="37"/>
    <s v="Monday"/>
  </r>
  <r>
    <x v="2232"/>
    <d v="2023-06-20T00:00:00"/>
    <m/>
    <x v="0"/>
    <n v="39"/>
    <s v="month"/>
    <s v=""/>
    <s v="Tuesday"/>
  </r>
  <r>
    <x v="2233"/>
    <d v="2023-06-20T00:00:00"/>
    <m/>
    <x v="0"/>
    <n v="39"/>
    <s v="month"/>
    <s v=""/>
    <s v="Tuesday"/>
  </r>
  <r>
    <x v="2234"/>
    <d v="2023-06-20T00:00:00"/>
    <m/>
    <x v="0"/>
    <n v="39"/>
    <s v="month"/>
    <s v=""/>
    <s v="Tuesday"/>
  </r>
  <r>
    <x v="2235"/>
    <d v="2023-06-20T00:00:00"/>
    <m/>
    <x v="0"/>
    <n v="39"/>
    <s v="month"/>
    <s v=""/>
    <s v="Tuesday"/>
  </r>
  <r>
    <x v="2236"/>
    <d v="2023-06-20T00:00:00"/>
    <m/>
    <x v="0"/>
    <n v="39"/>
    <s v="month"/>
    <s v=""/>
    <s v="Tuesday"/>
  </r>
  <r>
    <x v="2237"/>
    <d v="2023-06-20T00:00:00"/>
    <m/>
    <x v="0"/>
    <n v="39"/>
    <s v="month"/>
    <s v=""/>
    <s v="Tuesday"/>
  </r>
  <r>
    <x v="2238"/>
    <d v="2023-06-20T00:00:00"/>
    <m/>
    <x v="0"/>
    <n v="39"/>
    <s v="month"/>
    <s v=""/>
    <s v="Tuesday"/>
  </r>
  <r>
    <x v="2239"/>
    <d v="2023-06-20T00:00:00"/>
    <m/>
    <x v="0"/>
    <n v="39"/>
    <s v="month"/>
    <s v=""/>
    <s v="Tuesday"/>
  </r>
  <r>
    <x v="2240"/>
    <d v="2023-06-20T00:00:00"/>
    <m/>
    <x v="0"/>
    <n v="39"/>
    <s v="month"/>
    <s v=""/>
    <s v="Tuesday"/>
  </r>
  <r>
    <x v="2241"/>
    <d v="2023-06-20T00:00:00"/>
    <d v="2023-06-21T00:00:00"/>
    <x v="0"/>
    <n v="39"/>
    <s v="month"/>
    <n v="1"/>
    <s v="Tuesday"/>
  </r>
  <r>
    <x v="2151"/>
    <d v="2023-06-20T00:00:00"/>
    <d v="2023-07-23T00:00:00"/>
    <x v="0"/>
    <n v="39"/>
    <s v="month"/>
    <n v="33"/>
    <s v="Tuesday"/>
  </r>
  <r>
    <x v="2242"/>
    <d v="2023-06-20T00:00:00"/>
    <d v="2023-06-22T00:00:00"/>
    <x v="0"/>
    <n v="39"/>
    <s v="month"/>
    <n v="2"/>
    <s v="Tuesday"/>
  </r>
  <r>
    <x v="2243"/>
    <d v="2023-06-20T00:00:00"/>
    <d v="2023-07-27T00:00:00"/>
    <x v="0"/>
    <n v="39"/>
    <s v="month"/>
    <n v="37"/>
    <s v="Tuesday"/>
  </r>
  <r>
    <x v="2244"/>
    <d v="2023-06-20T00:00:00"/>
    <d v="2023-07-24T00:00:00"/>
    <x v="0"/>
    <n v="39"/>
    <s v="month"/>
    <n v="34"/>
    <s v="Tuesday"/>
  </r>
  <r>
    <x v="2245"/>
    <d v="2023-06-20T00:00:00"/>
    <d v="2023-07-19T00:00:00"/>
    <x v="0"/>
    <n v="39"/>
    <s v="month"/>
    <n v="29"/>
    <s v="Tuesday"/>
  </r>
  <r>
    <x v="2246"/>
    <d v="2023-06-21T00:00:00"/>
    <m/>
    <x v="0"/>
    <n v="39"/>
    <s v="month"/>
    <s v=""/>
    <s v="Wednesday"/>
  </r>
  <r>
    <x v="2247"/>
    <d v="2023-06-21T00:00:00"/>
    <m/>
    <x v="0"/>
    <n v="39"/>
    <s v="month"/>
    <s v=""/>
    <s v="Wednesday"/>
  </r>
  <r>
    <x v="2248"/>
    <d v="2023-06-21T00:00:00"/>
    <m/>
    <x v="0"/>
    <n v="39"/>
    <s v="month"/>
    <s v=""/>
    <s v="Wednesday"/>
  </r>
  <r>
    <x v="2249"/>
    <d v="2023-06-21T00:00:00"/>
    <m/>
    <x v="0"/>
    <n v="39"/>
    <s v="month"/>
    <s v=""/>
    <s v="Wednesday"/>
  </r>
  <r>
    <x v="2250"/>
    <d v="2023-06-21T00:00:00"/>
    <m/>
    <x v="0"/>
    <n v="39"/>
    <s v="month"/>
    <s v=""/>
    <s v="Wednesday"/>
  </r>
  <r>
    <x v="2251"/>
    <d v="2023-06-21T00:00:00"/>
    <m/>
    <x v="0"/>
    <n v="39"/>
    <s v="month"/>
    <s v=""/>
    <s v="Wednesday"/>
  </r>
  <r>
    <x v="2252"/>
    <d v="2023-06-21T00:00:00"/>
    <m/>
    <x v="0"/>
    <n v="39"/>
    <s v="month"/>
    <s v=""/>
    <s v="Wednesday"/>
  </r>
  <r>
    <x v="2253"/>
    <d v="2023-06-21T00:00:00"/>
    <m/>
    <x v="0"/>
    <n v="39"/>
    <s v="month"/>
    <s v=""/>
    <s v="Wednesday"/>
  </r>
  <r>
    <x v="2254"/>
    <d v="2023-06-21T00:00:00"/>
    <d v="2023-06-22T00:00:00"/>
    <x v="0"/>
    <n v="39"/>
    <s v="month"/>
    <n v="1"/>
    <s v="Wednesday"/>
  </r>
  <r>
    <x v="2255"/>
    <d v="2023-06-21T00:00:00"/>
    <d v="2023-06-22T00:00:00"/>
    <x v="1"/>
    <n v="39"/>
    <s v="month"/>
    <n v="1"/>
    <s v="Wednesday"/>
  </r>
  <r>
    <x v="2256"/>
    <d v="2023-06-21T00:00:00"/>
    <d v="2023-06-22T00:00:00"/>
    <x v="1"/>
    <n v="39"/>
    <s v="month"/>
    <n v="1"/>
    <s v="Wednesday"/>
  </r>
  <r>
    <x v="2257"/>
    <d v="2023-06-21T00:00:00"/>
    <d v="2023-08-18T00:00:00"/>
    <x v="0"/>
    <n v="39"/>
    <s v="month"/>
    <n v="58"/>
    <s v="Wednesday"/>
  </r>
  <r>
    <x v="2258"/>
    <d v="2023-06-21T00:00:00"/>
    <d v="2023-08-10T00:00:00"/>
    <x v="0"/>
    <n v="39"/>
    <s v="month"/>
    <n v="50"/>
    <s v="Wednesday"/>
  </r>
  <r>
    <x v="2259"/>
    <d v="2023-06-21T00:00:00"/>
    <d v="2023-07-17T00:00:00"/>
    <x v="0"/>
    <n v="39"/>
    <s v="month"/>
    <n v="26"/>
    <s v="Wednesday"/>
  </r>
  <r>
    <x v="2260"/>
    <d v="2023-06-21T00:00:00"/>
    <d v="2023-06-30T00:00:00"/>
    <x v="0"/>
    <n v="39"/>
    <s v="month"/>
    <n v="9"/>
    <s v="Wednesday"/>
  </r>
  <r>
    <x v="2261"/>
    <d v="2023-06-21T00:00:00"/>
    <d v="2023-07-25T00:00:00"/>
    <x v="0"/>
    <n v="39"/>
    <s v="month"/>
    <n v="34"/>
    <s v="Wednesday"/>
  </r>
  <r>
    <x v="2262"/>
    <d v="2023-06-22T00:00:00"/>
    <m/>
    <x v="0"/>
    <n v="39"/>
    <s v="month"/>
    <s v=""/>
    <s v="Thursday"/>
  </r>
  <r>
    <x v="2263"/>
    <d v="2023-06-22T00:00:00"/>
    <m/>
    <x v="0"/>
    <n v="39"/>
    <s v="month"/>
    <s v=""/>
    <s v="Thursday"/>
  </r>
  <r>
    <x v="2264"/>
    <d v="2023-06-22T00:00:00"/>
    <m/>
    <x v="0"/>
    <n v="39"/>
    <s v="month"/>
    <s v=""/>
    <s v="Thursday"/>
  </r>
  <r>
    <x v="2265"/>
    <d v="2023-06-22T00:00:00"/>
    <m/>
    <x v="0"/>
    <n v="39"/>
    <s v="month"/>
    <s v=""/>
    <s v="Thursday"/>
  </r>
  <r>
    <x v="2266"/>
    <d v="2023-06-22T00:00:00"/>
    <m/>
    <x v="0"/>
    <n v="39"/>
    <s v="month"/>
    <s v=""/>
    <s v="Thursday"/>
  </r>
  <r>
    <x v="2267"/>
    <d v="2023-06-22T00:00:00"/>
    <m/>
    <x v="0"/>
    <n v="39"/>
    <s v="month"/>
    <s v=""/>
    <s v="Thursday"/>
  </r>
  <r>
    <x v="2268"/>
    <d v="2023-06-22T00:00:00"/>
    <m/>
    <x v="0"/>
    <n v="39"/>
    <s v="month"/>
    <s v=""/>
    <s v="Thursday"/>
  </r>
  <r>
    <x v="2269"/>
    <d v="2023-06-22T00:00:00"/>
    <d v="2023-06-23T00:00:00"/>
    <x v="0"/>
    <n v="39"/>
    <s v="month"/>
    <n v="1"/>
    <s v="Thursday"/>
  </r>
  <r>
    <x v="2270"/>
    <d v="2023-06-22T00:00:00"/>
    <d v="2023-06-23T00:00:00"/>
    <x v="1"/>
    <n v="39"/>
    <s v="month"/>
    <n v="1"/>
    <s v="Thursday"/>
  </r>
  <r>
    <x v="2271"/>
    <d v="2023-06-22T00:00:00"/>
    <d v="2023-07-19T00:00:00"/>
    <x v="0"/>
    <n v="39"/>
    <s v="month"/>
    <n v="27"/>
    <s v="Thursday"/>
  </r>
  <r>
    <x v="2272"/>
    <d v="2023-06-22T00:00:00"/>
    <d v="2023-07-06T00:00:00"/>
    <x v="0"/>
    <n v="39"/>
    <s v="month"/>
    <n v="14"/>
    <s v="Thursday"/>
  </r>
  <r>
    <x v="2273"/>
    <d v="2023-06-22T00:00:00"/>
    <d v="2023-06-22T00:00:00"/>
    <x v="0"/>
    <n v="39"/>
    <s v="month"/>
    <n v="0"/>
    <s v="Thursday"/>
  </r>
  <r>
    <x v="2274"/>
    <d v="2023-06-22T00:00:00"/>
    <d v="2023-08-18T00:00:00"/>
    <x v="0"/>
    <n v="39"/>
    <s v="month"/>
    <n v="57"/>
    <s v="Thursday"/>
  </r>
  <r>
    <x v="2275"/>
    <d v="2023-06-22T00:00:00"/>
    <d v="2023-06-27T00:00:00"/>
    <x v="0"/>
    <n v="39"/>
    <s v="month"/>
    <n v="5"/>
    <s v="Thursday"/>
  </r>
  <r>
    <x v="2276"/>
    <d v="2023-06-22T00:00:00"/>
    <d v="2023-07-06T00:00:00"/>
    <x v="0"/>
    <n v="39"/>
    <s v="month"/>
    <n v="14"/>
    <s v="Thursday"/>
  </r>
  <r>
    <x v="2277"/>
    <d v="2023-06-23T00:00:00"/>
    <m/>
    <x v="0"/>
    <n v="39"/>
    <s v="month"/>
    <s v=""/>
    <s v="Friday"/>
  </r>
  <r>
    <x v="2278"/>
    <d v="2023-06-23T00:00:00"/>
    <m/>
    <x v="0"/>
    <n v="39"/>
    <s v="month"/>
    <s v=""/>
    <s v="Friday"/>
  </r>
  <r>
    <x v="2279"/>
    <d v="2023-06-23T00:00:00"/>
    <m/>
    <x v="0"/>
    <n v="39"/>
    <s v="month"/>
    <s v=""/>
    <s v="Friday"/>
  </r>
  <r>
    <x v="1983"/>
    <d v="2023-06-23T00:00:00"/>
    <m/>
    <x v="0"/>
    <n v="39"/>
    <s v="month"/>
    <s v=""/>
    <s v="Friday"/>
  </r>
  <r>
    <x v="2280"/>
    <d v="2023-06-23T00:00:00"/>
    <m/>
    <x v="0"/>
    <n v="39"/>
    <s v="month"/>
    <s v=""/>
    <s v="Friday"/>
  </r>
  <r>
    <x v="2281"/>
    <d v="2023-06-23T00:00:00"/>
    <m/>
    <x v="0"/>
    <n v="39"/>
    <s v="month"/>
    <s v=""/>
    <s v="Friday"/>
  </r>
  <r>
    <x v="422"/>
    <d v="2023-06-23T00:00:00"/>
    <d v="2023-08-23T00:00:00"/>
    <x v="0"/>
    <n v="39"/>
    <s v="month"/>
    <n v="61"/>
    <s v="Friday"/>
  </r>
  <r>
    <x v="2282"/>
    <d v="2023-06-23T00:00:00"/>
    <d v="2023-08-30T00:00:00"/>
    <x v="0"/>
    <n v="39"/>
    <s v="month"/>
    <n v="68"/>
    <s v="Friday"/>
  </r>
  <r>
    <x v="2283"/>
    <d v="2023-06-23T00:00:00"/>
    <d v="2023-08-12T00:00:00"/>
    <x v="0"/>
    <n v="39"/>
    <s v="month"/>
    <n v="50"/>
    <s v="Friday"/>
  </r>
  <r>
    <x v="2284"/>
    <d v="2023-06-24T00:00:00"/>
    <m/>
    <x v="0"/>
    <n v="39"/>
    <s v="month"/>
    <s v=""/>
    <s v="Saturday"/>
  </r>
  <r>
    <x v="2285"/>
    <d v="2023-06-24T00:00:00"/>
    <d v="2023-06-25T00:00:00"/>
    <x v="1"/>
    <n v="39"/>
    <s v="month"/>
    <n v="1"/>
    <s v="Saturday"/>
  </r>
  <r>
    <x v="2286"/>
    <d v="2023-06-24T00:00:00"/>
    <d v="2023-08-05T00:00:00"/>
    <x v="0"/>
    <n v="39"/>
    <s v="month"/>
    <n v="42"/>
    <s v="Saturday"/>
  </r>
  <r>
    <x v="2287"/>
    <d v="2023-06-25T00:00:00"/>
    <m/>
    <x v="0"/>
    <n v="39"/>
    <s v="month"/>
    <s v=""/>
    <s v="Sunday"/>
  </r>
  <r>
    <x v="2288"/>
    <d v="2023-06-25T00:00:00"/>
    <m/>
    <x v="0"/>
    <n v="39"/>
    <s v="month"/>
    <s v=""/>
    <s v="Sunday"/>
  </r>
  <r>
    <x v="1731"/>
    <d v="2023-06-25T00:00:00"/>
    <m/>
    <x v="0"/>
    <n v="39"/>
    <s v="month"/>
    <s v=""/>
    <s v="Sunday"/>
  </r>
  <r>
    <x v="2289"/>
    <d v="2023-06-25T00:00:00"/>
    <d v="2023-08-01T00:00:00"/>
    <x v="0"/>
    <n v="39"/>
    <s v="month"/>
    <n v="37"/>
    <s v="Sunday"/>
  </r>
  <r>
    <x v="2290"/>
    <d v="2023-06-25T00:00:00"/>
    <d v="2023-06-25T00:00:00"/>
    <x v="0"/>
    <n v="39"/>
    <s v="month"/>
    <n v="0"/>
    <s v="Sunday"/>
  </r>
  <r>
    <x v="2291"/>
    <d v="2023-06-26T00:00:00"/>
    <m/>
    <x v="0"/>
    <n v="39"/>
    <s v="month"/>
    <s v=""/>
    <s v="Monday"/>
  </r>
  <r>
    <x v="2292"/>
    <d v="2023-06-26T00:00:00"/>
    <m/>
    <x v="0"/>
    <n v="39"/>
    <s v="month"/>
    <s v=""/>
    <s v="Monday"/>
  </r>
  <r>
    <x v="2293"/>
    <d v="2023-06-26T00:00:00"/>
    <m/>
    <x v="0"/>
    <n v="39"/>
    <s v="month"/>
    <s v=""/>
    <s v="Monday"/>
  </r>
  <r>
    <x v="2294"/>
    <d v="2023-06-26T00:00:00"/>
    <m/>
    <x v="0"/>
    <n v="39"/>
    <s v="month"/>
    <s v=""/>
    <s v="Monday"/>
  </r>
  <r>
    <x v="2295"/>
    <d v="2023-06-26T00:00:00"/>
    <m/>
    <x v="0"/>
    <n v="39"/>
    <s v="month"/>
    <s v=""/>
    <s v="Monday"/>
  </r>
  <r>
    <x v="2296"/>
    <d v="2023-06-26T00:00:00"/>
    <m/>
    <x v="0"/>
    <n v="39"/>
    <s v="month"/>
    <s v=""/>
    <s v="Monday"/>
  </r>
  <r>
    <x v="2297"/>
    <d v="2023-06-26T00:00:00"/>
    <m/>
    <x v="0"/>
    <n v="39"/>
    <s v="month"/>
    <s v=""/>
    <s v="Monday"/>
  </r>
  <r>
    <x v="2298"/>
    <d v="2023-06-26T00:00:00"/>
    <m/>
    <x v="0"/>
    <n v="39"/>
    <s v="month"/>
    <s v=""/>
    <s v="Monday"/>
  </r>
  <r>
    <x v="2299"/>
    <d v="2023-06-26T00:00:00"/>
    <m/>
    <x v="0"/>
    <n v="39"/>
    <s v="month"/>
    <s v=""/>
    <s v="Monday"/>
  </r>
  <r>
    <x v="2300"/>
    <d v="2023-06-26T00:00:00"/>
    <m/>
    <x v="0"/>
    <n v="39"/>
    <s v="month"/>
    <s v=""/>
    <s v="Monday"/>
  </r>
  <r>
    <x v="2301"/>
    <d v="2023-06-26T00:00:00"/>
    <m/>
    <x v="0"/>
    <n v="39"/>
    <s v="month"/>
    <s v=""/>
    <s v="Monday"/>
  </r>
  <r>
    <x v="2302"/>
    <d v="2023-06-26T00:00:00"/>
    <m/>
    <x v="0"/>
    <n v="39"/>
    <s v="month"/>
    <s v=""/>
    <s v="Monday"/>
  </r>
  <r>
    <x v="2303"/>
    <d v="2023-06-26T00:00:00"/>
    <m/>
    <x v="0"/>
    <n v="39"/>
    <s v="month"/>
    <s v=""/>
    <s v="Monday"/>
  </r>
  <r>
    <x v="2304"/>
    <d v="2023-06-26T00:00:00"/>
    <d v="2023-09-06T00:00:00"/>
    <x v="0"/>
    <n v="39"/>
    <s v="month"/>
    <n v="72"/>
    <s v="Monday"/>
  </r>
  <r>
    <x v="2305"/>
    <d v="2023-06-26T00:00:00"/>
    <d v="2023-06-27T00:00:00"/>
    <x v="0"/>
    <n v="39"/>
    <s v="month"/>
    <n v="1"/>
    <s v="Monday"/>
  </r>
  <r>
    <x v="2306"/>
    <d v="2023-06-26T00:00:00"/>
    <d v="2023-06-27T00:00:00"/>
    <x v="1"/>
    <n v="39"/>
    <s v="month"/>
    <n v="1"/>
    <s v="Monday"/>
  </r>
  <r>
    <x v="2307"/>
    <d v="2023-06-27T00:00:00"/>
    <m/>
    <x v="0"/>
    <n v="39"/>
    <s v="month"/>
    <s v=""/>
    <s v="Tuesday"/>
  </r>
  <r>
    <x v="2308"/>
    <d v="2023-06-27T00:00:00"/>
    <m/>
    <x v="0"/>
    <n v="39"/>
    <s v="month"/>
    <s v=""/>
    <s v="Tuesday"/>
  </r>
  <r>
    <x v="2309"/>
    <d v="2023-06-27T00:00:00"/>
    <m/>
    <x v="0"/>
    <n v="39"/>
    <s v="month"/>
    <s v=""/>
    <s v="Tuesday"/>
  </r>
  <r>
    <x v="2310"/>
    <d v="2023-06-27T00:00:00"/>
    <m/>
    <x v="0"/>
    <n v="39"/>
    <s v="month"/>
    <s v=""/>
    <s v="Tuesday"/>
  </r>
  <r>
    <x v="2311"/>
    <d v="2023-06-27T00:00:00"/>
    <m/>
    <x v="0"/>
    <n v="39"/>
    <s v="month"/>
    <s v=""/>
    <s v="Tuesday"/>
  </r>
  <r>
    <x v="2312"/>
    <d v="2023-06-27T00:00:00"/>
    <d v="2023-06-28T00:00:00"/>
    <x v="1"/>
    <n v="39"/>
    <s v="month"/>
    <n v="1"/>
    <s v="Tuesday"/>
  </r>
  <r>
    <x v="2313"/>
    <d v="2023-06-27T00:00:00"/>
    <d v="2023-06-28T00:00:00"/>
    <x v="1"/>
    <n v="39"/>
    <s v="month"/>
    <n v="1"/>
    <s v="Tuesday"/>
  </r>
  <r>
    <x v="2314"/>
    <d v="2023-06-27T00:00:00"/>
    <d v="2023-06-28T00:00:00"/>
    <x v="1"/>
    <n v="39"/>
    <s v="month"/>
    <n v="1"/>
    <s v="Tuesday"/>
  </r>
  <r>
    <x v="2315"/>
    <d v="2023-06-27T00:00:00"/>
    <d v="2023-08-15T00:00:00"/>
    <x v="0"/>
    <n v="39"/>
    <s v="month"/>
    <n v="49"/>
    <s v="Tuesday"/>
  </r>
  <r>
    <x v="2241"/>
    <d v="2023-06-27T00:00:00"/>
    <d v="2023-09-03T00:00:00"/>
    <x v="0"/>
    <n v="39"/>
    <s v="month"/>
    <n v="68"/>
    <s v="Tuesday"/>
  </r>
  <r>
    <x v="2316"/>
    <d v="2023-06-27T00:00:00"/>
    <d v="2023-07-18T00:00:00"/>
    <x v="0"/>
    <n v="39"/>
    <s v="month"/>
    <n v="21"/>
    <s v="Tuesday"/>
  </r>
  <r>
    <x v="2317"/>
    <d v="2023-06-27T00:00:00"/>
    <d v="2023-07-17T00:00:00"/>
    <x v="0"/>
    <n v="39"/>
    <s v="month"/>
    <n v="20"/>
    <s v="Tuesday"/>
  </r>
  <r>
    <x v="2318"/>
    <d v="2023-06-28T00:00:00"/>
    <m/>
    <x v="0"/>
    <n v="39"/>
    <s v="month"/>
    <s v=""/>
    <s v="Wednesday"/>
  </r>
  <r>
    <x v="2319"/>
    <d v="2023-06-28T00:00:00"/>
    <m/>
    <x v="0"/>
    <n v="39"/>
    <s v="month"/>
    <s v=""/>
    <s v="Wednesday"/>
  </r>
  <r>
    <x v="2320"/>
    <d v="2023-06-28T00:00:00"/>
    <m/>
    <x v="0"/>
    <n v="39"/>
    <s v="month"/>
    <s v=""/>
    <s v="Wednesday"/>
  </r>
  <r>
    <x v="2321"/>
    <d v="2023-06-28T00:00:00"/>
    <m/>
    <x v="0"/>
    <n v="39"/>
    <s v="month"/>
    <s v=""/>
    <s v="Wednesday"/>
  </r>
  <r>
    <x v="2322"/>
    <d v="2023-06-28T00:00:00"/>
    <d v="2023-08-04T00:00:00"/>
    <x v="0"/>
    <n v="39"/>
    <s v="month"/>
    <n v="37"/>
    <s v="Wednesday"/>
  </r>
  <r>
    <x v="2323"/>
    <d v="2023-06-28T00:00:00"/>
    <d v="2023-07-22T00:00:00"/>
    <x v="0"/>
    <n v="39"/>
    <s v="month"/>
    <n v="24"/>
    <s v="Wednesday"/>
  </r>
  <r>
    <x v="2324"/>
    <d v="2023-06-28T00:00:00"/>
    <d v="2023-07-26T00:00:00"/>
    <x v="0"/>
    <n v="39"/>
    <s v="month"/>
    <n v="28"/>
    <s v="Wednesday"/>
  </r>
  <r>
    <x v="2325"/>
    <d v="2023-06-28T00:00:00"/>
    <d v="2023-07-28T00:00:00"/>
    <x v="0"/>
    <n v="39"/>
    <s v="month"/>
    <n v="30"/>
    <s v="Wednesday"/>
  </r>
  <r>
    <x v="2326"/>
    <d v="2023-06-29T00:00:00"/>
    <m/>
    <x v="0"/>
    <n v="39"/>
    <s v="month"/>
    <s v=""/>
    <s v="Thursday"/>
  </r>
  <r>
    <x v="2327"/>
    <d v="2023-06-29T00:00:00"/>
    <m/>
    <x v="0"/>
    <n v="39"/>
    <s v="month"/>
    <s v=""/>
    <s v="Thursday"/>
  </r>
  <r>
    <x v="2328"/>
    <d v="2023-06-29T00:00:00"/>
    <m/>
    <x v="0"/>
    <n v="39"/>
    <s v="month"/>
    <s v=""/>
    <s v="Thursday"/>
  </r>
  <r>
    <x v="2329"/>
    <d v="2023-06-29T00:00:00"/>
    <m/>
    <x v="0"/>
    <n v="39"/>
    <s v="month"/>
    <s v=""/>
    <s v="Thursday"/>
  </r>
  <r>
    <x v="2330"/>
    <d v="2023-06-29T00:00:00"/>
    <d v="2023-08-29T00:00:00"/>
    <x v="0"/>
    <n v="39"/>
    <s v="month"/>
    <n v="61"/>
    <s v="Thursday"/>
  </r>
  <r>
    <x v="1274"/>
    <d v="2023-06-29T00:00:00"/>
    <d v="2023-08-13T00:00:00"/>
    <x v="0"/>
    <n v="39"/>
    <s v="month"/>
    <n v="45"/>
    <s v="Thursday"/>
  </r>
  <r>
    <x v="2331"/>
    <d v="2023-06-29T00:00:00"/>
    <d v="2023-07-28T00:00:00"/>
    <x v="0"/>
    <n v="39"/>
    <s v="month"/>
    <n v="29"/>
    <s v="Thursday"/>
  </r>
  <r>
    <x v="2332"/>
    <d v="2023-06-30T00:00:00"/>
    <m/>
    <x v="0"/>
    <n v="39"/>
    <s v="month"/>
    <s v=""/>
    <s v="Friday"/>
  </r>
  <r>
    <x v="2333"/>
    <d v="2023-06-30T00:00:00"/>
    <m/>
    <x v="0"/>
    <n v="39"/>
    <s v="month"/>
    <s v=""/>
    <s v="Friday"/>
  </r>
  <r>
    <x v="2334"/>
    <d v="2023-06-30T00:00:00"/>
    <m/>
    <x v="0"/>
    <n v="39"/>
    <s v="month"/>
    <s v=""/>
    <s v="Friday"/>
  </r>
  <r>
    <x v="2335"/>
    <d v="2023-06-30T00:00:00"/>
    <m/>
    <x v="0"/>
    <n v="39"/>
    <s v="month"/>
    <s v=""/>
    <s v="Friday"/>
  </r>
  <r>
    <x v="2336"/>
    <d v="2023-06-30T00:00:00"/>
    <m/>
    <x v="0"/>
    <n v="39"/>
    <s v="month"/>
    <s v=""/>
    <s v="Friday"/>
  </r>
  <r>
    <x v="2337"/>
    <d v="2023-06-30T00:00:00"/>
    <m/>
    <x v="0"/>
    <n v="39"/>
    <s v="month"/>
    <s v=""/>
    <s v="Friday"/>
  </r>
  <r>
    <x v="2338"/>
    <d v="2023-06-30T00:00:00"/>
    <m/>
    <x v="0"/>
    <n v="39"/>
    <s v="month"/>
    <s v=""/>
    <s v="Friday"/>
  </r>
  <r>
    <x v="2339"/>
    <d v="2023-06-30T00:00:00"/>
    <m/>
    <x v="1"/>
    <n v="39"/>
    <s v="month"/>
    <s v=""/>
    <s v="Friday"/>
  </r>
  <r>
    <x v="1583"/>
    <d v="2023-06-30T00:00:00"/>
    <m/>
    <x v="0"/>
    <n v="39"/>
    <s v="month"/>
    <s v=""/>
    <s v="Friday"/>
  </r>
  <r>
    <x v="2340"/>
    <d v="2023-06-30T00:00:00"/>
    <d v="2023-07-01T00:00:00"/>
    <x v="0"/>
    <n v="39"/>
    <s v="month"/>
    <n v="1"/>
    <s v="Friday"/>
  </r>
  <r>
    <x v="2341"/>
    <d v="2023-06-30T00:00:00"/>
    <d v="2023-07-01T00:00:00"/>
    <x v="1"/>
    <n v="39"/>
    <s v="month"/>
    <n v="1"/>
    <s v="Friday"/>
  </r>
  <r>
    <x v="2342"/>
    <d v="2023-06-30T00:00:00"/>
    <d v="2023-08-31T00:00:00"/>
    <x v="0"/>
    <n v="39"/>
    <s v="month"/>
    <n v="62"/>
    <s v="Friday"/>
  </r>
  <r>
    <x v="2343"/>
    <d v="2023-06-30T00:00:00"/>
    <d v="2023-09-06T00:00:00"/>
    <x v="0"/>
    <n v="39"/>
    <s v="month"/>
    <n v="68"/>
    <s v="Friday"/>
  </r>
  <r>
    <x v="2344"/>
    <d v="2023-06-30T00:00:00"/>
    <d v="2023-07-27T00:00:00"/>
    <x v="0"/>
    <n v="39"/>
    <s v="month"/>
    <n v="27"/>
    <s v="Friday"/>
  </r>
  <r>
    <x v="2345"/>
    <d v="2023-07-01T00:00:00"/>
    <m/>
    <x v="0"/>
    <n v="39"/>
    <s v="month"/>
    <s v=""/>
    <s v="Saturday"/>
  </r>
  <r>
    <x v="2346"/>
    <d v="2023-07-01T00:00:00"/>
    <m/>
    <x v="0"/>
    <n v="39"/>
    <s v="month"/>
    <s v=""/>
    <s v="Saturday"/>
  </r>
  <r>
    <x v="2347"/>
    <d v="2023-07-01T00:00:00"/>
    <m/>
    <x v="0"/>
    <n v="39"/>
    <s v="month"/>
    <s v=""/>
    <s v="Saturday"/>
  </r>
  <r>
    <x v="2348"/>
    <d v="2023-07-01T00:00:00"/>
    <m/>
    <x v="0"/>
    <n v="39"/>
    <s v="month"/>
    <s v=""/>
    <s v="Saturday"/>
  </r>
  <r>
    <x v="2349"/>
    <d v="2023-07-01T00:00:00"/>
    <m/>
    <x v="0"/>
    <n v="39"/>
    <s v="month"/>
    <s v=""/>
    <s v="Saturday"/>
  </r>
  <r>
    <x v="2350"/>
    <d v="2023-07-01T00:00:00"/>
    <m/>
    <x v="0"/>
    <n v="39"/>
    <s v="month"/>
    <s v=""/>
    <s v="Saturday"/>
  </r>
  <r>
    <x v="2351"/>
    <d v="2023-07-01T00:00:00"/>
    <d v="2023-08-31T00:00:00"/>
    <x v="0"/>
    <n v="39"/>
    <s v="month"/>
    <n v="61"/>
    <s v="Saturday"/>
  </r>
  <r>
    <x v="2352"/>
    <d v="2023-07-01T00:00:00"/>
    <d v="2023-08-04T00:00:00"/>
    <x v="0"/>
    <n v="39"/>
    <s v="month"/>
    <n v="34"/>
    <s v="Saturday"/>
  </r>
  <r>
    <x v="2340"/>
    <d v="2023-07-01T00:00:00"/>
    <d v="2023-08-31T00:00:00"/>
    <x v="0"/>
    <n v="39"/>
    <s v="month"/>
    <n v="61"/>
    <s v="Saturday"/>
  </r>
  <r>
    <x v="2353"/>
    <d v="2023-07-02T00:00:00"/>
    <m/>
    <x v="0"/>
    <n v="39"/>
    <s v="month"/>
    <s v=""/>
    <s v="Sunday"/>
  </r>
  <r>
    <x v="2354"/>
    <d v="2023-07-02T00:00:00"/>
    <m/>
    <x v="0"/>
    <n v="39"/>
    <s v="month"/>
    <s v=""/>
    <s v="Sunday"/>
  </r>
  <r>
    <x v="2355"/>
    <d v="2023-07-02T00:00:00"/>
    <m/>
    <x v="0"/>
    <n v="39"/>
    <s v="month"/>
    <s v=""/>
    <s v="Sunday"/>
  </r>
  <r>
    <x v="2356"/>
    <d v="2023-07-02T00:00:00"/>
    <m/>
    <x v="0"/>
    <n v="39"/>
    <s v="month"/>
    <s v=""/>
    <s v="Sunday"/>
  </r>
  <r>
    <x v="2357"/>
    <d v="2023-07-02T00:00:00"/>
    <d v="2023-08-20T00:00:00"/>
    <x v="0"/>
    <n v="39"/>
    <s v="month"/>
    <n v="49"/>
    <s v="Sunday"/>
  </r>
  <r>
    <x v="2358"/>
    <d v="2023-07-02T00:00:00"/>
    <d v="2023-08-30T00:00:00"/>
    <x v="0"/>
    <n v="39"/>
    <s v="month"/>
    <n v="59"/>
    <s v="Sunday"/>
  </r>
  <r>
    <x v="2359"/>
    <d v="2023-07-02T00:00:00"/>
    <d v="2023-07-27T00:00:00"/>
    <x v="0"/>
    <n v="39"/>
    <s v="month"/>
    <n v="25"/>
    <s v="Sunday"/>
  </r>
  <r>
    <x v="2360"/>
    <d v="2023-07-03T00:00:00"/>
    <m/>
    <x v="0"/>
    <n v="39"/>
    <s v="month"/>
    <s v=""/>
    <s v="Monday"/>
  </r>
  <r>
    <x v="2361"/>
    <d v="2023-07-03T00:00:00"/>
    <m/>
    <x v="0"/>
    <n v="39"/>
    <s v="month"/>
    <s v=""/>
    <s v="Monday"/>
  </r>
  <r>
    <x v="2362"/>
    <d v="2023-07-03T00:00:00"/>
    <m/>
    <x v="0"/>
    <n v="39"/>
    <s v="month"/>
    <s v=""/>
    <s v="Monday"/>
  </r>
  <r>
    <x v="2363"/>
    <d v="2023-07-03T00:00:00"/>
    <m/>
    <x v="0"/>
    <n v="39"/>
    <s v="month"/>
    <s v=""/>
    <s v="Monday"/>
  </r>
  <r>
    <x v="2364"/>
    <d v="2023-07-03T00:00:00"/>
    <m/>
    <x v="0"/>
    <n v="39"/>
    <s v="month"/>
    <s v=""/>
    <s v="Monday"/>
  </r>
  <r>
    <x v="1594"/>
    <d v="2023-07-03T00:00:00"/>
    <m/>
    <x v="0"/>
    <n v="39"/>
    <s v="month"/>
    <s v=""/>
    <s v="Monday"/>
  </r>
  <r>
    <x v="2363"/>
    <d v="2023-07-03T00:00:00"/>
    <d v="2023-07-03T00:00:00"/>
    <x v="0"/>
    <n v="39"/>
    <s v="month"/>
    <n v="0"/>
    <s v="Monday"/>
  </r>
  <r>
    <x v="2365"/>
    <d v="2023-07-03T00:00:00"/>
    <d v="2023-08-20T00:00:00"/>
    <x v="0"/>
    <n v="39"/>
    <s v="month"/>
    <n v="48"/>
    <s v="Monday"/>
  </r>
  <r>
    <x v="2366"/>
    <d v="2023-07-03T00:00:00"/>
    <d v="2023-07-22T00:00:00"/>
    <x v="0"/>
    <n v="39"/>
    <s v="month"/>
    <n v="19"/>
    <s v="Monday"/>
  </r>
  <r>
    <x v="2367"/>
    <d v="2023-07-03T00:00:00"/>
    <d v="2023-08-10T00:00:00"/>
    <x v="0"/>
    <n v="39"/>
    <s v="month"/>
    <n v="38"/>
    <s v="Monday"/>
  </r>
  <r>
    <x v="2368"/>
    <d v="2023-07-03T00:00:00"/>
    <d v="2023-08-10T00:00:00"/>
    <x v="0"/>
    <n v="39"/>
    <s v="month"/>
    <n v="38"/>
    <s v="Monday"/>
  </r>
  <r>
    <x v="2369"/>
    <d v="2023-07-04T00:00:00"/>
    <m/>
    <x v="0"/>
    <n v="39"/>
    <s v="month"/>
    <s v=""/>
    <s v="Tuesday"/>
  </r>
  <r>
    <x v="2370"/>
    <d v="2023-07-04T00:00:00"/>
    <m/>
    <x v="0"/>
    <n v="39"/>
    <s v="month"/>
    <s v=""/>
    <s v="Tuesday"/>
  </r>
  <r>
    <x v="2371"/>
    <d v="2023-07-04T00:00:00"/>
    <m/>
    <x v="0"/>
    <n v="39"/>
    <s v="month"/>
    <s v=""/>
    <s v="Tuesday"/>
  </r>
  <r>
    <x v="1554"/>
    <d v="2023-07-04T00:00:00"/>
    <m/>
    <x v="0"/>
    <n v="39"/>
    <s v="month"/>
    <s v=""/>
    <s v="Tuesday"/>
  </r>
  <r>
    <x v="2372"/>
    <d v="2023-07-04T00:00:00"/>
    <m/>
    <x v="0"/>
    <n v="39"/>
    <s v="month"/>
    <s v=""/>
    <s v="Tuesday"/>
  </r>
  <r>
    <x v="2373"/>
    <d v="2023-07-04T00:00:00"/>
    <m/>
    <x v="0"/>
    <n v="39"/>
    <s v="month"/>
    <s v=""/>
    <s v="Tuesday"/>
  </r>
  <r>
    <x v="2374"/>
    <d v="2023-07-04T00:00:00"/>
    <d v="2023-07-04T00:00:00"/>
    <x v="0"/>
    <n v="39"/>
    <s v="month"/>
    <n v="0"/>
    <s v="Tuesday"/>
  </r>
  <r>
    <x v="2375"/>
    <d v="2023-07-04T00:00:00"/>
    <d v="2023-08-04T00:00:00"/>
    <x v="0"/>
    <n v="39"/>
    <s v="month"/>
    <n v="31"/>
    <s v="Tuesday"/>
  </r>
  <r>
    <x v="2376"/>
    <d v="2023-07-04T00:00:00"/>
    <d v="2023-09-03T00:00:00"/>
    <x v="0"/>
    <n v="39"/>
    <s v="month"/>
    <n v="61"/>
    <s v="Tuesday"/>
  </r>
  <r>
    <x v="2377"/>
    <d v="2023-07-04T00:00:00"/>
    <d v="2023-08-04T00:00:00"/>
    <x v="0"/>
    <n v="39"/>
    <s v="month"/>
    <n v="31"/>
    <s v="Tuesday"/>
  </r>
  <r>
    <x v="2378"/>
    <d v="2023-07-04T00:00:00"/>
    <d v="2023-07-11T00:00:00"/>
    <x v="0"/>
    <n v="39"/>
    <s v="month"/>
    <n v="7"/>
    <s v="Tuesday"/>
  </r>
  <r>
    <x v="2379"/>
    <d v="2023-07-05T00:00:00"/>
    <m/>
    <x v="0"/>
    <n v="39"/>
    <s v="month"/>
    <s v=""/>
    <s v="Wednesday"/>
  </r>
  <r>
    <x v="1155"/>
    <d v="2023-07-05T00:00:00"/>
    <m/>
    <x v="0"/>
    <n v="39"/>
    <s v="month"/>
    <s v=""/>
    <s v="Wednesday"/>
  </r>
  <r>
    <x v="2380"/>
    <d v="2023-07-05T00:00:00"/>
    <m/>
    <x v="0"/>
    <n v="39"/>
    <s v="month"/>
    <s v=""/>
    <s v="Wednesday"/>
  </r>
  <r>
    <x v="2381"/>
    <d v="2023-07-05T00:00:00"/>
    <m/>
    <x v="0"/>
    <n v="39"/>
    <s v="month"/>
    <s v=""/>
    <s v="Wednesday"/>
  </r>
  <r>
    <x v="2382"/>
    <d v="2023-07-05T00:00:00"/>
    <m/>
    <x v="0"/>
    <n v="39"/>
    <s v="month"/>
    <s v=""/>
    <s v="Wednesday"/>
  </r>
  <r>
    <x v="784"/>
    <d v="2023-07-05T00:00:00"/>
    <m/>
    <x v="0"/>
    <n v="39"/>
    <s v="month"/>
    <s v=""/>
    <s v="Wednesday"/>
  </r>
  <r>
    <x v="2383"/>
    <d v="2023-07-05T00:00:00"/>
    <d v="2023-07-06T00:00:00"/>
    <x v="1"/>
    <n v="39"/>
    <s v="month"/>
    <n v="1"/>
    <s v="Wednesday"/>
  </r>
  <r>
    <x v="1581"/>
    <d v="2023-07-05T00:00:00"/>
    <d v="2023-09-08T00:00:00"/>
    <x v="0"/>
    <n v="39"/>
    <s v="month"/>
    <n v="65"/>
    <s v="Wednesday"/>
  </r>
  <r>
    <x v="2384"/>
    <d v="2023-07-05T00:00:00"/>
    <d v="2023-08-08T00:00:00"/>
    <x v="0"/>
    <n v="39"/>
    <s v="month"/>
    <n v="34"/>
    <s v="Wednesday"/>
  </r>
  <r>
    <x v="2385"/>
    <d v="2023-07-05T00:00:00"/>
    <d v="2023-08-17T00:00:00"/>
    <x v="0"/>
    <n v="39"/>
    <s v="month"/>
    <n v="43"/>
    <s v="Wednesday"/>
  </r>
  <r>
    <x v="2386"/>
    <d v="2023-07-05T00:00:00"/>
    <d v="2023-07-06T00:00:00"/>
    <x v="0"/>
    <n v="39"/>
    <s v="month"/>
    <n v="1"/>
    <s v="Wednesday"/>
  </r>
  <r>
    <x v="2387"/>
    <d v="2023-07-05T00:00:00"/>
    <d v="2023-07-29T00:00:00"/>
    <x v="0"/>
    <n v="39"/>
    <s v="month"/>
    <n v="24"/>
    <s v="Wednesday"/>
  </r>
  <r>
    <x v="2388"/>
    <d v="2023-07-05T00:00:00"/>
    <d v="2023-07-29T00:00:00"/>
    <x v="0"/>
    <n v="39"/>
    <s v="month"/>
    <n v="24"/>
    <s v="Wednesday"/>
  </r>
  <r>
    <x v="2389"/>
    <d v="2023-07-06T00:00:00"/>
    <m/>
    <x v="0"/>
    <n v="39"/>
    <s v="month"/>
    <s v=""/>
    <s v="Thursday"/>
  </r>
  <r>
    <x v="2390"/>
    <d v="2023-07-06T00:00:00"/>
    <m/>
    <x v="0"/>
    <n v="39"/>
    <s v="month"/>
    <s v=""/>
    <s v="Thursday"/>
  </r>
  <r>
    <x v="2391"/>
    <d v="2023-07-06T00:00:00"/>
    <m/>
    <x v="0"/>
    <n v="39"/>
    <s v="month"/>
    <s v=""/>
    <s v="Thursday"/>
  </r>
  <r>
    <x v="2392"/>
    <d v="2023-07-06T00:00:00"/>
    <m/>
    <x v="0"/>
    <n v="39"/>
    <s v="month"/>
    <s v=""/>
    <s v="Thursday"/>
  </r>
  <r>
    <x v="2393"/>
    <d v="2023-07-06T00:00:00"/>
    <m/>
    <x v="0"/>
    <n v="39"/>
    <s v="month"/>
    <s v=""/>
    <s v="Thursday"/>
  </r>
  <r>
    <x v="2394"/>
    <d v="2023-07-06T00:00:00"/>
    <m/>
    <x v="0"/>
    <n v="39"/>
    <s v="month"/>
    <s v=""/>
    <s v="Thursday"/>
  </r>
  <r>
    <x v="2002"/>
    <d v="2023-07-06T00:00:00"/>
    <d v="2023-08-02T00:00:00"/>
    <x v="0"/>
    <n v="39"/>
    <s v="month"/>
    <n v="27"/>
    <s v="Thursday"/>
  </r>
  <r>
    <x v="2395"/>
    <d v="2023-07-06T00:00:00"/>
    <d v="2023-08-13T00:00:00"/>
    <x v="0"/>
    <n v="39"/>
    <s v="month"/>
    <n v="38"/>
    <s v="Thursday"/>
  </r>
  <r>
    <x v="2396"/>
    <d v="2023-07-06T00:00:00"/>
    <d v="2023-08-06T00:00:00"/>
    <x v="0"/>
    <n v="39"/>
    <s v="month"/>
    <n v="31"/>
    <s v="Thursday"/>
  </r>
  <r>
    <x v="2397"/>
    <d v="2023-07-07T00:00:00"/>
    <m/>
    <x v="0"/>
    <n v="39"/>
    <s v="month"/>
    <s v=""/>
    <s v="Friday"/>
  </r>
  <r>
    <x v="449"/>
    <d v="2023-07-07T00:00:00"/>
    <m/>
    <x v="0"/>
    <n v="39"/>
    <s v="month"/>
    <s v=""/>
    <s v="Friday"/>
  </r>
  <r>
    <x v="2398"/>
    <d v="2023-07-07T00:00:00"/>
    <m/>
    <x v="0"/>
    <n v="39"/>
    <s v="month"/>
    <s v=""/>
    <s v="Friday"/>
  </r>
  <r>
    <x v="2399"/>
    <d v="2023-07-07T00:00:00"/>
    <m/>
    <x v="0"/>
    <n v="39"/>
    <s v="month"/>
    <s v=""/>
    <s v="Friday"/>
  </r>
  <r>
    <x v="2400"/>
    <d v="2023-07-07T00:00:00"/>
    <m/>
    <x v="0"/>
    <n v="39"/>
    <s v="month"/>
    <s v=""/>
    <s v="Friday"/>
  </r>
  <r>
    <x v="2401"/>
    <d v="2023-07-07T00:00:00"/>
    <d v="2023-07-10T00:00:00"/>
    <x v="0"/>
    <n v="39"/>
    <s v="month"/>
    <n v="3"/>
    <s v="Friday"/>
  </r>
  <r>
    <x v="2402"/>
    <d v="2023-07-07T00:00:00"/>
    <d v="2023-07-27T00:00:00"/>
    <x v="0"/>
    <n v="39"/>
    <s v="month"/>
    <n v="20"/>
    <s v="Friday"/>
  </r>
  <r>
    <x v="2403"/>
    <d v="2023-07-08T00:00:00"/>
    <m/>
    <x v="0"/>
    <n v="39"/>
    <s v="month"/>
    <s v=""/>
    <s v="Saturday"/>
  </r>
  <r>
    <x v="796"/>
    <d v="2023-07-08T00:00:00"/>
    <m/>
    <x v="0"/>
    <n v="39"/>
    <s v="month"/>
    <s v=""/>
    <s v="Saturday"/>
  </r>
  <r>
    <x v="2404"/>
    <d v="2023-07-08T00:00:00"/>
    <m/>
    <x v="0"/>
    <n v="39"/>
    <s v="month"/>
    <s v=""/>
    <s v="Saturday"/>
  </r>
  <r>
    <x v="2405"/>
    <d v="2023-07-08T00:00:00"/>
    <m/>
    <x v="0"/>
    <n v="39"/>
    <s v="month"/>
    <s v=""/>
    <s v="Saturday"/>
  </r>
  <r>
    <x v="209"/>
    <d v="2023-07-08T00:00:00"/>
    <m/>
    <x v="0"/>
    <n v="39"/>
    <s v="month"/>
    <s v=""/>
    <s v="Saturday"/>
  </r>
  <r>
    <x v="2406"/>
    <d v="2023-07-08T00:00:00"/>
    <m/>
    <x v="0"/>
    <n v="39"/>
    <s v="month"/>
    <s v=""/>
    <s v="Saturday"/>
  </r>
  <r>
    <x v="1611"/>
    <d v="2023-07-08T00:00:00"/>
    <m/>
    <x v="0"/>
    <n v="39"/>
    <s v="month"/>
    <s v=""/>
    <s v="Saturday"/>
  </r>
  <r>
    <x v="2407"/>
    <d v="2023-07-08T00:00:00"/>
    <d v="2023-07-09T00:00:00"/>
    <x v="0"/>
    <n v="39"/>
    <s v="month"/>
    <n v="1"/>
    <s v="Saturday"/>
  </r>
  <r>
    <x v="2408"/>
    <d v="2023-07-08T00:00:00"/>
    <d v="2023-08-15T00:00:00"/>
    <x v="0"/>
    <n v="39"/>
    <s v="month"/>
    <n v="38"/>
    <s v="Saturday"/>
  </r>
  <r>
    <x v="2409"/>
    <d v="2023-07-09T00:00:00"/>
    <m/>
    <x v="0"/>
    <n v="39"/>
    <s v="month"/>
    <s v=""/>
    <s v="Sunday"/>
  </r>
  <r>
    <x v="2410"/>
    <d v="2023-07-09T00:00:00"/>
    <m/>
    <x v="0"/>
    <n v="39"/>
    <s v="month"/>
    <s v=""/>
    <s v="Sunday"/>
  </r>
  <r>
    <x v="2411"/>
    <d v="2023-07-09T00:00:00"/>
    <m/>
    <x v="0"/>
    <n v="39"/>
    <s v="month"/>
    <s v=""/>
    <s v="Sunday"/>
  </r>
  <r>
    <x v="2412"/>
    <d v="2023-07-09T00:00:00"/>
    <m/>
    <x v="0"/>
    <n v="39"/>
    <s v="month"/>
    <s v=""/>
    <s v="Sunday"/>
  </r>
  <r>
    <x v="1459"/>
    <d v="2023-07-09T00:00:00"/>
    <d v="2023-07-10T00:00:00"/>
    <x v="0"/>
    <n v="39"/>
    <s v="month"/>
    <n v="1"/>
    <s v="Sunday"/>
  </r>
  <r>
    <x v="2413"/>
    <d v="2023-07-09T00:00:00"/>
    <d v="2023-08-03T00:00:00"/>
    <x v="0"/>
    <n v="39"/>
    <s v="month"/>
    <n v="25"/>
    <s v="Sunday"/>
  </r>
  <r>
    <x v="2414"/>
    <d v="2023-07-09T00:00:00"/>
    <d v="2023-07-27T00:00:00"/>
    <x v="0"/>
    <n v="39"/>
    <s v="month"/>
    <n v="18"/>
    <s v="Sunday"/>
  </r>
  <r>
    <x v="2415"/>
    <d v="2023-07-10T00:00:00"/>
    <m/>
    <x v="0"/>
    <n v="39"/>
    <s v="month"/>
    <s v=""/>
    <s v="Monday"/>
  </r>
  <r>
    <x v="2416"/>
    <d v="2023-07-10T00:00:00"/>
    <m/>
    <x v="0"/>
    <n v="39"/>
    <s v="month"/>
    <s v=""/>
    <s v="Monday"/>
  </r>
  <r>
    <x v="2417"/>
    <d v="2023-07-10T00:00:00"/>
    <m/>
    <x v="0"/>
    <n v="39"/>
    <s v="month"/>
    <s v=""/>
    <s v="Monday"/>
  </r>
  <r>
    <x v="2418"/>
    <d v="2023-07-10T00:00:00"/>
    <m/>
    <x v="0"/>
    <n v="39"/>
    <s v="month"/>
    <s v=""/>
    <s v="Monday"/>
  </r>
  <r>
    <x v="2419"/>
    <d v="2023-07-10T00:00:00"/>
    <d v="2023-07-11T00:00:00"/>
    <x v="0"/>
    <n v="39"/>
    <s v="month"/>
    <n v="1"/>
    <s v="Monday"/>
  </r>
  <r>
    <x v="2420"/>
    <d v="2023-07-10T00:00:00"/>
    <d v="2023-07-11T00:00:00"/>
    <x v="1"/>
    <n v="39"/>
    <s v="month"/>
    <n v="1"/>
    <s v="Monday"/>
  </r>
  <r>
    <x v="2421"/>
    <d v="2023-07-10T00:00:00"/>
    <d v="2023-07-10T00:00:00"/>
    <x v="1"/>
    <n v="39"/>
    <s v="month"/>
    <n v="0"/>
    <s v="Monday"/>
  </r>
  <r>
    <x v="2422"/>
    <d v="2023-07-10T00:00:00"/>
    <d v="2023-07-11T00:00:00"/>
    <x v="1"/>
    <n v="39"/>
    <s v="month"/>
    <n v="1"/>
    <s v="Monday"/>
  </r>
  <r>
    <x v="2423"/>
    <d v="2023-07-10T00:00:00"/>
    <d v="2023-07-10T00:00:00"/>
    <x v="1"/>
    <n v="39"/>
    <s v="month"/>
    <n v="0"/>
    <s v="Monday"/>
  </r>
  <r>
    <x v="2424"/>
    <d v="2023-07-10T00:00:00"/>
    <d v="2023-07-11T00:00:00"/>
    <x v="1"/>
    <n v="39"/>
    <s v="month"/>
    <n v="1"/>
    <s v="Monday"/>
  </r>
  <r>
    <x v="2425"/>
    <d v="2023-07-10T00:00:00"/>
    <d v="2023-07-10T00:00:00"/>
    <x v="1"/>
    <n v="39"/>
    <s v="month"/>
    <n v="0"/>
    <s v="Monday"/>
  </r>
  <r>
    <x v="2426"/>
    <d v="2023-07-10T00:00:00"/>
    <d v="2023-08-17T00:00:00"/>
    <x v="0"/>
    <n v="39"/>
    <s v="month"/>
    <n v="38"/>
    <s v="Monday"/>
  </r>
  <r>
    <x v="2427"/>
    <d v="2023-07-10T00:00:00"/>
    <d v="2023-08-12T00:00:00"/>
    <x v="0"/>
    <n v="39"/>
    <s v="month"/>
    <n v="33"/>
    <s v="Monday"/>
  </r>
  <r>
    <x v="2428"/>
    <d v="2023-07-10T00:00:00"/>
    <d v="2023-08-10T00:00:00"/>
    <x v="0"/>
    <n v="39"/>
    <s v="month"/>
    <n v="31"/>
    <s v="Monday"/>
  </r>
  <r>
    <x v="2429"/>
    <d v="2023-07-10T00:00:00"/>
    <d v="2023-07-30T00:00:00"/>
    <x v="0"/>
    <n v="39"/>
    <s v="month"/>
    <n v="20"/>
    <s v="Monday"/>
  </r>
  <r>
    <x v="2430"/>
    <d v="2023-07-10T00:00:00"/>
    <d v="2023-07-10T00:00:00"/>
    <x v="0"/>
    <n v="39"/>
    <s v="month"/>
    <n v="0"/>
    <s v="Monday"/>
  </r>
  <r>
    <x v="2431"/>
    <d v="2023-07-11T00:00:00"/>
    <m/>
    <x v="0"/>
    <n v="39"/>
    <s v="month"/>
    <s v=""/>
    <s v="Tuesday"/>
  </r>
  <r>
    <x v="2432"/>
    <d v="2023-07-11T00:00:00"/>
    <m/>
    <x v="0"/>
    <n v="39"/>
    <s v="month"/>
    <s v=""/>
    <s v="Tuesday"/>
  </r>
  <r>
    <x v="1893"/>
    <d v="2023-07-11T00:00:00"/>
    <m/>
    <x v="0"/>
    <n v="39"/>
    <s v="month"/>
    <s v=""/>
    <s v="Tuesday"/>
  </r>
  <r>
    <x v="2433"/>
    <d v="2023-07-11T00:00:00"/>
    <m/>
    <x v="0"/>
    <n v="39"/>
    <s v="month"/>
    <s v=""/>
    <s v="Tuesday"/>
  </r>
  <r>
    <x v="2434"/>
    <d v="2023-07-11T00:00:00"/>
    <m/>
    <x v="0"/>
    <n v="39"/>
    <s v="month"/>
    <s v=""/>
    <s v="Tuesday"/>
  </r>
  <r>
    <x v="2435"/>
    <d v="2023-07-11T00:00:00"/>
    <m/>
    <x v="0"/>
    <n v="39"/>
    <s v="month"/>
    <s v=""/>
    <s v="Tuesday"/>
  </r>
  <r>
    <x v="2436"/>
    <d v="2023-07-11T00:00:00"/>
    <m/>
    <x v="0"/>
    <n v="39"/>
    <s v="month"/>
    <s v=""/>
    <s v="Tuesday"/>
  </r>
  <r>
    <x v="2437"/>
    <d v="2023-07-11T00:00:00"/>
    <m/>
    <x v="0"/>
    <n v="39"/>
    <s v="month"/>
    <s v=""/>
    <s v="Tuesday"/>
  </r>
  <r>
    <x v="2438"/>
    <d v="2023-07-11T00:00:00"/>
    <d v="2023-09-05T00:00:00"/>
    <x v="0"/>
    <n v="39"/>
    <s v="month"/>
    <n v="56"/>
    <s v="Tuesday"/>
  </r>
  <r>
    <x v="2439"/>
    <d v="2023-07-11T00:00:00"/>
    <d v="2023-08-30T00:00:00"/>
    <x v="0"/>
    <n v="39"/>
    <s v="month"/>
    <n v="50"/>
    <s v="Tuesday"/>
  </r>
  <r>
    <x v="2440"/>
    <d v="2023-07-11T00:00:00"/>
    <d v="2023-09-07T00:00:00"/>
    <x v="0"/>
    <n v="39"/>
    <s v="month"/>
    <n v="58"/>
    <s v="Tuesday"/>
  </r>
  <r>
    <x v="2441"/>
    <d v="2023-07-11T00:00:00"/>
    <d v="2023-08-18T00:00:00"/>
    <x v="0"/>
    <n v="39"/>
    <s v="month"/>
    <n v="38"/>
    <s v="Tuesday"/>
  </r>
  <r>
    <x v="2442"/>
    <d v="2023-07-11T00:00:00"/>
    <d v="2023-08-11T00:00:00"/>
    <x v="0"/>
    <n v="39"/>
    <s v="month"/>
    <n v="31"/>
    <s v="Tuesday"/>
  </r>
  <r>
    <x v="2443"/>
    <d v="2023-07-11T00:00:00"/>
    <d v="2023-08-10T00:00:00"/>
    <x v="0"/>
    <n v="39"/>
    <s v="month"/>
    <n v="30"/>
    <s v="Tuesday"/>
  </r>
  <r>
    <x v="2444"/>
    <d v="2023-07-11T00:00:00"/>
    <d v="2023-08-18T00:00:00"/>
    <x v="0"/>
    <n v="39"/>
    <s v="month"/>
    <n v="38"/>
    <s v="Tuesday"/>
  </r>
  <r>
    <x v="2445"/>
    <d v="2023-07-11T00:00:00"/>
    <d v="2023-07-12T00:00:00"/>
    <x v="0"/>
    <n v="39"/>
    <s v="month"/>
    <n v="1"/>
    <s v="Tuesday"/>
  </r>
  <r>
    <x v="2446"/>
    <d v="2023-07-12T00:00:00"/>
    <m/>
    <x v="0"/>
    <n v="39"/>
    <s v="month"/>
    <s v=""/>
    <s v="Wednesday"/>
  </r>
  <r>
    <x v="2447"/>
    <d v="2023-07-12T00:00:00"/>
    <m/>
    <x v="0"/>
    <n v="39"/>
    <s v="month"/>
    <s v=""/>
    <s v="Wednesday"/>
  </r>
  <r>
    <x v="2448"/>
    <d v="2023-07-12T00:00:00"/>
    <m/>
    <x v="0"/>
    <n v="39"/>
    <s v="month"/>
    <s v=""/>
    <s v="Wednesday"/>
  </r>
  <r>
    <x v="2449"/>
    <d v="2023-07-12T00:00:00"/>
    <m/>
    <x v="0"/>
    <n v="39"/>
    <s v="month"/>
    <s v=""/>
    <s v="Wednesday"/>
  </r>
  <r>
    <x v="2450"/>
    <d v="2023-07-12T00:00:00"/>
    <m/>
    <x v="0"/>
    <n v="39"/>
    <s v="month"/>
    <s v=""/>
    <s v="Wednesday"/>
  </r>
  <r>
    <x v="2451"/>
    <d v="2023-07-12T00:00:00"/>
    <m/>
    <x v="0"/>
    <n v="39"/>
    <s v="month"/>
    <s v=""/>
    <s v="Wednesday"/>
  </r>
  <r>
    <x v="2452"/>
    <d v="2023-07-12T00:00:00"/>
    <d v="2023-08-22T00:00:00"/>
    <x v="0"/>
    <n v="39"/>
    <s v="month"/>
    <n v="41"/>
    <s v="Wednesday"/>
  </r>
  <r>
    <x v="2453"/>
    <d v="2023-07-12T00:00:00"/>
    <d v="2023-08-13T00:00:00"/>
    <x v="0"/>
    <n v="39"/>
    <s v="month"/>
    <n v="32"/>
    <s v="Wednesday"/>
  </r>
  <r>
    <x v="2454"/>
    <d v="2023-07-12T00:00:00"/>
    <d v="2023-07-22T00:00:00"/>
    <x v="0"/>
    <n v="39"/>
    <s v="month"/>
    <n v="10"/>
    <s v="Wednesday"/>
  </r>
  <r>
    <x v="2455"/>
    <d v="2023-07-13T00:00:00"/>
    <m/>
    <x v="0"/>
    <n v="39"/>
    <s v="month"/>
    <s v=""/>
    <s v="Thursday"/>
  </r>
  <r>
    <x v="2456"/>
    <d v="2023-07-13T00:00:00"/>
    <m/>
    <x v="0"/>
    <n v="39"/>
    <s v="month"/>
    <s v=""/>
    <s v="Thursday"/>
  </r>
  <r>
    <x v="2457"/>
    <d v="2023-07-13T00:00:00"/>
    <m/>
    <x v="0"/>
    <n v="39"/>
    <s v="month"/>
    <s v=""/>
    <s v="Thursday"/>
  </r>
  <r>
    <x v="2458"/>
    <d v="2023-07-13T00:00:00"/>
    <m/>
    <x v="0"/>
    <n v="39"/>
    <s v="month"/>
    <s v=""/>
    <s v="Thursday"/>
  </r>
  <r>
    <x v="2459"/>
    <d v="2023-07-13T00:00:00"/>
    <m/>
    <x v="0"/>
    <n v="39"/>
    <s v="month"/>
    <s v=""/>
    <s v="Thursday"/>
  </r>
  <r>
    <x v="2460"/>
    <d v="2023-07-13T00:00:00"/>
    <d v="2023-08-16T00:00:00"/>
    <x v="0"/>
    <n v="39"/>
    <s v="month"/>
    <n v="34"/>
    <s v="Thursday"/>
  </r>
  <r>
    <x v="2461"/>
    <d v="2023-07-13T00:00:00"/>
    <d v="2023-08-09T00:00:00"/>
    <x v="0"/>
    <n v="39"/>
    <s v="month"/>
    <n v="27"/>
    <s v="Thursday"/>
  </r>
  <r>
    <x v="2462"/>
    <d v="2023-07-13T00:00:00"/>
    <d v="2023-08-14T00:00:00"/>
    <x v="0"/>
    <n v="39"/>
    <s v="month"/>
    <n v="32"/>
    <s v="Thursday"/>
  </r>
  <r>
    <x v="2463"/>
    <d v="2023-07-13T00:00:00"/>
    <d v="2023-08-14T00:00:00"/>
    <x v="0"/>
    <n v="39"/>
    <s v="month"/>
    <n v="32"/>
    <s v="Thursday"/>
  </r>
  <r>
    <x v="2464"/>
    <d v="2023-07-13T00:00:00"/>
    <d v="2023-07-17T00:00:00"/>
    <x v="0"/>
    <n v="39"/>
    <s v="month"/>
    <n v="4"/>
    <s v="Thursday"/>
  </r>
  <r>
    <x v="2465"/>
    <d v="2023-07-14T00:00:00"/>
    <m/>
    <x v="0"/>
    <n v="39"/>
    <s v="month"/>
    <s v=""/>
    <s v="Friday"/>
  </r>
  <r>
    <x v="2466"/>
    <d v="2023-07-14T00:00:00"/>
    <m/>
    <x v="0"/>
    <n v="39"/>
    <s v="month"/>
    <s v=""/>
    <s v="Friday"/>
  </r>
  <r>
    <x v="2467"/>
    <d v="2023-07-14T00:00:00"/>
    <d v="2023-09-08T00:00:00"/>
    <x v="0"/>
    <n v="39"/>
    <s v="month"/>
    <n v="56"/>
    <s v="Friday"/>
  </r>
  <r>
    <x v="2468"/>
    <d v="2023-07-14T00:00:00"/>
    <d v="2023-08-21T00:00:00"/>
    <x v="0"/>
    <n v="39"/>
    <s v="month"/>
    <n v="38"/>
    <s v="Friday"/>
  </r>
  <r>
    <x v="2407"/>
    <d v="2023-07-14T00:00:00"/>
    <d v="2023-08-21T00:00:00"/>
    <x v="0"/>
    <n v="39"/>
    <s v="month"/>
    <n v="38"/>
    <s v="Friday"/>
  </r>
  <r>
    <x v="2469"/>
    <d v="2023-07-14T00:00:00"/>
    <d v="2023-08-21T00:00:00"/>
    <x v="0"/>
    <n v="39"/>
    <s v="month"/>
    <n v="38"/>
    <s v="Friday"/>
  </r>
  <r>
    <x v="2470"/>
    <d v="2023-07-14T00:00:00"/>
    <d v="2023-07-15T00:00:00"/>
    <x v="0"/>
    <n v="39"/>
    <s v="month"/>
    <n v="1"/>
    <s v="Friday"/>
  </r>
  <r>
    <x v="2471"/>
    <d v="2023-07-15T00:00:00"/>
    <m/>
    <x v="0"/>
    <n v="39"/>
    <s v="month"/>
    <s v=""/>
    <s v="Saturday"/>
  </r>
  <r>
    <x v="2472"/>
    <d v="2023-07-15T00:00:00"/>
    <m/>
    <x v="0"/>
    <n v="39"/>
    <s v="month"/>
    <s v=""/>
    <s v="Saturday"/>
  </r>
  <r>
    <x v="2473"/>
    <d v="2023-07-15T00:00:00"/>
    <m/>
    <x v="0"/>
    <n v="39"/>
    <s v="month"/>
    <s v=""/>
    <s v="Saturday"/>
  </r>
  <r>
    <x v="2474"/>
    <d v="2023-07-15T00:00:00"/>
    <m/>
    <x v="0"/>
    <n v="39"/>
    <s v="month"/>
    <s v=""/>
    <s v="Saturday"/>
  </r>
  <r>
    <x v="2475"/>
    <d v="2023-07-15T00:00:00"/>
    <m/>
    <x v="0"/>
    <n v="39"/>
    <s v="month"/>
    <s v=""/>
    <s v="Saturday"/>
  </r>
  <r>
    <x v="1512"/>
    <d v="2023-07-15T00:00:00"/>
    <d v="2023-07-16T00:00:00"/>
    <x v="0"/>
    <n v="39"/>
    <s v="month"/>
    <n v="1"/>
    <s v="Saturday"/>
  </r>
  <r>
    <x v="1419"/>
    <d v="2023-07-15T00:00:00"/>
    <d v="2023-07-23T00:00:00"/>
    <x v="0"/>
    <n v="39"/>
    <s v="month"/>
    <n v="8"/>
    <s v="Saturday"/>
  </r>
  <r>
    <x v="2476"/>
    <d v="2023-07-15T00:00:00"/>
    <d v="2023-08-22T00:00:00"/>
    <x v="0"/>
    <n v="39"/>
    <s v="month"/>
    <n v="38"/>
    <s v="Saturday"/>
  </r>
  <r>
    <x v="2477"/>
    <d v="2023-07-16T00:00:00"/>
    <m/>
    <x v="0"/>
    <n v="39"/>
    <s v="month"/>
    <s v=""/>
    <s v="Sunday"/>
  </r>
  <r>
    <x v="2478"/>
    <d v="2023-07-16T00:00:00"/>
    <m/>
    <x v="0"/>
    <n v="39"/>
    <s v="month"/>
    <s v=""/>
    <s v="Sunday"/>
  </r>
  <r>
    <x v="727"/>
    <d v="2023-07-16T00:00:00"/>
    <m/>
    <x v="0"/>
    <n v="39"/>
    <s v="month"/>
    <s v=""/>
    <s v="Sunday"/>
  </r>
  <r>
    <x v="2479"/>
    <d v="2023-07-16T00:00:00"/>
    <m/>
    <x v="0"/>
    <n v="39"/>
    <s v="month"/>
    <s v=""/>
    <s v="Sunday"/>
  </r>
  <r>
    <x v="2480"/>
    <d v="2023-07-16T00:00:00"/>
    <m/>
    <x v="0"/>
    <n v="39"/>
    <s v="month"/>
    <s v=""/>
    <s v="Sunday"/>
  </r>
  <r>
    <x v="2481"/>
    <d v="2023-07-16T00:00:00"/>
    <d v="2023-08-23T00:00:00"/>
    <x v="0"/>
    <n v="39"/>
    <s v="month"/>
    <n v="38"/>
    <s v="Sunday"/>
  </r>
  <r>
    <x v="2482"/>
    <d v="2023-07-16T00:00:00"/>
    <d v="2023-08-03T00:00:00"/>
    <x v="0"/>
    <n v="39"/>
    <s v="month"/>
    <n v="18"/>
    <s v="Sunday"/>
  </r>
  <r>
    <x v="2483"/>
    <d v="2023-07-16T00:00:00"/>
    <d v="2023-08-19T00:00:00"/>
    <x v="0"/>
    <n v="39"/>
    <s v="month"/>
    <n v="34"/>
    <s v="Sunday"/>
  </r>
  <r>
    <x v="2484"/>
    <d v="2023-07-17T00:00:00"/>
    <m/>
    <x v="0"/>
    <n v="39"/>
    <s v="month"/>
    <s v=""/>
    <s v="Monday"/>
  </r>
  <r>
    <x v="2485"/>
    <d v="2023-07-17T00:00:00"/>
    <m/>
    <x v="0"/>
    <n v="39"/>
    <s v="month"/>
    <s v=""/>
    <s v="Monday"/>
  </r>
  <r>
    <x v="2486"/>
    <d v="2023-07-17T00:00:00"/>
    <m/>
    <x v="0"/>
    <n v="39"/>
    <s v="month"/>
    <s v=""/>
    <s v="Monday"/>
  </r>
  <r>
    <x v="2487"/>
    <d v="2023-07-17T00:00:00"/>
    <m/>
    <x v="0"/>
    <n v="39"/>
    <s v="month"/>
    <s v=""/>
    <s v="Monday"/>
  </r>
  <r>
    <x v="2488"/>
    <d v="2023-07-17T00:00:00"/>
    <m/>
    <x v="0"/>
    <n v="39"/>
    <s v="month"/>
    <s v=""/>
    <s v="Monday"/>
  </r>
  <r>
    <x v="2489"/>
    <d v="2023-07-17T00:00:00"/>
    <m/>
    <x v="0"/>
    <n v="39"/>
    <s v="month"/>
    <s v=""/>
    <s v="Monday"/>
  </r>
  <r>
    <x v="2490"/>
    <d v="2023-07-17T00:00:00"/>
    <m/>
    <x v="0"/>
    <n v="39"/>
    <s v="month"/>
    <s v=""/>
    <s v="Monday"/>
  </r>
  <r>
    <x v="2491"/>
    <d v="2023-07-17T00:00:00"/>
    <d v="2023-07-18T00:00:00"/>
    <x v="0"/>
    <n v="39"/>
    <s v="month"/>
    <n v="1"/>
    <s v="Monday"/>
  </r>
  <r>
    <x v="2492"/>
    <d v="2023-07-17T00:00:00"/>
    <d v="2023-08-24T00:00:00"/>
    <x v="0"/>
    <n v="39"/>
    <s v="month"/>
    <n v="38"/>
    <s v="Monday"/>
  </r>
  <r>
    <x v="2493"/>
    <d v="2023-07-17T00:00:00"/>
    <d v="2023-08-14T00:00:00"/>
    <x v="0"/>
    <n v="39"/>
    <s v="month"/>
    <n v="28"/>
    <s v="Monday"/>
  </r>
  <r>
    <x v="2494"/>
    <d v="2023-07-17T00:00:00"/>
    <d v="2023-08-15T00:00:00"/>
    <x v="0"/>
    <n v="39"/>
    <s v="month"/>
    <n v="29"/>
    <s v="Monday"/>
  </r>
  <r>
    <x v="2495"/>
    <d v="2023-07-17T00:00:00"/>
    <d v="2023-08-24T00:00:00"/>
    <x v="0"/>
    <n v="39"/>
    <s v="month"/>
    <n v="38"/>
    <s v="Monday"/>
  </r>
  <r>
    <x v="2496"/>
    <d v="2023-07-17T00:00:00"/>
    <d v="2023-07-17T00:00:00"/>
    <x v="0"/>
    <n v="39"/>
    <s v="month"/>
    <n v="0"/>
    <s v="Monday"/>
  </r>
  <r>
    <x v="2497"/>
    <d v="2023-07-17T00:00:00"/>
    <d v="2023-09-01T00:00:00"/>
    <x v="0"/>
    <n v="39"/>
    <s v="month"/>
    <n v="46"/>
    <s v="Monday"/>
  </r>
  <r>
    <x v="2498"/>
    <d v="2023-07-18T00:00:00"/>
    <m/>
    <x v="0"/>
    <n v="39"/>
    <s v="month"/>
    <s v=""/>
    <s v="Tuesday"/>
  </r>
  <r>
    <x v="2499"/>
    <d v="2023-07-18T00:00:00"/>
    <m/>
    <x v="0"/>
    <n v="39"/>
    <s v="month"/>
    <s v=""/>
    <s v="Tuesday"/>
  </r>
  <r>
    <x v="2500"/>
    <d v="2023-07-18T00:00:00"/>
    <m/>
    <x v="0"/>
    <n v="39"/>
    <s v="month"/>
    <s v=""/>
    <s v="Tuesday"/>
  </r>
  <r>
    <x v="2501"/>
    <d v="2023-07-18T00:00:00"/>
    <m/>
    <x v="0"/>
    <n v="39"/>
    <s v="month"/>
    <s v=""/>
    <s v="Tuesday"/>
  </r>
  <r>
    <x v="2502"/>
    <d v="2023-07-18T00:00:00"/>
    <m/>
    <x v="0"/>
    <n v="39"/>
    <s v="month"/>
    <s v=""/>
    <s v="Tuesday"/>
  </r>
  <r>
    <x v="2503"/>
    <d v="2023-07-18T00:00:00"/>
    <m/>
    <x v="0"/>
    <n v="39"/>
    <s v="month"/>
    <s v=""/>
    <s v="Tuesday"/>
  </r>
  <r>
    <x v="1919"/>
    <d v="2023-07-18T00:00:00"/>
    <d v="2023-09-01T00:00:00"/>
    <x v="0"/>
    <n v="39"/>
    <s v="month"/>
    <n v="45"/>
    <s v="Tuesday"/>
  </r>
  <r>
    <x v="2504"/>
    <d v="2023-07-18T00:00:00"/>
    <d v="2023-08-26T00:00:00"/>
    <x v="0"/>
    <n v="39"/>
    <s v="month"/>
    <n v="39"/>
    <s v="Tuesday"/>
  </r>
  <r>
    <x v="479"/>
    <d v="2023-07-18T00:00:00"/>
    <d v="2023-07-18T00:00:00"/>
    <x v="0"/>
    <n v="39"/>
    <s v="month"/>
    <n v="0"/>
    <s v="Tuesday"/>
  </r>
  <r>
    <x v="2505"/>
    <d v="2023-07-18T00:00:00"/>
    <d v="2023-07-19T00:00:00"/>
    <x v="1"/>
    <n v="39"/>
    <s v="month"/>
    <n v="1"/>
    <s v="Tuesday"/>
  </r>
  <r>
    <x v="2506"/>
    <d v="2023-07-18T00:00:00"/>
    <d v="2023-08-18T00:00:00"/>
    <x v="0"/>
    <n v="39"/>
    <s v="month"/>
    <n v="31"/>
    <s v="Tuesday"/>
  </r>
  <r>
    <x v="2507"/>
    <d v="2023-07-18T00:00:00"/>
    <d v="2023-08-12T00:00:00"/>
    <x v="0"/>
    <n v="39"/>
    <s v="month"/>
    <n v="25"/>
    <s v="Tuesday"/>
  </r>
  <r>
    <x v="2508"/>
    <d v="2023-07-18T00:00:00"/>
    <d v="2023-07-24T00:00:00"/>
    <x v="0"/>
    <n v="39"/>
    <s v="month"/>
    <n v="6"/>
    <s v="Tuesday"/>
  </r>
  <r>
    <x v="2509"/>
    <d v="2023-07-18T00:00:00"/>
    <d v="2023-07-20T00:00:00"/>
    <x v="0"/>
    <n v="39"/>
    <s v="month"/>
    <n v="2"/>
    <s v="Tuesday"/>
  </r>
  <r>
    <x v="2510"/>
    <d v="2023-07-19T00:00:00"/>
    <m/>
    <x v="0"/>
    <n v="39"/>
    <s v="month"/>
    <s v=""/>
    <s v="Wednesday"/>
  </r>
  <r>
    <x v="2511"/>
    <d v="2023-07-19T00:00:00"/>
    <m/>
    <x v="0"/>
    <n v="39"/>
    <s v="month"/>
    <s v=""/>
    <s v="Wednesday"/>
  </r>
  <r>
    <x v="2512"/>
    <d v="2023-07-19T00:00:00"/>
    <m/>
    <x v="0"/>
    <n v="39"/>
    <s v="month"/>
    <s v=""/>
    <s v="Wednesday"/>
  </r>
  <r>
    <x v="2513"/>
    <d v="2023-07-19T00:00:00"/>
    <m/>
    <x v="0"/>
    <n v="39"/>
    <s v="month"/>
    <s v=""/>
    <s v="Wednesday"/>
  </r>
  <r>
    <x v="2514"/>
    <d v="2023-07-19T00:00:00"/>
    <m/>
    <x v="0"/>
    <n v="39"/>
    <s v="month"/>
    <s v=""/>
    <s v="Wednesday"/>
  </r>
  <r>
    <x v="2515"/>
    <d v="2023-07-19T00:00:00"/>
    <m/>
    <x v="0"/>
    <n v="39"/>
    <s v="month"/>
    <s v=""/>
    <s v="Wednesday"/>
  </r>
  <r>
    <x v="2516"/>
    <d v="2023-07-19T00:00:00"/>
    <m/>
    <x v="0"/>
    <n v="39"/>
    <s v="month"/>
    <s v=""/>
    <s v="Wednesday"/>
  </r>
  <r>
    <x v="2517"/>
    <d v="2023-07-19T00:00:00"/>
    <m/>
    <x v="0"/>
    <n v="39"/>
    <s v="month"/>
    <s v=""/>
    <s v="Wednesday"/>
  </r>
  <r>
    <x v="2518"/>
    <d v="2023-07-19T00:00:00"/>
    <m/>
    <x v="0"/>
    <n v="39"/>
    <s v="month"/>
    <s v=""/>
    <s v="Wednesday"/>
  </r>
  <r>
    <x v="2519"/>
    <d v="2023-07-19T00:00:00"/>
    <m/>
    <x v="0"/>
    <n v="39"/>
    <s v="month"/>
    <s v=""/>
    <s v="Wednesday"/>
  </r>
  <r>
    <x v="2520"/>
    <d v="2023-07-19T00:00:00"/>
    <d v="2023-08-14T00:00:00"/>
    <x v="0"/>
    <n v="39"/>
    <s v="month"/>
    <n v="26"/>
    <s v="Wednesday"/>
  </r>
  <r>
    <x v="2521"/>
    <d v="2023-07-19T00:00:00"/>
    <d v="2023-08-17T00:00:00"/>
    <x v="0"/>
    <n v="39"/>
    <s v="month"/>
    <n v="29"/>
    <s v="Wednesday"/>
  </r>
  <r>
    <x v="2491"/>
    <d v="2023-07-19T00:00:00"/>
    <d v="2023-09-03T00:00:00"/>
    <x v="0"/>
    <n v="39"/>
    <s v="month"/>
    <n v="46"/>
    <s v="Wednesday"/>
  </r>
  <r>
    <x v="2522"/>
    <d v="2023-07-19T00:00:00"/>
    <d v="2023-07-26T00:00:00"/>
    <x v="0"/>
    <n v="39"/>
    <s v="month"/>
    <n v="7"/>
    <s v="Wednesday"/>
  </r>
  <r>
    <x v="2523"/>
    <d v="2023-07-20T00:00:00"/>
    <m/>
    <x v="0"/>
    <n v="39"/>
    <s v="month"/>
    <s v=""/>
    <s v="Thursday"/>
  </r>
  <r>
    <x v="2524"/>
    <d v="2023-07-20T00:00:00"/>
    <m/>
    <x v="0"/>
    <n v="39"/>
    <s v="month"/>
    <s v=""/>
    <s v="Thursday"/>
  </r>
  <r>
    <x v="1461"/>
    <d v="2023-07-20T00:00:00"/>
    <m/>
    <x v="0"/>
    <n v="39"/>
    <s v="month"/>
    <s v=""/>
    <s v="Thursday"/>
  </r>
  <r>
    <x v="2156"/>
    <d v="2023-07-20T00:00:00"/>
    <m/>
    <x v="0"/>
    <n v="39"/>
    <s v="month"/>
    <s v=""/>
    <s v="Thursday"/>
  </r>
  <r>
    <x v="2525"/>
    <d v="2023-07-20T00:00:00"/>
    <m/>
    <x v="0"/>
    <n v="39"/>
    <s v="month"/>
    <s v=""/>
    <s v="Thursday"/>
  </r>
  <r>
    <x v="2526"/>
    <d v="2023-07-20T00:00:00"/>
    <d v="2023-09-05T00:00:00"/>
    <x v="0"/>
    <n v="39"/>
    <s v="month"/>
    <n v="47"/>
    <s v="Thursday"/>
  </r>
  <r>
    <x v="2527"/>
    <d v="2023-07-20T00:00:00"/>
    <d v="2023-07-21T00:00:00"/>
    <x v="0"/>
    <n v="39"/>
    <s v="month"/>
    <n v="1"/>
    <s v="Thursday"/>
  </r>
  <r>
    <x v="2528"/>
    <d v="2023-07-20T00:00:00"/>
    <d v="2023-08-15T00:00:00"/>
    <x v="0"/>
    <n v="39"/>
    <s v="month"/>
    <n v="26"/>
    <s v="Thursday"/>
  </r>
  <r>
    <x v="2529"/>
    <d v="2023-07-20T00:00:00"/>
    <d v="2023-09-04T00:00:00"/>
    <x v="0"/>
    <n v="39"/>
    <s v="month"/>
    <n v="46"/>
    <s v="Thursday"/>
  </r>
  <r>
    <x v="2530"/>
    <d v="2023-07-21T00:00:00"/>
    <m/>
    <x v="0"/>
    <n v="39"/>
    <s v="month"/>
    <s v=""/>
    <s v="Friday"/>
  </r>
  <r>
    <x v="2531"/>
    <d v="2023-07-21T00:00:00"/>
    <m/>
    <x v="0"/>
    <n v="39"/>
    <s v="month"/>
    <s v=""/>
    <s v="Friday"/>
  </r>
  <r>
    <x v="2532"/>
    <d v="2023-07-21T00:00:00"/>
    <m/>
    <x v="0"/>
    <n v="39"/>
    <s v="month"/>
    <s v=""/>
    <s v="Friday"/>
  </r>
  <r>
    <x v="2533"/>
    <d v="2023-07-21T00:00:00"/>
    <m/>
    <x v="0"/>
    <n v="39"/>
    <s v="month"/>
    <s v=""/>
    <s v="Friday"/>
  </r>
  <r>
    <x v="2534"/>
    <d v="2023-07-21T00:00:00"/>
    <m/>
    <x v="0"/>
    <n v="39"/>
    <s v="month"/>
    <s v=""/>
    <s v="Friday"/>
  </r>
  <r>
    <x v="2535"/>
    <d v="2023-07-21T00:00:00"/>
    <d v="2023-07-22T00:00:00"/>
    <x v="0"/>
    <n v="39"/>
    <s v="month"/>
    <n v="1"/>
    <s v="Friday"/>
  </r>
  <r>
    <x v="2536"/>
    <d v="2023-07-21T00:00:00"/>
    <d v="2023-08-28T00:00:00"/>
    <x v="0"/>
    <n v="39"/>
    <s v="month"/>
    <n v="38"/>
    <s v="Friday"/>
  </r>
  <r>
    <x v="2537"/>
    <d v="2023-07-22T00:00:00"/>
    <m/>
    <x v="0"/>
    <n v="39"/>
    <s v="month"/>
    <s v=""/>
    <s v="Saturday"/>
  </r>
  <r>
    <x v="2538"/>
    <d v="2023-07-22T00:00:00"/>
    <m/>
    <x v="0"/>
    <n v="39"/>
    <s v="month"/>
    <s v=""/>
    <s v="Saturday"/>
  </r>
  <r>
    <x v="2539"/>
    <d v="2023-07-22T00:00:00"/>
    <d v="2023-07-23T00:00:00"/>
    <x v="1"/>
    <n v="39"/>
    <s v="month"/>
    <n v="1"/>
    <s v="Saturday"/>
  </r>
  <r>
    <x v="2540"/>
    <d v="2023-07-22T00:00:00"/>
    <d v="2023-07-23T00:00:00"/>
    <x v="1"/>
    <n v="39"/>
    <s v="month"/>
    <n v="1"/>
    <s v="Saturday"/>
  </r>
  <r>
    <x v="1218"/>
    <d v="2023-07-22T00:00:00"/>
    <d v="2023-08-21T00:00:00"/>
    <x v="0"/>
    <n v="39"/>
    <s v="month"/>
    <n v="30"/>
    <s v="Saturday"/>
  </r>
  <r>
    <x v="2541"/>
    <d v="2023-07-22T00:00:00"/>
    <d v="2023-08-22T00:00:00"/>
    <x v="0"/>
    <n v="39"/>
    <s v="month"/>
    <n v="31"/>
    <s v="Saturday"/>
  </r>
  <r>
    <x v="2542"/>
    <d v="2023-07-22T00:00:00"/>
    <d v="2023-08-29T00:00:00"/>
    <x v="0"/>
    <n v="39"/>
    <s v="month"/>
    <n v="38"/>
    <s v="Saturday"/>
  </r>
  <r>
    <x v="1459"/>
    <d v="2023-07-23T00:00:00"/>
    <m/>
    <x v="0"/>
    <n v="39"/>
    <s v="month"/>
    <s v=""/>
    <s v="Sunday"/>
  </r>
  <r>
    <x v="2543"/>
    <d v="2023-07-23T00:00:00"/>
    <m/>
    <x v="0"/>
    <n v="39"/>
    <s v="month"/>
    <s v=""/>
    <s v="Sunday"/>
  </r>
  <r>
    <x v="2544"/>
    <d v="2023-07-23T00:00:00"/>
    <d v="2023-07-23T00:00:00"/>
    <x v="0"/>
    <n v="39"/>
    <s v="month"/>
    <n v="0"/>
    <s v="Sunday"/>
  </r>
  <r>
    <x v="1727"/>
    <d v="2023-07-23T00:00:00"/>
    <d v="2023-08-22T00:00:00"/>
    <x v="0"/>
    <n v="39"/>
    <s v="month"/>
    <n v="30"/>
    <s v="Sunday"/>
  </r>
  <r>
    <x v="2545"/>
    <d v="2023-07-23T00:00:00"/>
    <d v="2023-08-30T00:00:00"/>
    <x v="0"/>
    <n v="39"/>
    <s v="month"/>
    <n v="38"/>
    <s v="Sunday"/>
  </r>
  <r>
    <x v="2546"/>
    <d v="2023-07-24T00:00:00"/>
    <m/>
    <x v="0"/>
    <n v="39"/>
    <s v="month"/>
    <s v=""/>
    <s v="Monday"/>
  </r>
  <r>
    <x v="2547"/>
    <d v="2023-07-24T00:00:00"/>
    <m/>
    <x v="0"/>
    <n v="39"/>
    <s v="month"/>
    <s v=""/>
    <s v="Monday"/>
  </r>
  <r>
    <x v="2548"/>
    <d v="2023-07-24T00:00:00"/>
    <m/>
    <x v="0"/>
    <n v="39"/>
    <s v="month"/>
    <s v=""/>
    <s v="Monday"/>
  </r>
  <r>
    <x v="2549"/>
    <d v="2023-07-24T00:00:00"/>
    <m/>
    <x v="0"/>
    <n v="39"/>
    <s v="month"/>
    <s v=""/>
    <s v="Monday"/>
  </r>
  <r>
    <x v="1279"/>
    <d v="2023-07-24T00:00:00"/>
    <m/>
    <x v="0"/>
    <n v="39"/>
    <s v="month"/>
    <s v=""/>
    <s v="Monday"/>
  </r>
  <r>
    <x v="2550"/>
    <d v="2023-07-24T00:00:00"/>
    <m/>
    <x v="0"/>
    <n v="39"/>
    <s v="month"/>
    <s v=""/>
    <s v="Monday"/>
  </r>
  <r>
    <x v="2551"/>
    <d v="2023-07-24T00:00:00"/>
    <m/>
    <x v="0"/>
    <n v="39"/>
    <s v="month"/>
    <s v=""/>
    <s v="Monday"/>
  </r>
  <r>
    <x v="2552"/>
    <d v="2023-07-24T00:00:00"/>
    <d v="2023-08-31T00:00:00"/>
    <x v="0"/>
    <n v="39"/>
    <s v="month"/>
    <n v="38"/>
    <s v="Monday"/>
  </r>
  <r>
    <x v="2553"/>
    <d v="2023-07-24T00:00:00"/>
    <d v="2023-08-02T00:00:00"/>
    <x v="0"/>
    <n v="39"/>
    <s v="month"/>
    <n v="9"/>
    <s v="Monday"/>
  </r>
  <r>
    <x v="2554"/>
    <d v="2023-07-24T00:00:00"/>
    <d v="2023-08-08T00:00:00"/>
    <x v="0"/>
    <n v="39"/>
    <s v="month"/>
    <n v="15"/>
    <s v="Monday"/>
  </r>
  <r>
    <x v="2555"/>
    <d v="2023-07-25T00:00:00"/>
    <m/>
    <x v="0"/>
    <n v="39"/>
    <s v="month"/>
    <s v=""/>
    <s v="Tuesday"/>
  </r>
  <r>
    <x v="2556"/>
    <d v="2023-07-25T00:00:00"/>
    <m/>
    <x v="0"/>
    <n v="39"/>
    <s v="month"/>
    <s v=""/>
    <s v="Tuesday"/>
  </r>
  <r>
    <x v="2557"/>
    <d v="2023-07-25T00:00:00"/>
    <m/>
    <x v="0"/>
    <n v="39"/>
    <s v="month"/>
    <s v=""/>
    <s v="Tuesday"/>
  </r>
  <r>
    <x v="2558"/>
    <d v="2023-07-25T00:00:00"/>
    <m/>
    <x v="0"/>
    <n v="39"/>
    <s v="month"/>
    <s v=""/>
    <s v="Tuesday"/>
  </r>
  <r>
    <x v="2559"/>
    <d v="2023-07-25T00:00:00"/>
    <m/>
    <x v="0"/>
    <n v="39"/>
    <s v="month"/>
    <s v=""/>
    <s v="Tuesday"/>
  </r>
  <r>
    <x v="255"/>
    <d v="2023-07-25T00:00:00"/>
    <m/>
    <x v="0"/>
    <n v="39"/>
    <s v="month"/>
    <s v=""/>
    <s v="Tuesday"/>
  </r>
  <r>
    <x v="2560"/>
    <d v="2023-07-25T00:00:00"/>
    <m/>
    <x v="0"/>
    <n v="39"/>
    <s v="month"/>
    <s v=""/>
    <s v="Tuesday"/>
  </r>
  <r>
    <x v="2561"/>
    <d v="2023-07-25T00:00:00"/>
    <m/>
    <x v="0"/>
    <n v="39"/>
    <s v="month"/>
    <s v=""/>
    <s v="Tuesday"/>
  </r>
  <r>
    <x v="2562"/>
    <d v="2023-07-25T00:00:00"/>
    <m/>
    <x v="0"/>
    <n v="39"/>
    <s v="month"/>
    <s v=""/>
    <s v="Tuesday"/>
  </r>
  <r>
    <x v="2563"/>
    <d v="2023-07-25T00:00:00"/>
    <m/>
    <x v="0"/>
    <n v="39"/>
    <s v="month"/>
    <s v=""/>
    <s v="Tuesday"/>
  </r>
  <r>
    <x v="2564"/>
    <d v="2023-07-25T00:00:00"/>
    <d v="2023-08-20T00:00:00"/>
    <x v="0"/>
    <n v="39"/>
    <s v="month"/>
    <n v="26"/>
    <s v="Tuesday"/>
  </r>
  <r>
    <x v="1962"/>
    <d v="2023-07-25T00:00:00"/>
    <d v="2023-09-01T00:00:00"/>
    <x v="0"/>
    <n v="39"/>
    <s v="month"/>
    <n v="38"/>
    <s v="Tuesday"/>
  </r>
  <r>
    <x v="2565"/>
    <d v="2023-07-25T00:00:00"/>
    <d v="2023-08-17T00:00:00"/>
    <x v="0"/>
    <n v="39"/>
    <s v="month"/>
    <n v="23"/>
    <s v="Tuesday"/>
  </r>
  <r>
    <x v="2566"/>
    <d v="2023-07-25T00:00:00"/>
    <d v="2023-08-02T00:00:00"/>
    <x v="0"/>
    <n v="39"/>
    <s v="month"/>
    <n v="8"/>
    <s v="Tuesday"/>
  </r>
  <r>
    <x v="2567"/>
    <d v="2023-07-25T00:00:00"/>
    <d v="2023-08-23T00:00:00"/>
    <x v="0"/>
    <n v="39"/>
    <s v="month"/>
    <n v="29"/>
    <s v="Tuesday"/>
  </r>
  <r>
    <x v="2568"/>
    <d v="2023-07-25T00:00:00"/>
    <d v="2023-08-21T00:00:00"/>
    <x v="0"/>
    <n v="39"/>
    <s v="month"/>
    <n v="27"/>
    <s v="Tuesday"/>
  </r>
  <r>
    <x v="2527"/>
    <d v="2023-07-25T00:00:00"/>
    <d v="2023-09-01T00:00:00"/>
    <x v="0"/>
    <n v="39"/>
    <s v="month"/>
    <n v="38"/>
    <s v="Tuesday"/>
  </r>
  <r>
    <x v="2569"/>
    <d v="2023-07-25T00:00:00"/>
    <d v="2023-09-01T00:00:00"/>
    <x v="0"/>
    <n v="39"/>
    <s v="month"/>
    <n v="38"/>
    <s v="Tuesday"/>
  </r>
  <r>
    <x v="2570"/>
    <d v="2023-07-26T00:00:00"/>
    <m/>
    <x v="0"/>
    <n v="39"/>
    <s v="month"/>
    <s v=""/>
    <s v="Wednesday"/>
  </r>
  <r>
    <x v="557"/>
    <d v="2023-07-26T00:00:00"/>
    <m/>
    <x v="0"/>
    <n v="39"/>
    <s v="month"/>
    <s v=""/>
    <s v="Wednesday"/>
  </r>
  <r>
    <x v="2571"/>
    <d v="2023-07-26T00:00:00"/>
    <m/>
    <x v="0"/>
    <n v="39"/>
    <s v="month"/>
    <s v=""/>
    <s v="Wednesday"/>
  </r>
  <r>
    <x v="2572"/>
    <d v="2023-07-26T00:00:00"/>
    <m/>
    <x v="0"/>
    <n v="39"/>
    <s v="month"/>
    <s v=""/>
    <s v="Wednesday"/>
  </r>
  <r>
    <x v="2573"/>
    <d v="2023-07-26T00:00:00"/>
    <m/>
    <x v="0"/>
    <n v="39"/>
    <s v="month"/>
    <s v=""/>
    <s v="Wednesday"/>
  </r>
  <r>
    <x v="2574"/>
    <d v="2023-07-26T00:00:00"/>
    <d v="2023-09-05T00:00:00"/>
    <x v="0"/>
    <n v="39"/>
    <s v="month"/>
    <n v="41"/>
    <s v="Wednesday"/>
  </r>
  <r>
    <x v="2575"/>
    <d v="2023-07-26T00:00:00"/>
    <d v="2023-07-27T00:00:00"/>
    <x v="1"/>
    <n v="39"/>
    <s v="month"/>
    <n v="1"/>
    <s v="Wednesday"/>
  </r>
  <r>
    <x v="2576"/>
    <d v="2023-07-26T00:00:00"/>
    <d v="2023-09-02T00:00:00"/>
    <x v="0"/>
    <n v="39"/>
    <s v="month"/>
    <n v="38"/>
    <s v="Wednesday"/>
  </r>
  <r>
    <x v="2577"/>
    <d v="2023-07-27T00:00:00"/>
    <m/>
    <x v="0"/>
    <n v="39"/>
    <s v="month"/>
    <s v=""/>
    <s v="Thursday"/>
  </r>
  <r>
    <x v="2578"/>
    <d v="2023-07-27T00:00:00"/>
    <m/>
    <x v="0"/>
    <n v="39"/>
    <s v="month"/>
    <s v=""/>
    <s v="Thursday"/>
  </r>
  <r>
    <x v="2579"/>
    <d v="2023-07-27T00:00:00"/>
    <m/>
    <x v="0"/>
    <n v="39"/>
    <s v="month"/>
    <s v=""/>
    <s v="Thursday"/>
  </r>
  <r>
    <x v="1841"/>
    <d v="2023-07-27T00:00:00"/>
    <m/>
    <x v="0"/>
    <n v="39"/>
    <s v="month"/>
    <s v=""/>
    <s v="Thursday"/>
  </r>
  <r>
    <x v="2580"/>
    <d v="2023-07-27T00:00:00"/>
    <m/>
    <x v="0"/>
    <n v="39"/>
    <s v="month"/>
    <s v=""/>
    <s v="Thursday"/>
  </r>
  <r>
    <x v="2581"/>
    <d v="2023-07-27T00:00:00"/>
    <m/>
    <x v="0"/>
    <n v="39"/>
    <s v="month"/>
    <s v=""/>
    <s v="Thursday"/>
  </r>
  <r>
    <x v="2582"/>
    <d v="2023-07-27T00:00:00"/>
    <m/>
    <x v="0"/>
    <n v="39"/>
    <s v="month"/>
    <s v=""/>
    <s v="Thursday"/>
  </r>
  <r>
    <x v="2023"/>
    <d v="2023-07-27T00:00:00"/>
    <m/>
    <x v="0"/>
    <n v="39"/>
    <s v="month"/>
    <s v=""/>
    <s v="Thursday"/>
  </r>
  <r>
    <x v="2583"/>
    <d v="2023-07-27T00:00:00"/>
    <d v="2023-07-27T00:00:00"/>
    <x v="0"/>
    <n v="39"/>
    <s v="month"/>
    <n v="0"/>
    <s v="Thursday"/>
  </r>
  <r>
    <x v="2584"/>
    <d v="2023-07-28T00:00:00"/>
    <m/>
    <x v="0"/>
    <n v="39"/>
    <s v="month"/>
    <s v=""/>
    <s v="Friday"/>
  </r>
  <r>
    <x v="2585"/>
    <d v="2023-07-28T00:00:00"/>
    <m/>
    <x v="0"/>
    <n v="39"/>
    <s v="month"/>
    <s v=""/>
    <s v="Friday"/>
  </r>
  <r>
    <x v="2586"/>
    <d v="2023-07-28T00:00:00"/>
    <m/>
    <x v="0"/>
    <n v="39"/>
    <s v="month"/>
    <s v=""/>
    <s v="Friday"/>
  </r>
  <r>
    <x v="2587"/>
    <d v="2023-07-28T00:00:00"/>
    <m/>
    <x v="0"/>
    <n v="39"/>
    <s v="month"/>
    <s v=""/>
    <s v="Friday"/>
  </r>
  <r>
    <x v="2588"/>
    <d v="2023-07-28T00:00:00"/>
    <m/>
    <x v="0"/>
    <n v="39"/>
    <s v="month"/>
    <s v=""/>
    <s v="Friday"/>
  </r>
  <r>
    <x v="2589"/>
    <d v="2023-07-28T00:00:00"/>
    <m/>
    <x v="0"/>
    <n v="39"/>
    <s v="month"/>
    <s v=""/>
    <s v="Friday"/>
  </r>
  <r>
    <x v="1253"/>
    <d v="2023-07-28T00:00:00"/>
    <m/>
    <x v="0"/>
    <n v="39"/>
    <s v="month"/>
    <s v=""/>
    <s v="Friday"/>
  </r>
  <r>
    <x v="2590"/>
    <d v="2023-07-28T00:00:00"/>
    <m/>
    <x v="0"/>
    <n v="39"/>
    <s v="month"/>
    <s v=""/>
    <s v="Friday"/>
  </r>
  <r>
    <x v="2591"/>
    <d v="2023-07-28T00:00:00"/>
    <m/>
    <x v="0"/>
    <n v="39"/>
    <s v="month"/>
    <s v=""/>
    <s v="Friday"/>
  </r>
  <r>
    <x v="2592"/>
    <d v="2023-07-28T00:00:00"/>
    <m/>
    <x v="0"/>
    <n v="39"/>
    <s v="month"/>
    <s v=""/>
    <s v="Friday"/>
  </r>
  <r>
    <x v="2593"/>
    <d v="2023-07-28T00:00:00"/>
    <m/>
    <x v="0"/>
    <n v="39"/>
    <s v="month"/>
    <s v=""/>
    <s v="Friday"/>
  </r>
  <r>
    <x v="2594"/>
    <d v="2023-07-28T00:00:00"/>
    <m/>
    <x v="0"/>
    <n v="39"/>
    <s v="month"/>
    <s v=""/>
    <s v="Friday"/>
  </r>
  <r>
    <x v="2595"/>
    <d v="2023-07-28T00:00:00"/>
    <d v="2023-07-29T00:00:00"/>
    <x v="0"/>
    <n v="39"/>
    <s v="month"/>
    <n v="1"/>
    <s v="Friday"/>
  </r>
  <r>
    <x v="2596"/>
    <d v="2023-07-28T00:00:00"/>
    <d v="2023-08-26T00:00:00"/>
    <x v="0"/>
    <n v="39"/>
    <s v="month"/>
    <n v="29"/>
    <s v="Friday"/>
  </r>
  <r>
    <x v="2597"/>
    <d v="2023-07-29T00:00:00"/>
    <m/>
    <x v="0"/>
    <n v="39"/>
    <s v="month"/>
    <s v=""/>
    <s v="Saturday"/>
  </r>
  <r>
    <x v="2598"/>
    <d v="2023-07-29T00:00:00"/>
    <d v="2023-09-05T00:00:00"/>
    <x v="0"/>
    <n v="39"/>
    <s v="month"/>
    <n v="38"/>
    <s v="Saturday"/>
  </r>
  <r>
    <x v="2599"/>
    <d v="2023-07-29T00:00:00"/>
    <d v="2023-08-18T00:00:00"/>
    <x v="0"/>
    <n v="39"/>
    <s v="month"/>
    <n v="20"/>
    <s v="Saturday"/>
  </r>
  <r>
    <x v="2600"/>
    <d v="2023-07-29T00:00:00"/>
    <d v="2023-08-25T00:00:00"/>
    <x v="0"/>
    <n v="39"/>
    <s v="month"/>
    <n v="27"/>
    <s v="Saturday"/>
  </r>
  <r>
    <x v="2601"/>
    <d v="2023-07-29T00:00:00"/>
    <d v="2023-08-27T00:00:00"/>
    <x v="0"/>
    <n v="39"/>
    <s v="month"/>
    <n v="29"/>
    <s v="Saturday"/>
  </r>
  <r>
    <x v="260"/>
    <d v="2023-07-30T00:00:00"/>
    <m/>
    <x v="0"/>
    <n v="39"/>
    <s v="month"/>
    <s v=""/>
    <s v="Sunday"/>
  </r>
  <r>
    <x v="2602"/>
    <d v="2023-07-30T00:00:00"/>
    <m/>
    <x v="0"/>
    <n v="39"/>
    <s v="month"/>
    <s v=""/>
    <s v="Sunday"/>
  </r>
  <r>
    <x v="2603"/>
    <d v="2023-07-30T00:00:00"/>
    <d v="2023-07-31T00:00:00"/>
    <x v="1"/>
    <n v="39"/>
    <s v="month"/>
    <n v="1"/>
    <s v="Sunday"/>
  </r>
  <r>
    <x v="2604"/>
    <d v="2023-07-30T00:00:00"/>
    <d v="2023-09-06T00:00:00"/>
    <x v="0"/>
    <n v="39"/>
    <s v="month"/>
    <n v="38"/>
    <s v="Sunday"/>
  </r>
  <r>
    <x v="2605"/>
    <d v="2023-07-30T00:00:00"/>
    <d v="2023-08-28T00:00:00"/>
    <x v="0"/>
    <n v="39"/>
    <s v="month"/>
    <n v="29"/>
    <s v="Sunday"/>
  </r>
  <r>
    <x v="2606"/>
    <d v="2023-07-30T00:00:00"/>
    <d v="2023-08-28T00:00:00"/>
    <x v="0"/>
    <n v="39"/>
    <s v="month"/>
    <n v="29"/>
    <s v="Sunday"/>
  </r>
  <r>
    <x v="2607"/>
    <d v="2023-07-31T00:00:00"/>
    <m/>
    <x v="0"/>
    <n v="39"/>
    <s v="month"/>
    <s v=""/>
    <s v="Monday"/>
  </r>
  <r>
    <x v="2608"/>
    <d v="2023-07-31T00:00:00"/>
    <m/>
    <x v="0"/>
    <n v="39"/>
    <s v="month"/>
    <s v=""/>
    <s v="Monday"/>
  </r>
  <r>
    <x v="1767"/>
    <d v="2023-07-31T00:00:00"/>
    <m/>
    <x v="0"/>
    <n v="39"/>
    <s v="month"/>
    <s v=""/>
    <s v="Monday"/>
  </r>
  <r>
    <x v="2609"/>
    <d v="2023-07-31T00:00:00"/>
    <m/>
    <x v="0"/>
    <n v="39"/>
    <s v="month"/>
    <s v=""/>
    <s v="Monday"/>
  </r>
  <r>
    <x v="2610"/>
    <d v="2023-07-31T00:00:00"/>
    <m/>
    <x v="0"/>
    <n v="39"/>
    <s v="month"/>
    <s v=""/>
    <s v="Monday"/>
  </r>
  <r>
    <x v="2611"/>
    <d v="2023-07-31T00:00:00"/>
    <m/>
    <x v="0"/>
    <n v="39"/>
    <s v="month"/>
    <s v=""/>
    <s v="Monday"/>
  </r>
  <r>
    <x v="2612"/>
    <d v="2023-07-31T00:00:00"/>
    <m/>
    <x v="0"/>
    <n v="39"/>
    <s v="month"/>
    <s v=""/>
    <s v="Monday"/>
  </r>
  <r>
    <x v="2613"/>
    <d v="2023-07-31T00:00:00"/>
    <d v="2023-08-01T00:00:00"/>
    <x v="1"/>
    <n v="39"/>
    <s v="month"/>
    <n v="1"/>
    <s v="Monday"/>
  </r>
  <r>
    <x v="2614"/>
    <d v="2023-07-31T00:00:00"/>
    <d v="2023-08-08T00:00:00"/>
    <x v="0"/>
    <n v="39"/>
    <s v="month"/>
    <n v="8"/>
    <s v="Monday"/>
  </r>
  <r>
    <x v="2615"/>
    <d v="2023-08-01T00:00:00"/>
    <m/>
    <x v="0"/>
    <n v="39"/>
    <s v="month"/>
    <s v=""/>
    <s v="Tuesday"/>
  </r>
  <r>
    <x v="2616"/>
    <d v="2023-08-01T00:00:00"/>
    <m/>
    <x v="0"/>
    <n v="39"/>
    <s v="month"/>
    <s v=""/>
    <s v="Tuesday"/>
  </r>
  <r>
    <x v="2617"/>
    <d v="2023-08-01T00:00:00"/>
    <m/>
    <x v="0"/>
    <n v="39"/>
    <s v="month"/>
    <s v=""/>
    <s v="Tuesday"/>
  </r>
  <r>
    <x v="2419"/>
    <d v="2023-08-01T00:00:00"/>
    <m/>
    <x v="0"/>
    <n v="39"/>
    <s v="month"/>
    <s v=""/>
    <s v="Tuesday"/>
  </r>
  <r>
    <x v="2618"/>
    <d v="2023-08-01T00:00:00"/>
    <m/>
    <x v="0"/>
    <n v="39"/>
    <s v="month"/>
    <s v=""/>
    <s v="Tuesday"/>
  </r>
  <r>
    <x v="2619"/>
    <d v="2023-08-01T00:00:00"/>
    <m/>
    <x v="0"/>
    <n v="39"/>
    <s v="month"/>
    <s v=""/>
    <s v="Tuesday"/>
  </r>
  <r>
    <x v="2620"/>
    <d v="2023-08-01T00:00:00"/>
    <d v="2023-09-01T00:00:00"/>
    <x v="0"/>
    <n v="39"/>
    <s v="month"/>
    <n v="31"/>
    <s v="Tuesday"/>
  </r>
  <r>
    <x v="2621"/>
    <d v="2023-08-01T00:00:00"/>
    <d v="2023-09-02T00:00:00"/>
    <x v="0"/>
    <n v="39"/>
    <s v="month"/>
    <n v="32"/>
    <s v="Tuesday"/>
  </r>
  <r>
    <x v="2622"/>
    <d v="2023-08-01T00:00:00"/>
    <d v="2023-08-31T00:00:00"/>
    <x v="0"/>
    <n v="39"/>
    <s v="month"/>
    <n v="30"/>
    <s v="Tuesday"/>
  </r>
  <r>
    <x v="2623"/>
    <d v="2023-08-01T00:00:00"/>
    <d v="2023-08-31T00:00:00"/>
    <x v="0"/>
    <n v="39"/>
    <s v="month"/>
    <n v="30"/>
    <s v="Tuesday"/>
  </r>
  <r>
    <x v="1606"/>
    <d v="2023-08-02T00:00:00"/>
    <m/>
    <x v="0"/>
    <n v="39"/>
    <s v="month"/>
    <s v=""/>
    <s v="Wednesday"/>
  </r>
  <r>
    <x v="2624"/>
    <d v="2023-08-02T00:00:00"/>
    <m/>
    <x v="0"/>
    <n v="39"/>
    <s v="month"/>
    <s v=""/>
    <s v="Wednesday"/>
  </r>
  <r>
    <x v="2625"/>
    <d v="2023-08-02T00:00:00"/>
    <m/>
    <x v="0"/>
    <n v="39"/>
    <s v="month"/>
    <s v=""/>
    <s v="Wednesday"/>
  </r>
  <r>
    <x v="2626"/>
    <d v="2023-08-02T00:00:00"/>
    <m/>
    <x v="0"/>
    <n v="39"/>
    <s v="month"/>
    <s v=""/>
    <s v="Wednesday"/>
  </r>
  <r>
    <x v="1292"/>
    <d v="2023-08-02T00:00:00"/>
    <m/>
    <x v="0"/>
    <n v="39"/>
    <s v="month"/>
    <s v=""/>
    <s v="Wednesday"/>
  </r>
  <r>
    <x v="2627"/>
    <d v="2023-08-02T00:00:00"/>
    <m/>
    <x v="0"/>
    <n v="39"/>
    <s v="month"/>
    <s v=""/>
    <s v="Wednesday"/>
  </r>
  <r>
    <x v="2628"/>
    <d v="2023-08-02T00:00:00"/>
    <m/>
    <x v="0"/>
    <n v="39"/>
    <s v="month"/>
    <s v=""/>
    <s v="Wednesday"/>
  </r>
  <r>
    <x v="2629"/>
    <d v="2023-08-02T00:00:00"/>
    <m/>
    <x v="0"/>
    <n v="39"/>
    <s v="month"/>
    <s v=""/>
    <s v="Wednesday"/>
  </r>
  <r>
    <x v="2630"/>
    <d v="2023-08-02T00:00:00"/>
    <m/>
    <x v="0"/>
    <n v="39"/>
    <s v="month"/>
    <s v=""/>
    <s v="Wednesday"/>
  </r>
  <r>
    <x v="2631"/>
    <d v="2023-08-02T00:00:00"/>
    <d v="2023-09-04T00:00:00"/>
    <x v="0"/>
    <n v="39"/>
    <s v="month"/>
    <n v="33"/>
    <s v="Wednesday"/>
  </r>
  <r>
    <x v="2632"/>
    <d v="2023-08-02T00:00:00"/>
    <d v="2023-09-05T00:00:00"/>
    <x v="0"/>
    <n v="39"/>
    <s v="month"/>
    <n v="34"/>
    <s v="Wednesday"/>
  </r>
  <r>
    <x v="2633"/>
    <d v="2023-08-02T00:00:00"/>
    <d v="2023-08-23T00:00:00"/>
    <x v="0"/>
    <n v="39"/>
    <s v="month"/>
    <n v="21"/>
    <s v="Wednesday"/>
  </r>
  <r>
    <x v="2634"/>
    <d v="2023-08-02T00:00:00"/>
    <d v="2023-09-01T00:00:00"/>
    <x v="0"/>
    <n v="39"/>
    <s v="month"/>
    <n v="30"/>
    <s v="Wednesday"/>
  </r>
  <r>
    <x v="2635"/>
    <d v="2023-08-02T00:00:00"/>
    <d v="2023-08-16T00:00:00"/>
    <x v="0"/>
    <n v="39"/>
    <s v="month"/>
    <n v="14"/>
    <s v="Wednesday"/>
  </r>
  <r>
    <x v="2636"/>
    <d v="2023-08-02T00:00:00"/>
    <d v="2023-08-28T00:00:00"/>
    <x v="0"/>
    <n v="39"/>
    <s v="month"/>
    <n v="26"/>
    <s v="Wednesday"/>
  </r>
  <r>
    <x v="2637"/>
    <d v="2023-08-03T00:00:00"/>
    <m/>
    <x v="0"/>
    <n v="39"/>
    <s v="month"/>
    <s v=""/>
    <s v="Thursday"/>
  </r>
  <r>
    <x v="2638"/>
    <d v="2023-08-03T00:00:00"/>
    <m/>
    <x v="0"/>
    <n v="39"/>
    <s v="month"/>
    <s v=""/>
    <s v="Thursday"/>
  </r>
  <r>
    <x v="2639"/>
    <d v="2023-08-03T00:00:00"/>
    <m/>
    <x v="0"/>
    <n v="39"/>
    <s v="month"/>
    <s v=""/>
    <s v="Thursday"/>
  </r>
  <r>
    <x v="2640"/>
    <d v="2023-08-03T00:00:00"/>
    <m/>
    <x v="0"/>
    <n v="39"/>
    <s v="month"/>
    <s v=""/>
    <s v="Thursday"/>
  </r>
  <r>
    <x v="2641"/>
    <d v="2023-08-03T00:00:00"/>
    <m/>
    <x v="0"/>
    <n v="39"/>
    <s v="month"/>
    <s v=""/>
    <s v="Thursday"/>
  </r>
  <r>
    <x v="1084"/>
    <d v="2023-08-03T00:00:00"/>
    <m/>
    <x v="0"/>
    <n v="39"/>
    <s v="month"/>
    <s v=""/>
    <s v="Thursday"/>
  </r>
  <r>
    <x v="1468"/>
    <d v="2023-08-03T00:00:00"/>
    <m/>
    <x v="0"/>
    <n v="39"/>
    <s v="month"/>
    <s v=""/>
    <s v="Thursday"/>
  </r>
  <r>
    <x v="2642"/>
    <d v="2023-08-03T00:00:00"/>
    <m/>
    <x v="0"/>
    <n v="39"/>
    <s v="month"/>
    <s v=""/>
    <s v="Thursday"/>
  </r>
  <r>
    <x v="2643"/>
    <d v="2023-08-03T00:00:00"/>
    <m/>
    <x v="0"/>
    <n v="39"/>
    <s v="month"/>
    <s v=""/>
    <s v="Thursday"/>
  </r>
  <r>
    <x v="66"/>
    <d v="2023-08-03T00:00:00"/>
    <m/>
    <x v="0"/>
    <n v="39"/>
    <s v="month"/>
    <s v=""/>
    <s v="Thursday"/>
  </r>
  <r>
    <x v="2228"/>
    <d v="2023-08-03T00:00:00"/>
    <m/>
    <x v="0"/>
    <n v="39"/>
    <s v="month"/>
    <s v=""/>
    <s v="Thursday"/>
  </r>
  <r>
    <x v="2644"/>
    <d v="2023-08-03T00:00:00"/>
    <m/>
    <x v="0"/>
    <n v="39"/>
    <s v="month"/>
    <s v=""/>
    <s v="Thursday"/>
  </r>
  <r>
    <x v="2645"/>
    <d v="2023-08-03T00:00:00"/>
    <d v="2023-09-01T00:00:00"/>
    <x v="0"/>
    <n v="39"/>
    <s v="month"/>
    <n v="29"/>
    <s v="Thursday"/>
  </r>
  <r>
    <x v="2646"/>
    <d v="2023-08-03T00:00:00"/>
    <d v="2023-09-03T00:00:00"/>
    <x v="0"/>
    <n v="39"/>
    <s v="month"/>
    <n v="31"/>
    <s v="Thursday"/>
  </r>
  <r>
    <x v="2305"/>
    <d v="2023-08-03T00:00:00"/>
    <d v="2023-09-06T00:00:00"/>
    <x v="0"/>
    <n v="39"/>
    <s v="month"/>
    <n v="34"/>
    <s v="Thursday"/>
  </r>
  <r>
    <x v="2647"/>
    <d v="2023-08-03T00:00:00"/>
    <d v="2023-09-01T00:00:00"/>
    <x v="0"/>
    <n v="39"/>
    <s v="month"/>
    <n v="29"/>
    <s v="Thursday"/>
  </r>
  <r>
    <x v="2648"/>
    <d v="2023-08-04T00:00:00"/>
    <m/>
    <x v="0"/>
    <n v="39"/>
    <s v="month"/>
    <s v=""/>
    <s v="Friday"/>
  </r>
  <r>
    <x v="2649"/>
    <d v="2023-08-04T00:00:00"/>
    <m/>
    <x v="0"/>
    <n v="39"/>
    <s v="month"/>
    <s v=""/>
    <s v="Friday"/>
  </r>
  <r>
    <x v="2650"/>
    <d v="2023-08-04T00:00:00"/>
    <m/>
    <x v="0"/>
    <n v="39"/>
    <s v="month"/>
    <s v=""/>
    <s v="Friday"/>
  </r>
  <r>
    <x v="2651"/>
    <d v="2023-08-04T00:00:00"/>
    <m/>
    <x v="0"/>
    <n v="39"/>
    <s v="month"/>
    <s v=""/>
    <s v="Friday"/>
  </r>
  <r>
    <x v="2652"/>
    <d v="2023-08-04T00:00:00"/>
    <m/>
    <x v="0"/>
    <n v="39"/>
    <s v="month"/>
    <s v=""/>
    <s v="Friday"/>
  </r>
  <r>
    <x v="2653"/>
    <d v="2023-08-04T00:00:00"/>
    <m/>
    <x v="0"/>
    <n v="39"/>
    <s v="month"/>
    <s v=""/>
    <s v="Friday"/>
  </r>
  <r>
    <x v="149"/>
    <d v="2023-08-04T00:00:00"/>
    <m/>
    <x v="0"/>
    <n v="39"/>
    <s v="month"/>
    <s v=""/>
    <s v="Friday"/>
  </r>
  <r>
    <x v="2654"/>
    <d v="2023-08-04T00:00:00"/>
    <m/>
    <x v="0"/>
    <n v="39"/>
    <s v="month"/>
    <s v=""/>
    <s v="Friday"/>
  </r>
  <r>
    <x v="2655"/>
    <d v="2023-08-04T00:00:00"/>
    <m/>
    <x v="0"/>
    <n v="39"/>
    <s v="month"/>
    <s v=""/>
    <s v="Friday"/>
  </r>
  <r>
    <x v="2656"/>
    <d v="2023-08-04T00:00:00"/>
    <d v="2023-08-22T00:00:00"/>
    <x v="0"/>
    <n v="39"/>
    <s v="month"/>
    <n v="18"/>
    <s v="Friday"/>
  </r>
  <r>
    <x v="2657"/>
    <d v="2023-08-05T00:00:00"/>
    <m/>
    <x v="0"/>
    <n v="39"/>
    <s v="month"/>
    <s v=""/>
    <s v="Saturday"/>
  </r>
  <r>
    <x v="2658"/>
    <d v="2023-08-05T00:00:00"/>
    <m/>
    <x v="0"/>
    <n v="39"/>
    <s v="month"/>
    <s v=""/>
    <s v="Saturday"/>
  </r>
  <r>
    <x v="1644"/>
    <d v="2023-08-05T00:00:00"/>
    <m/>
    <x v="0"/>
    <n v="39"/>
    <s v="month"/>
    <s v=""/>
    <s v="Saturday"/>
  </r>
  <r>
    <x v="2659"/>
    <d v="2023-08-05T00:00:00"/>
    <m/>
    <x v="0"/>
    <n v="39"/>
    <s v="month"/>
    <s v=""/>
    <s v="Saturday"/>
  </r>
  <r>
    <x v="2660"/>
    <d v="2023-08-06T00:00:00"/>
    <m/>
    <x v="0"/>
    <n v="39"/>
    <s v="month"/>
    <s v=""/>
    <s v="Sunday"/>
  </r>
  <r>
    <x v="1280"/>
    <d v="2023-08-06T00:00:00"/>
    <m/>
    <x v="0"/>
    <n v="39"/>
    <s v="month"/>
    <s v=""/>
    <s v="Sunday"/>
  </r>
  <r>
    <x v="2661"/>
    <d v="2023-08-06T00:00:00"/>
    <m/>
    <x v="0"/>
    <n v="39"/>
    <s v="month"/>
    <s v=""/>
    <s v="Sunday"/>
  </r>
  <r>
    <x v="2662"/>
    <d v="2023-08-06T00:00:00"/>
    <m/>
    <x v="0"/>
    <n v="39"/>
    <s v="month"/>
    <s v=""/>
    <s v="Sunday"/>
  </r>
  <r>
    <x v="2663"/>
    <d v="2023-08-06T00:00:00"/>
    <d v="2023-08-20T00:00:00"/>
    <x v="0"/>
    <n v="39"/>
    <s v="month"/>
    <n v="14"/>
    <s v="Sunday"/>
  </r>
  <r>
    <x v="2664"/>
    <d v="2023-08-07T00:00:00"/>
    <m/>
    <x v="0"/>
    <n v="39"/>
    <s v="month"/>
    <s v=""/>
    <s v="Monday"/>
  </r>
  <r>
    <x v="2665"/>
    <d v="2023-08-07T00:00:00"/>
    <m/>
    <x v="0"/>
    <n v="39"/>
    <s v="month"/>
    <s v=""/>
    <s v="Monday"/>
  </r>
  <r>
    <x v="2666"/>
    <d v="2023-08-07T00:00:00"/>
    <m/>
    <x v="0"/>
    <n v="39"/>
    <s v="month"/>
    <s v=""/>
    <s v="Monday"/>
  </r>
  <r>
    <x v="2667"/>
    <d v="2023-08-07T00:00:00"/>
    <d v="2023-08-08T00:00:00"/>
    <x v="0"/>
    <n v="39"/>
    <s v="month"/>
    <n v="1"/>
    <s v="Monday"/>
  </r>
  <r>
    <x v="2668"/>
    <d v="2023-08-07T00:00:00"/>
    <d v="2023-08-15T00:00:00"/>
    <x v="0"/>
    <n v="39"/>
    <s v="month"/>
    <n v="8"/>
    <s v="Monday"/>
  </r>
  <r>
    <x v="2669"/>
    <d v="2023-08-08T00:00:00"/>
    <m/>
    <x v="0"/>
    <n v="39"/>
    <s v="month"/>
    <s v=""/>
    <s v="Tuesday"/>
  </r>
  <r>
    <x v="2670"/>
    <d v="2023-08-08T00:00:00"/>
    <m/>
    <x v="0"/>
    <n v="39"/>
    <s v="month"/>
    <s v=""/>
    <s v="Tuesday"/>
  </r>
  <r>
    <x v="2671"/>
    <d v="2023-08-08T00:00:00"/>
    <m/>
    <x v="0"/>
    <n v="39"/>
    <s v="month"/>
    <s v=""/>
    <s v="Tuesday"/>
  </r>
  <r>
    <x v="2672"/>
    <d v="2023-08-08T00:00:00"/>
    <m/>
    <x v="0"/>
    <n v="39"/>
    <s v="month"/>
    <s v=""/>
    <s v="Tuesday"/>
  </r>
  <r>
    <x v="2673"/>
    <d v="2023-08-08T00:00:00"/>
    <m/>
    <x v="0"/>
    <n v="39"/>
    <s v="month"/>
    <s v=""/>
    <s v="Tuesday"/>
  </r>
  <r>
    <x v="2674"/>
    <d v="2023-08-08T00:00:00"/>
    <m/>
    <x v="0"/>
    <n v="39"/>
    <s v="month"/>
    <s v=""/>
    <s v="Tuesday"/>
  </r>
  <r>
    <x v="2675"/>
    <d v="2023-08-08T00:00:00"/>
    <m/>
    <x v="0"/>
    <n v="39"/>
    <s v="month"/>
    <s v=""/>
    <s v="Tuesday"/>
  </r>
  <r>
    <x v="2676"/>
    <d v="2023-08-08T00:00:00"/>
    <m/>
    <x v="0"/>
    <n v="39"/>
    <s v="month"/>
    <s v=""/>
    <s v="Tuesday"/>
  </r>
  <r>
    <x v="2677"/>
    <d v="2023-08-08T00:00:00"/>
    <m/>
    <x v="0"/>
    <n v="39"/>
    <s v="month"/>
    <s v=""/>
    <s v="Tuesday"/>
  </r>
  <r>
    <x v="2678"/>
    <d v="2023-08-08T00:00:00"/>
    <m/>
    <x v="0"/>
    <n v="39"/>
    <s v="month"/>
    <s v=""/>
    <s v="Tuesday"/>
  </r>
  <r>
    <x v="2679"/>
    <d v="2023-08-08T00:00:00"/>
    <d v="2023-08-08T00:00:00"/>
    <x v="0"/>
    <n v="39"/>
    <s v="month"/>
    <n v="0"/>
    <s v="Tuesday"/>
  </r>
  <r>
    <x v="2680"/>
    <d v="2023-08-08T00:00:00"/>
    <d v="2023-08-17T00:00:00"/>
    <x v="0"/>
    <n v="39"/>
    <s v="month"/>
    <n v="9"/>
    <s v="Tuesday"/>
  </r>
  <r>
    <x v="2681"/>
    <d v="2023-08-09T00:00:00"/>
    <m/>
    <x v="0"/>
    <n v="39"/>
    <s v="month"/>
    <s v=""/>
    <s v="Wednesday"/>
  </r>
  <r>
    <x v="2667"/>
    <d v="2023-08-09T00:00:00"/>
    <m/>
    <x v="0"/>
    <n v="39"/>
    <s v="month"/>
    <s v=""/>
    <s v="Wednesday"/>
  </r>
  <r>
    <x v="2682"/>
    <d v="2023-08-09T00:00:00"/>
    <m/>
    <x v="0"/>
    <n v="39"/>
    <s v="month"/>
    <s v=""/>
    <s v="Wednesday"/>
  </r>
  <r>
    <x v="2683"/>
    <d v="2023-08-09T00:00:00"/>
    <m/>
    <x v="0"/>
    <n v="39"/>
    <s v="month"/>
    <s v=""/>
    <s v="Wednesday"/>
  </r>
  <r>
    <x v="2684"/>
    <d v="2023-08-09T00:00:00"/>
    <m/>
    <x v="0"/>
    <n v="39"/>
    <s v="month"/>
    <s v=""/>
    <s v="Wednesday"/>
  </r>
  <r>
    <x v="2685"/>
    <d v="2023-08-09T00:00:00"/>
    <m/>
    <x v="0"/>
    <n v="39"/>
    <s v="month"/>
    <s v=""/>
    <s v="Wednesday"/>
  </r>
  <r>
    <x v="2686"/>
    <d v="2023-08-09T00:00:00"/>
    <m/>
    <x v="0"/>
    <n v="39"/>
    <s v="month"/>
    <s v=""/>
    <s v="Wednesday"/>
  </r>
  <r>
    <x v="1178"/>
    <d v="2023-08-09T00:00:00"/>
    <m/>
    <x v="0"/>
    <n v="39"/>
    <s v="month"/>
    <s v=""/>
    <s v="Wednesday"/>
  </r>
  <r>
    <x v="2359"/>
    <d v="2023-08-09T00:00:00"/>
    <d v="2023-08-15T00:00:00"/>
    <x v="0"/>
    <n v="39"/>
    <s v="month"/>
    <n v="6"/>
    <s v="Wednesday"/>
  </r>
  <r>
    <x v="2687"/>
    <d v="2023-08-09T00:00:00"/>
    <d v="2023-08-14T00:00:00"/>
    <x v="0"/>
    <n v="39"/>
    <s v="month"/>
    <n v="5"/>
    <s v="Wednesday"/>
  </r>
  <r>
    <x v="2688"/>
    <d v="2023-08-09T00:00:00"/>
    <d v="2023-08-09T00:00:00"/>
    <x v="1"/>
    <n v="39"/>
    <s v="month"/>
    <n v="0"/>
    <s v="Wednesday"/>
  </r>
  <r>
    <x v="2689"/>
    <d v="2023-08-10T00:00:00"/>
    <m/>
    <x v="0"/>
    <n v="39"/>
    <s v="month"/>
    <s v=""/>
    <s v="Thursday"/>
  </r>
  <r>
    <x v="2690"/>
    <d v="2023-08-10T00:00:00"/>
    <m/>
    <x v="0"/>
    <n v="39"/>
    <s v="month"/>
    <s v=""/>
    <s v="Thursday"/>
  </r>
  <r>
    <x v="2691"/>
    <d v="2023-08-10T00:00:00"/>
    <m/>
    <x v="0"/>
    <n v="39"/>
    <s v="month"/>
    <s v=""/>
    <s v="Thursday"/>
  </r>
  <r>
    <x v="2692"/>
    <d v="2023-08-10T00:00:00"/>
    <m/>
    <x v="0"/>
    <n v="39"/>
    <s v="month"/>
    <s v=""/>
    <s v="Thursday"/>
  </r>
  <r>
    <x v="2693"/>
    <d v="2023-08-10T00:00:00"/>
    <d v="2023-08-11T00:00:00"/>
    <x v="0"/>
    <n v="39"/>
    <s v="month"/>
    <n v="1"/>
    <s v="Thursday"/>
  </r>
  <r>
    <x v="2694"/>
    <d v="2023-08-11T00:00:00"/>
    <m/>
    <x v="0"/>
    <n v="39"/>
    <s v="month"/>
    <s v=""/>
    <s v="Friday"/>
  </r>
  <r>
    <x v="2535"/>
    <d v="2023-08-11T00:00:00"/>
    <m/>
    <x v="0"/>
    <n v="39"/>
    <s v="month"/>
    <s v=""/>
    <s v="Friday"/>
  </r>
  <r>
    <x v="2695"/>
    <d v="2023-08-11T00:00:00"/>
    <m/>
    <x v="0"/>
    <n v="39"/>
    <s v="month"/>
    <s v=""/>
    <s v="Friday"/>
  </r>
  <r>
    <x v="2696"/>
    <d v="2023-08-11T00:00:00"/>
    <m/>
    <x v="0"/>
    <n v="39"/>
    <s v="month"/>
    <s v=""/>
    <s v="Friday"/>
  </r>
  <r>
    <x v="741"/>
    <d v="2023-08-11T00:00:00"/>
    <d v="2023-09-06T00:00:00"/>
    <x v="0"/>
    <n v="39"/>
    <s v="month"/>
    <n v="26"/>
    <s v="Friday"/>
  </r>
  <r>
    <x v="2697"/>
    <d v="2023-08-11T00:00:00"/>
    <d v="2023-08-12T00:00:00"/>
    <x v="0"/>
    <n v="39"/>
    <s v="month"/>
    <n v="1"/>
    <s v="Friday"/>
  </r>
  <r>
    <x v="2211"/>
    <d v="2023-08-11T00:00:00"/>
    <d v="2023-08-12T00:00:00"/>
    <x v="0"/>
    <n v="39"/>
    <s v="month"/>
    <n v="1"/>
    <s v="Friday"/>
  </r>
  <r>
    <x v="2698"/>
    <d v="2023-08-11T00:00:00"/>
    <d v="2023-08-12T00:00:00"/>
    <x v="1"/>
    <n v="39"/>
    <s v="month"/>
    <n v="1"/>
    <s v="Friday"/>
  </r>
  <r>
    <x v="2699"/>
    <d v="2023-08-11T00:00:00"/>
    <d v="2023-08-12T00:00:00"/>
    <x v="1"/>
    <n v="39"/>
    <s v="month"/>
    <n v="1"/>
    <s v="Friday"/>
  </r>
  <r>
    <x v="296"/>
    <d v="2023-08-12T00:00:00"/>
    <m/>
    <x v="0"/>
    <n v="39"/>
    <s v="month"/>
    <s v=""/>
    <s v="Saturday"/>
  </r>
  <r>
    <x v="2071"/>
    <d v="2023-08-12T00:00:00"/>
    <d v="2023-08-16T00:00:00"/>
    <x v="0"/>
    <n v="39"/>
    <s v="month"/>
    <n v="4"/>
    <s v="Saturday"/>
  </r>
  <r>
    <x v="1661"/>
    <d v="2023-08-12T00:00:00"/>
    <d v="2023-09-02T00:00:00"/>
    <x v="0"/>
    <n v="39"/>
    <s v="month"/>
    <n v="21"/>
    <s v="Saturday"/>
  </r>
  <r>
    <x v="2700"/>
    <d v="2023-08-13T00:00:00"/>
    <m/>
    <x v="0"/>
    <n v="39"/>
    <s v="month"/>
    <s v=""/>
    <s v="Sunday"/>
  </r>
  <r>
    <x v="2701"/>
    <d v="2023-08-13T00:00:00"/>
    <m/>
    <x v="0"/>
    <n v="39"/>
    <s v="month"/>
    <s v=""/>
    <s v="Sunday"/>
  </r>
  <r>
    <x v="2702"/>
    <d v="2023-08-13T00:00:00"/>
    <m/>
    <x v="0"/>
    <n v="39"/>
    <s v="month"/>
    <s v=""/>
    <s v="Sunday"/>
  </r>
  <r>
    <x v="1954"/>
    <d v="2023-08-13T00:00:00"/>
    <m/>
    <x v="0"/>
    <n v="39"/>
    <s v="month"/>
    <s v=""/>
    <s v="Sunday"/>
  </r>
  <r>
    <x v="1596"/>
    <d v="2023-08-13T00:00:00"/>
    <m/>
    <x v="0"/>
    <n v="39"/>
    <s v="month"/>
    <s v=""/>
    <s v="Sunday"/>
  </r>
  <r>
    <x v="2703"/>
    <d v="2023-08-13T00:00:00"/>
    <m/>
    <x v="0"/>
    <n v="39"/>
    <s v="month"/>
    <s v=""/>
    <s v="Sunday"/>
  </r>
  <r>
    <x v="2704"/>
    <d v="2023-08-13T00:00:00"/>
    <m/>
    <x v="0"/>
    <n v="39"/>
    <s v="month"/>
    <s v=""/>
    <s v="Sunday"/>
  </r>
  <r>
    <x v="2705"/>
    <d v="2023-08-13T00:00:00"/>
    <d v="2023-09-01T00:00:00"/>
    <x v="0"/>
    <n v="39"/>
    <s v="month"/>
    <n v="19"/>
    <s v="Sunday"/>
  </r>
  <r>
    <x v="999"/>
    <d v="2023-08-14T00:00:00"/>
    <m/>
    <x v="0"/>
    <n v="39"/>
    <s v="month"/>
    <s v=""/>
    <s v="Monday"/>
  </r>
  <r>
    <x v="2706"/>
    <d v="2023-08-14T00:00:00"/>
    <m/>
    <x v="0"/>
    <n v="39"/>
    <s v="month"/>
    <s v=""/>
    <s v="Monday"/>
  </r>
  <r>
    <x v="2707"/>
    <d v="2023-08-14T00:00:00"/>
    <m/>
    <x v="0"/>
    <n v="39"/>
    <s v="month"/>
    <s v=""/>
    <s v="Monday"/>
  </r>
  <r>
    <x v="1053"/>
    <d v="2023-08-14T00:00:00"/>
    <m/>
    <x v="0"/>
    <n v="39"/>
    <s v="month"/>
    <s v=""/>
    <s v="Monday"/>
  </r>
  <r>
    <x v="2211"/>
    <d v="2023-08-14T00:00:00"/>
    <m/>
    <x v="0"/>
    <n v="39"/>
    <s v="month"/>
    <s v=""/>
    <s v="Monday"/>
  </r>
  <r>
    <x v="2708"/>
    <d v="2023-08-14T00:00:00"/>
    <m/>
    <x v="0"/>
    <n v="39"/>
    <s v="month"/>
    <s v=""/>
    <s v="Monday"/>
  </r>
  <r>
    <x v="2709"/>
    <d v="2023-08-14T00:00:00"/>
    <m/>
    <x v="0"/>
    <n v="39"/>
    <s v="month"/>
    <s v=""/>
    <s v="Monday"/>
  </r>
  <r>
    <x v="2710"/>
    <d v="2023-08-14T00:00:00"/>
    <m/>
    <x v="0"/>
    <n v="39"/>
    <s v="month"/>
    <s v=""/>
    <s v="Monday"/>
  </r>
  <r>
    <x v="2711"/>
    <d v="2023-08-14T00:00:00"/>
    <m/>
    <x v="0"/>
    <n v="39"/>
    <s v="month"/>
    <s v=""/>
    <s v="Monday"/>
  </r>
  <r>
    <x v="2712"/>
    <d v="2023-08-14T00:00:00"/>
    <m/>
    <x v="0"/>
    <n v="39"/>
    <s v="month"/>
    <s v=""/>
    <s v="Monday"/>
  </r>
  <r>
    <x v="2713"/>
    <d v="2023-08-14T00:00:00"/>
    <m/>
    <x v="0"/>
    <n v="39"/>
    <s v="month"/>
    <s v=""/>
    <s v="Monday"/>
  </r>
  <r>
    <x v="3"/>
    <d v="2023-08-14T00:00:00"/>
    <d v="2023-08-16T00:00:00"/>
    <x v="0"/>
    <n v="39"/>
    <s v="month"/>
    <n v="2"/>
    <s v="Monday"/>
  </r>
  <r>
    <x v="2714"/>
    <d v="2023-08-15T00:00:00"/>
    <m/>
    <x v="0"/>
    <n v="39"/>
    <s v="month"/>
    <s v=""/>
    <s v="Tuesday"/>
  </r>
  <r>
    <x v="1691"/>
    <d v="2023-08-15T00:00:00"/>
    <m/>
    <x v="0"/>
    <n v="39"/>
    <s v="month"/>
    <s v=""/>
    <s v="Tuesday"/>
  </r>
  <r>
    <x v="2462"/>
    <d v="2023-08-15T00:00:00"/>
    <m/>
    <x v="0"/>
    <n v="39"/>
    <s v="month"/>
    <s v=""/>
    <s v="Tuesday"/>
  </r>
  <r>
    <x v="2715"/>
    <d v="2023-08-15T00:00:00"/>
    <d v="2023-08-16T00:00:00"/>
    <x v="1"/>
    <n v="39"/>
    <s v="month"/>
    <n v="1"/>
    <s v="Tuesday"/>
  </r>
  <r>
    <x v="1910"/>
    <d v="2023-08-16T00:00:00"/>
    <m/>
    <x v="0"/>
    <n v="39"/>
    <s v="month"/>
    <s v=""/>
    <s v="Wednesday"/>
  </r>
  <r>
    <x v="2716"/>
    <d v="2023-08-16T00:00:00"/>
    <m/>
    <x v="0"/>
    <n v="39"/>
    <s v="month"/>
    <s v=""/>
    <s v="Wednesday"/>
  </r>
  <r>
    <x v="2717"/>
    <d v="2023-08-16T00:00:00"/>
    <m/>
    <x v="0"/>
    <n v="39"/>
    <s v="month"/>
    <s v=""/>
    <s v="Wednesday"/>
  </r>
  <r>
    <x v="2718"/>
    <d v="2023-08-16T00:00:00"/>
    <m/>
    <x v="0"/>
    <n v="39"/>
    <s v="month"/>
    <s v=""/>
    <s v="Wednesday"/>
  </r>
  <r>
    <x v="2719"/>
    <d v="2023-08-16T00:00:00"/>
    <m/>
    <x v="0"/>
    <n v="39"/>
    <s v="month"/>
    <s v=""/>
    <s v="Wednesday"/>
  </r>
  <r>
    <x v="2720"/>
    <d v="2023-08-16T00:00:00"/>
    <m/>
    <x v="0"/>
    <n v="39"/>
    <s v="month"/>
    <s v=""/>
    <s v="Wednesday"/>
  </r>
  <r>
    <x v="2721"/>
    <d v="2023-08-16T00:00:00"/>
    <m/>
    <x v="0"/>
    <n v="39"/>
    <s v="month"/>
    <s v=""/>
    <s v="Wednesday"/>
  </r>
  <r>
    <x v="2697"/>
    <d v="2023-08-16T00:00:00"/>
    <m/>
    <x v="0"/>
    <n v="39"/>
    <s v="month"/>
    <s v=""/>
    <s v="Wednesday"/>
  </r>
  <r>
    <x v="2722"/>
    <d v="2023-08-16T00:00:00"/>
    <m/>
    <x v="0"/>
    <n v="39"/>
    <s v="month"/>
    <s v=""/>
    <s v="Wednesday"/>
  </r>
  <r>
    <x v="2723"/>
    <d v="2023-08-16T00:00:00"/>
    <m/>
    <x v="0"/>
    <n v="39"/>
    <s v="month"/>
    <s v=""/>
    <s v="Wednesday"/>
  </r>
  <r>
    <x v="1911"/>
    <d v="2023-08-16T00:00:00"/>
    <m/>
    <x v="0"/>
    <n v="39"/>
    <s v="month"/>
    <s v=""/>
    <s v="Wednesday"/>
  </r>
  <r>
    <x v="2724"/>
    <d v="2023-08-16T00:00:00"/>
    <m/>
    <x v="0"/>
    <n v="39"/>
    <s v="month"/>
    <s v=""/>
    <s v="Wednesday"/>
  </r>
  <r>
    <x v="2725"/>
    <d v="2023-08-17T00:00:00"/>
    <m/>
    <x v="0"/>
    <n v="39"/>
    <s v="month"/>
    <s v=""/>
    <s v="Thursday"/>
  </r>
  <r>
    <x v="2726"/>
    <d v="2023-08-17T00:00:00"/>
    <m/>
    <x v="0"/>
    <n v="39"/>
    <s v="month"/>
    <s v=""/>
    <s v="Thursday"/>
  </r>
  <r>
    <x v="2727"/>
    <d v="2023-08-17T00:00:00"/>
    <m/>
    <x v="0"/>
    <n v="39"/>
    <s v="month"/>
    <s v=""/>
    <s v="Thursday"/>
  </r>
  <r>
    <x v="2728"/>
    <d v="2023-08-17T00:00:00"/>
    <m/>
    <x v="0"/>
    <n v="39"/>
    <s v="month"/>
    <s v=""/>
    <s v="Thursday"/>
  </r>
  <r>
    <x v="2729"/>
    <d v="2023-08-17T00:00:00"/>
    <m/>
    <x v="0"/>
    <n v="39"/>
    <s v="month"/>
    <s v=""/>
    <s v="Thursday"/>
  </r>
  <r>
    <x v="2730"/>
    <d v="2023-08-17T00:00:00"/>
    <m/>
    <x v="0"/>
    <n v="39"/>
    <s v="month"/>
    <s v=""/>
    <s v="Thursday"/>
  </r>
  <r>
    <x v="2731"/>
    <d v="2023-08-17T00:00:00"/>
    <m/>
    <x v="0"/>
    <n v="39"/>
    <s v="month"/>
    <s v=""/>
    <s v="Thursday"/>
  </r>
  <r>
    <x v="2732"/>
    <d v="2023-08-17T00:00:00"/>
    <m/>
    <x v="0"/>
    <n v="39"/>
    <s v="month"/>
    <s v=""/>
    <s v="Thursday"/>
  </r>
  <r>
    <x v="2202"/>
    <d v="2023-08-17T00:00:00"/>
    <m/>
    <x v="0"/>
    <n v="39"/>
    <s v="month"/>
    <s v=""/>
    <s v="Thursday"/>
  </r>
  <r>
    <x v="2733"/>
    <d v="2023-08-17T00:00:00"/>
    <m/>
    <x v="0"/>
    <n v="39"/>
    <s v="month"/>
    <s v=""/>
    <s v="Thursday"/>
  </r>
  <r>
    <x v="2734"/>
    <d v="2023-08-17T00:00:00"/>
    <m/>
    <x v="0"/>
    <n v="39"/>
    <s v="month"/>
    <s v=""/>
    <s v="Thursday"/>
  </r>
  <r>
    <x v="2139"/>
    <d v="2023-08-17T00:00:00"/>
    <m/>
    <x v="0"/>
    <n v="39"/>
    <s v="month"/>
    <s v=""/>
    <s v="Thursday"/>
  </r>
  <r>
    <x v="2735"/>
    <d v="2023-08-17T00:00:00"/>
    <d v="2023-08-17T00:00:00"/>
    <x v="0"/>
    <n v="39"/>
    <s v="month"/>
    <n v="0"/>
    <s v="Thursday"/>
  </r>
  <r>
    <x v="2736"/>
    <d v="2023-08-17T00:00:00"/>
    <d v="2023-08-18T00:00:00"/>
    <x v="1"/>
    <n v="39"/>
    <s v="month"/>
    <n v="1"/>
    <s v="Thursday"/>
  </r>
  <r>
    <x v="2737"/>
    <d v="2023-08-18T00:00:00"/>
    <m/>
    <x v="0"/>
    <n v="39"/>
    <s v="month"/>
    <s v=""/>
    <s v="Friday"/>
  </r>
  <r>
    <x v="2738"/>
    <d v="2023-08-18T00:00:00"/>
    <m/>
    <x v="0"/>
    <n v="39"/>
    <s v="month"/>
    <s v=""/>
    <s v="Friday"/>
  </r>
  <r>
    <x v="2739"/>
    <d v="2023-08-18T00:00:00"/>
    <m/>
    <x v="0"/>
    <n v="39"/>
    <s v="month"/>
    <s v=""/>
    <s v="Friday"/>
  </r>
  <r>
    <x v="2740"/>
    <d v="2023-08-18T00:00:00"/>
    <m/>
    <x v="0"/>
    <n v="39"/>
    <s v="month"/>
    <s v=""/>
    <s v="Friday"/>
  </r>
  <r>
    <x v="2741"/>
    <d v="2023-08-18T00:00:00"/>
    <m/>
    <x v="0"/>
    <n v="39"/>
    <s v="month"/>
    <s v=""/>
    <s v="Friday"/>
  </r>
  <r>
    <x v="2742"/>
    <d v="2023-08-18T00:00:00"/>
    <m/>
    <x v="0"/>
    <n v="39"/>
    <s v="month"/>
    <s v=""/>
    <s v="Friday"/>
  </r>
  <r>
    <x v="2254"/>
    <d v="2023-08-18T00:00:00"/>
    <m/>
    <x v="0"/>
    <n v="39"/>
    <s v="month"/>
    <s v=""/>
    <s v="Friday"/>
  </r>
  <r>
    <x v="2743"/>
    <d v="2023-08-18T00:00:00"/>
    <d v="2023-08-18T00:00:00"/>
    <x v="0"/>
    <n v="39"/>
    <s v="month"/>
    <n v="0"/>
    <s v="Friday"/>
  </r>
  <r>
    <x v="2744"/>
    <d v="2023-08-18T00:00:00"/>
    <d v="2023-09-07T00:00:00"/>
    <x v="0"/>
    <n v="39"/>
    <s v="month"/>
    <n v="20"/>
    <s v="Friday"/>
  </r>
  <r>
    <x v="2745"/>
    <d v="2023-08-18T00:00:00"/>
    <d v="2023-08-19T00:00:00"/>
    <x v="1"/>
    <n v="39"/>
    <s v="month"/>
    <n v="1"/>
    <s v="Friday"/>
  </r>
  <r>
    <x v="1196"/>
    <d v="2023-08-19T00:00:00"/>
    <m/>
    <x v="0"/>
    <n v="39"/>
    <s v="month"/>
    <s v=""/>
    <s v="Saturday"/>
  </r>
  <r>
    <x v="2746"/>
    <d v="2023-08-19T00:00:00"/>
    <m/>
    <x v="0"/>
    <n v="39"/>
    <s v="month"/>
    <s v=""/>
    <s v="Saturday"/>
  </r>
  <r>
    <x v="2747"/>
    <d v="2023-08-19T00:00:00"/>
    <m/>
    <x v="0"/>
    <n v="39"/>
    <s v="month"/>
    <s v=""/>
    <s v="Saturday"/>
  </r>
  <r>
    <x v="2748"/>
    <d v="2023-08-19T00:00:00"/>
    <m/>
    <x v="0"/>
    <n v="39"/>
    <s v="month"/>
    <s v=""/>
    <s v="Saturday"/>
  </r>
  <r>
    <x v="2749"/>
    <d v="2023-08-19T00:00:00"/>
    <m/>
    <x v="0"/>
    <n v="39"/>
    <s v="month"/>
    <s v=""/>
    <s v="Saturday"/>
  </r>
  <r>
    <x v="2750"/>
    <d v="2023-08-19T00:00:00"/>
    <m/>
    <x v="0"/>
    <n v="39"/>
    <s v="month"/>
    <s v=""/>
    <s v="Saturday"/>
  </r>
  <r>
    <x v="2751"/>
    <d v="2023-08-19T00:00:00"/>
    <m/>
    <x v="0"/>
    <n v="39"/>
    <s v="month"/>
    <s v=""/>
    <s v="Saturday"/>
  </r>
  <r>
    <x v="2752"/>
    <d v="2023-08-19T00:00:00"/>
    <m/>
    <x v="0"/>
    <n v="39"/>
    <s v="month"/>
    <s v=""/>
    <s v="Saturday"/>
  </r>
  <r>
    <x v="2753"/>
    <d v="2023-08-19T00:00:00"/>
    <d v="2023-08-25T00:00:00"/>
    <x v="0"/>
    <n v="39"/>
    <s v="month"/>
    <n v="6"/>
    <s v="Saturday"/>
  </r>
  <r>
    <x v="2509"/>
    <d v="2023-08-20T00:00:00"/>
    <m/>
    <x v="0"/>
    <n v="39"/>
    <s v="month"/>
    <s v=""/>
    <s v="Sunday"/>
  </r>
  <r>
    <x v="2754"/>
    <d v="2023-08-20T00:00:00"/>
    <m/>
    <x v="0"/>
    <n v="39"/>
    <s v="month"/>
    <s v=""/>
    <s v="Sunday"/>
  </r>
  <r>
    <x v="2755"/>
    <d v="2023-08-20T00:00:00"/>
    <m/>
    <x v="0"/>
    <n v="39"/>
    <s v="month"/>
    <s v=""/>
    <s v="Sunday"/>
  </r>
  <r>
    <x v="2101"/>
    <d v="2023-08-20T00:00:00"/>
    <m/>
    <x v="0"/>
    <n v="39"/>
    <s v="month"/>
    <s v=""/>
    <s v="Sunday"/>
  </r>
  <r>
    <x v="2756"/>
    <d v="2023-08-20T00:00:00"/>
    <m/>
    <x v="0"/>
    <n v="39"/>
    <s v="month"/>
    <s v=""/>
    <s v="Sunday"/>
  </r>
  <r>
    <x v="2757"/>
    <d v="2023-08-20T00:00:00"/>
    <d v="2023-08-20T00:00:00"/>
    <x v="1"/>
    <n v="39"/>
    <s v="month"/>
    <n v="0"/>
    <s v="Sunday"/>
  </r>
  <r>
    <x v="2758"/>
    <d v="2023-08-21T00:00:00"/>
    <m/>
    <x v="0"/>
    <n v="39"/>
    <s v="month"/>
    <s v=""/>
    <s v="Monday"/>
  </r>
  <r>
    <x v="97"/>
    <d v="2023-08-21T00:00:00"/>
    <m/>
    <x v="0"/>
    <n v="39"/>
    <s v="month"/>
    <s v=""/>
    <s v="Monday"/>
  </r>
  <r>
    <x v="2759"/>
    <d v="2023-08-21T00:00:00"/>
    <m/>
    <x v="0"/>
    <n v="39"/>
    <s v="month"/>
    <s v=""/>
    <s v="Monday"/>
  </r>
  <r>
    <x v="1391"/>
    <d v="2023-08-21T00:00:00"/>
    <m/>
    <x v="0"/>
    <n v="39"/>
    <s v="month"/>
    <s v=""/>
    <s v="Monday"/>
  </r>
  <r>
    <x v="2760"/>
    <d v="2023-08-21T00:00:00"/>
    <m/>
    <x v="0"/>
    <n v="39"/>
    <s v="month"/>
    <s v=""/>
    <s v="Monday"/>
  </r>
  <r>
    <x v="2761"/>
    <d v="2023-08-21T00:00:00"/>
    <m/>
    <x v="0"/>
    <n v="39"/>
    <s v="month"/>
    <s v=""/>
    <s v="Monday"/>
  </r>
  <r>
    <x v="2762"/>
    <d v="2023-08-21T00:00:00"/>
    <m/>
    <x v="0"/>
    <n v="39"/>
    <s v="month"/>
    <s v=""/>
    <s v="Monday"/>
  </r>
  <r>
    <x v="2763"/>
    <d v="2023-08-21T00:00:00"/>
    <m/>
    <x v="0"/>
    <n v="39"/>
    <s v="month"/>
    <s v=""/>
    <s v="Monday"/>
  </r>
  <r>
    <x v="2764"/>
    <d v="2023-08-21T00:00:00"/>
    <m/>
    <x v="0"/>
    <n v="39"/>
    <s v="month"/>
    <s v=""/>
    <s v="Monday"/>
  </r>
  <r>
    <x v="2765"/>
    <d v="2023-08-21T00:00:00"/>
    <m/>
    <x v="0"/>
    <n v="39"/>
    <s v="month"/>
    <s v=""/>
    <s v="Monday"/>
  </r>
  <r>
    <x v="2172"/>
    <d v="2023-08-21T00:00:00"/>
    <d v="2023-08-21T00:00:00"/>
    <x v="0"/>
    <n v="39"/>
    <s v="month"/>
    <n v="0"/>
    <s v="Monday"/>
  </r>
  <r>
    <x v="800"/>
    <d v="2023-08-21T00:00:00"/>
    <d v="2023-08-28T00:00:00"/>
    <x v="0"/>
    <n v="39"/>
    <s v="month"/>
    <n v="7"/>
    <s v="Monday"/>
  </r>
  <r>
    <x v="1834"/>
    <d v="2023-08-21T00:00:00"/>
    <d v="2023-08-22T00:00:00"/>
    <x v="0"/>
    <n v="39"/>
    <s v="month"/>
    <n v="1"/>
    <s v="Monday"/>
  </r>
  <r>
    <x v="2766"/>
    <d v="2023-08-22T00:00:00"/>
    <m/>
    <x v="0"/>
    <n v="39"/>
    <s v="month"/>
    <s v=""/>
    <s v="Tuesday"/>
  </r>
  <r>
    <x v="1834"/>
    <d v="2023-08-22T00:00:00"/>
    <m/>
    <x v="0"/>
    <n v="39"/>
    <s v="month"/>
    <s v=""/>
    <s v="Tuesday"/>
  </r>
  <r>
    <x v="1457"/>
    <d v="2023-08-22T00:00:00"/>
    <m/>
    <x v="0"/>
    <n v="39"/>
    <s v="month"/>
    <s v=""/>
    <s v="Tuesday"/>
  </r>
  <r>
    <x v="2767"/>
    <d v="2023-08-22T00:00:00"/>
    <m/>
    <x v="0"/>
    <n v="39"/>
    <s v="month"/>
    <s v=""/>
    <s v="Tuesday"/>
  </r>
  <r>
    <x v="2768"/>
    <d v="2023-08-22T00:00:00"/>
    <m/>
    <x v="0"/>
    <n v="39"/>
    <s v="month"/>
    <s v=""/>
    <s v="Tuesday"/>
  </r>
  <r>
    <x v="1706"/>
    <d v="2023-08-22T00:00:00"/>
    <m/>
    <x v="0"/>
    <n v="39"/>
    <s v="month"/>
    <s v=""/>
    <s v="Tuesday"/>
  </r>
  <r>
    <x v="2769"/>
    <d v="2023-08-22T00:00:00"/>
    <m/>
    <x v="0"/>
    <n v="39"/>
    <s v="month"/>
    <s v=""/>
    <s v="Tuesday"/>
  </r>
  <r>
    <x v="2770"/>
    <d v="2023-08-22T00:00:00"/>
    <m/>
    <x v="0"/>
    <n v="39"/>
    <s v="month"/>
    <s v=""/>
    <s v="Tuesday"/>
  </r>
  <r>
    <x v="2771"/>
    <d v="2023-08-22T00:00:00"/>
    <m/>
    <x v="0"/>
    <n v="39"/>
    <s v="month"/>
    <s v=""/>
    <s v="Tuesday"/>
  </r>
  <r>
    <x v="2772"/>
    <d v="2023-08-22T00:00:00"/>
    <m/>
    <x v="0"/>
    <n v="39"/>
    <s v="month"/>
    <s v=""/>
    <s v="Tuesday"/>
  </r>
  <r>
    <x v="2773"/>
    <d v="2023-08-22T00:00:00"/>
    <d v="2023-08-23T00:00:00"/>
    <x v="1"/>
    <n v="39"/>
    <s v="month"/>
    <n v="1"/>
    <s v="Tuesday"/>
  </r>
  <r>
    <x v="1145"/>
    <d v="2023-08-23T00:00:00"/>
    <m/>
    <x v="0"/>
    <n v="39"/>
    <s v="month"/>
    <s v=""/>
    <s v="Wednesday"/>
  </r>
  <r>
    <x v="2774"/>
    <d v="2023-08-23T00:00:00"/>
    <m/>
    <x v="0"/>
    <n v="39"/>
    <s v="month"/>
    <s v=""/>
    <s v="Wednesday"/>
  </r>
  <r>
    <x v="2775"/>
    <d v="2023-08-23T00:00:00"/>
    <m/>
    <x v="0"/>
    <n v="39"/>
    <s v="month"/>
    <s v=""/>
    <s v="Wednesday"/>
  </r>
  <r>
    <x v="2426"/>
    <d v="2023-08-23T00:00:00"/>
    <m/>
    <x v="0"/>
    <n v="39"/>
    <s v="month"/>
    <s v=""/>
    <s v="Wednesday"/>
  </r>
  <r>
    <x v="2776"/>
    <d v="2023-08-23T00:00:00"/>
    <m/>
    <x v="0"/>
    <n v="39"/>
    <s v="month"/>
    <s v=""/>
    <s v="Wednesday"/>
  </r>
  <r>
    <x v="2777"/>
    <d v="2023-08-23T00:00:00"/>
    <m/>
    <x v="0"/>
    <n v="39"/>
    <s v="month"/>
    <s v=""/>
    <s v="Wednesday"/>
  </r>
  <r>
    <x v="2778"/>
    <d v="2023-08-23T00:00:00"/>
    <m/>
    <x v="0"/>
    <n v="39"/>
    <s v="month"/>
    <s v=""/>
    <s v="Wednesday"/>
  </r>
  <r>
    <x v="2779"/>
    <d v="2023-08-23T00:00:00"/>
    <m/>
    <x v="0"/>
    <n v="39"/>
    <s v="month"/>
    <s v=""/>
    <s v="Wednesday"/>
  </r>
  <r>
    <x v="2780"/>
    <d v="2023-08-23T00:00:00"/>
    <m/>
    <x v="0"/>
    <n v="39"/>
    <s v="month"/>
    <s v=""/>
    <s v="Wednesday"/>
  </r>
  <r>
    <x v="2781"/>
    <d v="2023-08-24T00:00:00"/>
    <m/>
    <x v="0"/>
    <n v="39"/>
    <s v="month"/>
    <s v=""/>
    <s v="Thursday"/>
  </r>
  <r>
    <x v="2782"/>
    <d v="2023-08-24T00:00:00"/>
    <m/>
    <x v="0"/>
    <n v="39"/>
    <s v="month"/>
    <s v=""/>
    <s v="Thursday"/>
  </r>
  <r>
    <x v="2259"/>
    <d v="2023-08-24T00:00:00"/>
    <m/>
    <x v="0"/>
    <n v="39"/>
    <s v="month"/>
    <s v=""/>
    <s v="Thursday"/>
  </r>
  <r>
    <x v="2783"/>
    <d v="2023-08-24T00:00:00"/>
    <m/>
    <x v="0"/>
    <n v="39"/>
    <s v="month"/>
    <s v=""/>
    <s v="Thursday"/>
  </r>
  <r>
    <x v="2784"/>
    <d v="2023-08-24T00:00:00"/>
    <m/>
    <x v="0"/>
    <n v="39"/>
    <s v="month"/>
    <s v=""/>
    <s v="Thursday"/>
  </r>
  <r>
    <x v="2785"/>
    <d v="2023-08-24T00:00:00"/>
    <d v="2023-08-25T00:00:00"/>
    <x v="0"/>
    <n v="39"/>
    <s v="month"/>
    <n v="1"/>
    <s v="Thursday"/>
  </r>
  <r>
    <x v="2786"/>
    <d v="2023-08-24T00:00:00"/>
    <d v="2023-08-25T00:00:00"/>
    <x v="1"/>
    <n v="39"/>
    <s v="month"/>
    <n v="1"/>
    <s v="Thursday"/>
  </r>
  <r>
    <x v="2170"/>
    <d v="2023-08-25T00:00:00"/>
    <m/>
    <x v="0"/>
    <n v="39"/>
    <s v="month"/>
    <s v=""/>
    <s v="Friday"/>
  </r>
  <r>
    <x v="2787"/>
    <d v="2023-08-25T00:00:00"/>
    <m/>
    <x v="0"/>
    <n v="39"/>
    <s v="month"/>
    <s v=""/>
    <s v="Friday"/>
  </r>
  <r>
    <x v="2788"/>
    <d v="2023-08-25T00:00:00"/>
    <m/>
    <x v="0"/>
    <n v="39"/>
    <s v="month"/>
    <s v=""/>
    <s v="Friday"/>
  </r>
  <r>
    <x v="2428"/>
    <d v="2023-08-25T00:00:00"/>
    <m/>
    <x v="0"/>
    <n v="39"/>
    <s v="month"/>
    <s v=""/>
    <s v="Friday"/>
  </r>
  <r>
    <x v="2789"/>
    <d v="2023-08-25T00:00:00"/>
    <m/>
    <x v="0"/>
    <n v="39"/>
    <s v="month"/>
    <s v=""/>
    <s v="Friday"/>
  </r>
  <r>
    <x v="525"/>
    <d v="2023-08-25T00:00:00"/>
    <m/>
    <x v="0"/>
    <n v="39"/>
    <s v="month"/>
    <s v=""/>
    <s v="Friday"/>
  </r>
  <r>
    <x v="2790"/>
    <d v="2023-08-25T00:00:00"/>
    <m/>
    <x v="0"/>
    <n v="39"/>
    <s v="month"/>
    <s v=""/>
    <s v="Friday"/>
  </r>
  <r>
    <x v="795"/>
    <d v="2023-08-25T00:00:00"/>
    <m/>
    <x v="0"/>
    <n v="39"/>
    <s v="month"/>
    <s v=""/>
    <s v="Friday"/>
  </r>
  <r>
    <x v="2791"/>
    <d v="2023-08-25T00:00:00"/>
    <d v="2023-08-26T00:00:00"/>
    <x v="1"/>
    <n v="39"/>
    <s v="month"/>
    <n v="1"/>
    <s v="Friday"/>
  </r>
  <r>
    <x v="2792"/>
    <d v="2023-08-26T00:00:00"/>
    <m/>
    <x v="0"/>
    <n v="39"/>
    <s v="month"/>
    <s v=""/>
    <s v="Saturday"/>
  </r>
  <r>
    <x v="2793"/>
    <d v="2023-08-26T00:00:00"/>
    <m/>
    <x v="0"/>
    <n v="39"/>
    <s v="month"/>
    <s v=""/>
    <s v="Saturday"/>
  </r>
  <r>
    <x v="2794"/>
    <d v="2023-08-26T00:00:00"/>
    <m/>
    <x v="0"/>
    <n v="39"/>
    <s v="month"/>
    <s v=""/>
    <s v="Saturday"/>
  </r>
  <r>
    <x v="2795"/>
    <d v="2023-08-26T00:00:00"/>
    <m/>
    <x v="0"/>
    <n v="39"/>
    <s v="month"/>
    <s v=""/>
    <s v="Saturday"/>
  </r>
  <r>
    <x v="2553"/>
    <d v="2023-08-26T00:00:00"/>
    <d v="2023-08-28T00:00:00"/>
    <x v="0"/>
    <n v="39"/>
    <s v="month"/>
    <n v="2"/>
    <s v="Saturday"/>
  </r>
  <r>
    <x v="2796"/>
    <d v="2023-08-26T00:00:00"/>
    <d v="2023-09-05T00:00:00"/>
    <x v="0"/>
    <n v="39"/>
    <s v="month"/>
    <n v="10"/>
    <s v="Saturday"/>
  </r>
  <r>
    <x v="2797"/>
    <d v="2023-08-27T00:00:00"/>
    <m/>
    <x v="0"/>
    <n v="39"/>
    <s v="month"/>
    <s v=""/>
    <s v="Sunday"/>
  </r>
  <r>
    <x v="2798"/>
    <d v="2023-08-27T00:00:00"/>
    <m/>
    <x v="0"/>
    <n v="39"/>
    <s v="month"/>
    <s v=""/>
    <s v="Sunday"/>
  </r>
  <r>
    <x v="2799"/>
    <d v="2023-08-27T00:00:00"/>
    <m/>
    <x v="0"/>
    <n v="39"/>
    <s v="month"/>
    <s v=""/>
    <s v="Sunday"/>
  </r>
  <r>
    <x v="2800"/>
    <d v="2023-08-28T00:00:00"/>
    <m/>
    <x v="0"/>
    <n v="39"/>
    <s v="month"/>
    <s v=""/>
    <s v="Monday"/>
  </r>
  <r>
    <x v="2801"/>
    <d v="2023-08-28T00:00:00"/>
    <m/>
    <x v="0"/>
    <n v="39"/>
    <s v="month"/>
    <s v=""/>
    <s v="Monday"/>
  </r>
  <r>
    <x v="2802"/>
    <d v="2023-08-28T00:00:00"/>
    <m/>
    <x v="0"/>
    <n v="39"/>
    <s v="month"/>
    <s v=""/>
    <s v="Monday"/>
  </r>
  <r>
    <x v="2803"/>
    <d v="2023-08-28T00:00:00"/>
    <m/>
    <x v="0"/>
    <n v="39"/>
    <s v="month"/>
    <s v=""/>
    <s v="Monday"/>
  </r>
  <r>
    <x v="2804"/>
    <d v="2023-08-28T00:00:00"/>
    <m/>
    <x v="0"/>
    <n v="39"/>
    <s v="month"/>
    <s v=""/>
    <s v="Monday"/>
  </r>
  <r>
    <x v="2805"/>
    <d v="2023-08-28T00:00:00"/>
    <d v="2023-08-31T00:00:00"/>
    <x v="0"/>
    <n v="39"/>
    <s v="month"/>
    <n v="3"/>
    <s v="Monday"/>
  </r>
  <r>
    <x v="2806"/>
    <d v="2023-08-29T00:00:00"/>
    <m/>
    <x v="0"/>
    <n v="39"/>
    <s v="month"/>
    <s v=""/>
    <s v="Tuesday"/>
  </r>
  <r>
    <x v="2807"/>
    <d v="2023-08-29T00:00:00"/>
    <m/>
    <x v="0"/>
    <n v="39"/>
    <s v="month"/>
    <s v=""/>
    <s v="Tuesday"/>
  </r>
  <r>
    <x v="2808"/>
    <d v="2023-08-29T00:00:00"/>
    <m/>
    <x v="0"/>
    <n v="39"/>
    <s v="month"/>
    <s v=""/>
    <s v="Tuesday"/>
  </r>
  <r>
    <x v="2785"/>
    <d v="2023-08-29T00:00:00"/>
    <m/>
    <x v="0"/>
    <n v="39"/>
    <s v="month"/>
    <s v=""/>
    <s v="Tuesday"/>
  </r>
  <r>
    <x v="2809"/>
    <d v="2023-08-29T00:00:00"/>
    <m/>
    <x v="0"/>
    <n v="39"/>
    <s v="month"/>
    <s v=""/>
    <s v="Tuesday"/>
  </r>
  <r>
    <x v="2810"/>
    <d v="2023-08-29T00:00:00"/>
    <m/>
    <x v="0"/>
    <n v="39"/>
    <s v="month"/>
    <s v=""/>
    <s v="Tuesday"/>
  </r>
  <r>
    <x v="2811"/>
    <d v="2023-08-29T00:00:00"/>
    <m/>
    <x v="0"/>
    <n v="39"/>
    <s v="month"/>
    <s v=""/>
    <s v="Tuesday"/>
  </r>
  <r>
    <x v="2464"/>
    <d v="2023-08-30T00:00:00"/>
    <m/>
    <x v="0"/>
    <n v="39"/>
    <s v="month"/>
    <s v=""/>
    <s v="Wednesday"/>
  </r>
  <r>
    <x v="2812"/>
    <d v="2023-08-30T00:00:00"/>
    <m/>
    <x v="0"/>
    <n v="39"/>
    <s v="month"/>
    <s v=""/>
    <s v="Wednesday"/>
  </r>
  <r>
    <x v="2813"/>
    <d v="2023-08-30T00:00:00"/>
    <m/>
    <x v="0"/>
    <n v="39"/>
    <s v="month"/>
    <s v=""/>
    <s v="Wednesday"/>
  </r>
  <r>
    <x v="2814"/>
    <d v="2023-08-30T00:00:00"/>
    <m/>
    <x v="0"/>
    <n v="39"/>
    <s v="month"/>
    <s v=""/>
    <s v="Wednesday"/>
  </r>
  <r>
    <x v="1414"/>
    <d v="2023-08-30T00:00:00"/>
    <m/>
    <x v="0"/>
    <n v="39"/>
    <s v="month"/>
    <s v=""/>
    <s v="Wednesday"/>
  </r>
  <r>
    <x v="2815"/>
    <d v="2023-08-30T00:00:00"/>
    <m/>
    <x v="0"/>
    <n v="39"/>
    <s v="month"/>
    <s v=""/>
    <s v="Wednesday"/>
  </r>
  <r>
    <x v="792"/>
    <d v="2023-08-30T00:00:00"/>
    <m/>
    <x v="0"/>
    <n v="39"/>
    <s v="month"/>
    <s v=""/>
    <s v="Wednesday"/>
  </r>
  <r>
    <x v="1914"/>
    <d v="2023-08-30T00:00:00"/>
    <m/>
    <x v="0"/>
    <n v="39"/>
    <s v="month"/>
    <s v=""/>
    <s v="Wednesday"/>
  </r>
  <r>
    <x v="2816"/>
    <d v="2023-08-30T00:00:00"/>
    <m/>
    <x v="0"/>
    <n v="39"/>
    <s v="month"/>
    <s v=""/>
    <s v="Wednesday"/>
  </r>
  <r>
    <x v="2817"/>
    <d v="2023-08-30T00:00:00"/>
    <d v="2023-08-30T00:00:00"/>
    <x v="0"/>
    <n v="39"/>
    <s v="month"/>
    <n v="0"/>
    <s v="Wednesday"/>
  </r>
  <r>
    <x v="1427"/>
    <d v="2023-08-31T00:00:00"/>
    <m/>
    <x v="0"/>
    <n v="39"/>
    <s v="month"/>
    <s v=""/>
    <s v="Thursday"/>
  </r>
  <r>
    <x v="2818"/>
    <d v="2023-08-31T00:00:00"/>
    <m/>
    <x v="0"/>
    <n v="39"/>
    <s v="month"/>
    <s v=""/>
    <s v="Thursday"/>
  </r>
  <r>
    <x v="2819"/>
    <d v="2023-08-31T00:00:00"/>
    <m/>
    <x v="0"/>
    <n v="39"/>
    <s v="month"/>
    <s v=""/>
    <s v="Thursday"/>
  </r>
  <r>
    <x v="2820"/>
    <d v="2023-08-31T00:00:00"/>
    <m/>
    <x v="0"/>
    <n v="39"/>
    <s v="month"/>
    <s v=""/>
    <s v="Thursday"/>
  </r>
  <r>
    <x v="2821"/>
    <d v="2023-08-31T00:00:00"/>
    <m/>
    <x v="0"/>
    <n v="39"/>
    <s v="month"/>
    <s v=""/>
    <s v="Thursday"/>
  </r>
  <r>
    <x v="776"/>
    <d v="2023-08-31T00:00:00"/>
    <m/>
    <x v="0"/>
    <n v="39"/>
    <s v="month"/>
    <s v=""/>
    <s v="Thursday"/>
  </r>
  <r>
    <x v="2822"/>
    <d v="2023-08-31T00:00:00"/>
    <m/>
    <x v="0"/>
    <n v="39"/>
    <s v="month"/>
    <s v=""/>
    <s v="Thursday"/>
  </r>
  <r>
    <x v="2823"/>
    <d v="2023-09-01T00:00:00"/>
    <m/>
    <x v="0"/>
    <n v="39"/>
    <s v="month"/>
    <s v=""/>
    <s v="Friday"/>
  </r>
  <r>
    <x v="2824"/>
    <d v="2023-09-01T00:00:00"/>
    <m/>
    <x v="0"/>
    <n v="39"/>
    <s v="month"/>
    <s v=""/>
    <s v="Friday"/>
  </r>
  <r>
    <x v="2825"/>
    <d v="2023-09-01T00:00:00"/>
    <m/>
    <x v="0"/>
    <n v="39"/>
    <s v="month"/>
    <s v=""/>
    <s v="Friday"/>
  </r>
  <r>
    <x v="2826"/>
    <d v="2023-09-01T00:00:00"/>
    <m/>
    <x v="0"/>
    <n v="39"/>
    <s v="month"/>
    <s v=""/>
    <s v="Friday"/>
  </r>
  <r>
    <x v="2827"/>
    <d v="2023-09-01T00:00:00"/>
    <m/>
    <x v="0"/>
    <n v="39"/>
    <s v="month"/>
    <s v=""/>
    <s v="Friday"/>
  </r>
  <r>
    <x v="2635"/>
    <d v="2023-09-01T00:00:00"/>
    <m/>
    <x v="0"/>
    <n v="39"/>
    <s v="month"/>
    <s v=""/>
    <s v="Friday"/>
  </r>
  <r>
    <x v="2828"/>
    <d v="2023-09-02T00:00:00"/>
    <m/>
    <x v="0"/>
    <n v="39"/>
    <s v="month"/>
    <s v=""/>
    <s v="Saturday"/>
  </r>
  <r>
    <x v="2257"/>
    <d v="2023-09-02T00:00:00"/>
    <m/>
    <x v="0"/>
    <n v="39"/>
    <s v="month"/>
    <s v=""/>
    <s v="Saturday"/>
  </r>
  <r>
    <x v="2829"/>
    <d v="2023-09-02T00:00:00"/>
    <m/>
    <x v="0"/>
    <n v="39"/>
    <s v="month"/>
    <s v=""/>
    <s v="Saturday"/>
  </r>
  <r>
    <x v="2830"/>
    <d v="2023-09-02T00:00:00"/>
    <m/>
    <x v="0"/>
    <n v="39"/>
    <s v="month"/>
    <s v=""/>
    <s v="Saturday"/>
  </r>
  <r>
    <x v="2831"/>
    <d v="2023-09-02T00:00:00"/>
    <m/>
    <x v="0"/>
    <n v="39"/>
    <s v="month"/>
    <s v=""/>
    <s v="Saturday"/>
  </r>
  <r>
    <x v="2832"/>
    <d v="2023-09-03T00:00:00"/>
    <m/>
    <x v="0"/>
    <n v="39"/>
    <s v="month"/>
    <s v=""/>
    <s v="Sunday"/>
  </r>
  <r>
    <x v="2833"/>
    <d v="2023-09-03T00:00:00"/>
    <m/>
    <x v="0"/>
    <n v="39"/>
    <s v="month"/>
    <s v=""/>
    <s v="Sunday"/>
  </r>
  <r>
    <x v="2834"/>
    <d v="2023-09-03T00:00:00"/>
    <m/>
    <x v="0"/>
    <n v="39"/>
    <s v="month"/>
    <s v=""/>
    <s v="Sunday"/>
  </r>
  <r>
    <x v="2835"/>
    <d v="2023-09-03T00:00:00"/>
    <m/>
    <x v="0"/>
    <n v="39"/>
    <s v="month"/>
    <s v=""/>
    <s v="Sunday"/>
  </r>
  <r>
    <x v="2545"/>
    <d v="2023-09-03T00:00:00"/>
    <m/>
    <x v="0"/>
    <n v="39"/>
    <s v="month"/>
    <s v=""/>
    <s v="Sunday"/>
  </r>
  <r>
    <x v="2836"/>
    <d v="2023-09-03T00:00:00"/>
    <m/>
    <x v="0"/>
    <n v="39"/>
    <s v="month"/>
    <s v=""/>
    <s v="Sunday"/>
  </r>
  <r>
    <x v="2837"/>
    <d v="2023-09-03T00:00:00"/>
    <m/>
    <x v="0"/>
    <n v="39"/>
    <s v="month"/>
    <s v=""/>
    <s v="Sunday"/>
  </r>
  <r>
    <x v="2838"/>
    <d v="2023-09-03T00:00:00"/>
    <d v="2023-09-05T00:00:00"/>
    <x v="0"/>
    <n v="39"/>
    <s v="month"/>
    <n v="2"/>
    <s v="Sunday"/>
  </r>
  <r>
    <x v="2839"/>
    <d v="2023-09-03T00:00:00"/>
    <d v="2023-09-03T00:00:00"/>
    <x v="0"/>
    <n v="39"/>
    <s v="month"/>
    <n v="0"/>
    <s v="Sunday"/>
  </r>
  <r>
    <x v="2840"/>
    <d v="2023-09-04T00:00:00"/>
    <m/>
    <x v="0"/>
    <n v="39"/>
    <s v="month"/>
    <s v=""/>
    <s v="Monday"/>
  </r>
  <r>
    <x v="2481"/>
    <d v="2023-09-04T00:00:00"/>
    <m/>
    <x v="0"/>
    <n v="39"/>
    <s v="month"/>
    <s v=""/>
    <s v="Monday"/>
  </r>
  <r>
    <x v="2841"/>
    <d v="2023-09-04T00:00:00"/>
    <m/>
    <x v="0"/>
    <n v="39"/>
    <s v="month"/>
    <s v=""/>
    <s v="Monday"/>
  </r>
  <r>
    <x v="184"/>
    <d v="2023-09-04T00:00:00"/>
    <m/>
    <x v="0"/>
    <n v="39"/>
    <s v="month"/>
    <s v=""/>
    <s v="Monday"/>
  </r>
  <r>
    <x v="2842"/>
    <d v="2023-09-04T00:00:00"/>
    <m/>
    <x v="0"/>
    <n v="39"/>
    <s v="month"/>
    <s v=""/>
    <s v="Monday"/>
  </r>
  <r>
    <x v="2843"/>
    <d v="2023-09-04T00:00:00"/>
    <m/>
    <x v="0"/>
    <n v="39"/>
    <s v="month"/>
    <s v=""/>
    <s v="Monday"/>
  </r>
  <r>
    <x v="2844"/>
    <d v="2023-09-04T00:00:00"/>
    <m/>
    <x v="0"/>
    <n v="39"/>
    <s v="month"/>
    <s v=""/>
    <s v="Monday"/>
  </r>
  <r>
    <x v="2845"/>
    <d v="2023-09-04T00:00:00"/>
    <m/>
    <x v="0"/>
    <n v="39"/>
    <s v="month"/>
    <s v=""/>
    <s v="Monday"/>
  </r>
  <r>
    <x v="2846"/>
    <d v="2023-09-04T00:00:00"/>
    <m/>
    <x v="0"/>
    <n v="39"/>
    <s v="month"/>
    <s v=""/>
    <s v="Monday"/>
  </r>
  <r>
    <x v="2847"/>
    <d v="2023-09-04T00:00:00"/>
    <m/>
    <x v="0"/>
    <n v="39"/>
    <s v="month"/>
    <s v=""/>
    <s v="Monday"/>
  </r>
  <r>
    <x v="2848"/>
    <d v="2023-09-04T00:00:00"/>
    <m/>
    <x v="0"/>
    <n v="39"/>
    <s v="month"/>
    <s v=""/>
    <s v="Monday"/>
  </r>
  <r>
    <x v="2849"/>
    <d v="2023-09-04T00:00:00"/>
    <m/>
    <x v="0"/>
    <n v="39"/>
    <s v="month"/>
    <s v=""/>
    <s v="Monday"/>
  </r>
  <r>
    <x v="2850"/>
    <d v="2023-09-04T00:00:00"/>
    <m/>
    <x v="0"/>
    <n v="39"/>
    <s v="month"/>
    <s v=""/>
    <s v="Monday"/>
  </r>
  <r>
    <x v="2851"/>
    <d v="2023-09-04T00:00:00"/>
    <m/>
    <x v="0"/>
    <n v="39"/>
    <s v="month"/>
    <s v=""/>
    <s v="Monday"/>
  </r>
  <r>
    <x v="2064"/>
    <d v="2023-09-04T00:00:00"/>
    <m/>
    <x v="0"/>
    <n v="39"/>
    <s v="month"/>
    <s v=""/>
    <s v="Monday"/>
  </r>
  <r>
    <x v="2852"/>
    <d v="2023-09-05T00:00:00"/>
    <m/>
    <x v="0"/>
    <n v="39"/>
    <s v="month"/>
    <s v=""/>
    <s v="Tuesday"/>
  </r>
  <r>
    <x v="466"/>
    <d v="2023-09-05T00:00:00"/>
    <m/>
    <x v="0"/>
    <n v="39"/>
    <s v="month"/>
    <s v=""/>
    <s v="Tuesday"/>
  </r>
  <r>
    <x v="2853"/>
    <d v="2023-09-05T00:00:00"/>
    <m/>
    <x v="0"/>
    <n v="39"/>
    <s v="month"/>
    <s v=""/>
    <s v="Tuesday"/>
  </r>
  <r>
    <x v="2854"/>
    <d v="2023-09-05T00:00:00"/>
    <m/>
    <x v="0"/>
    <n v="39"/>
    <s v="month"/>
    <s v=""/>
    <s v="Tuesday"/>
  </r>
  <r>
    <x v="2855"/>
    <d v="2023-09-05T00:00:00"/>
    <m/>
    <x v="0"/>
    <n v="39"/>
    <s v="month"/>
    <s v=""/>
    <s v="Tuesday"/>
  </r>
  <r>
    <x v="2856"/>
    <d v="2023-09-05T00:00:00"/>
    <m/>
    <x v="0"/>
    <n v="39"/>
    <s v="month"/>
    <s v=""/>
    <s v="Tuesday"/>
  </r>
  <r>
    <x v="2857"/>
    <d v="2023-09-05T00:00:00"/>
    <m/>
    <x v="0"/>
    <n v="39"/>
    <s v="month"/>
    <s v=""/>
    <s v="Tuesday"/>
  </r>
  <r>
    <x v="2858"/>
    <d v="2023-09-05T00:00:00"/>
    <m/>
    <x v="0"/>
    <n v="39"/>
    <s v="month"/>
    <s v=""/>
    <s v="Tuesday"/>
  </r>
  <r>
    <x v="2859"/>
    <d v="2023-09-05T00:00:00"/>
    <m/>
    <x v="0"/>
    <n v="39"/>
    <s v="month"/>
    <s v=""/>
    <s v="Tuesday"/>
  </r>
  <r>
    <x v="1467"/>
    <d v="2023-09-05T00:00:00"/>
    <m/>
    <x v="0"/>
    <n v="39"/>
    <s v="month"/>
    <s v=""/>
    <s v="Tuesday"/>
  </r>
  <r>
    <x v="2860"/>
    <d v="2023-09-05T00:00:00"/>
    <m/>
    <x v="0"/>
    <n v="39"/>
    <s v="month"/>
    <s v=""/>
    <s v="Tuesday"/>
  </r>
  <r>
    <x v="2861"/>
    <d v="2023-09-05T00:00:00"/>
    <m/>
    <x v="0"/>
    <n v="39"/>
    <s v="month"/>
    <s v=""/>
    <s v="Tuesday"/>
  </r>
  <r>
    <x v="2483"/>
    <d v="2023-09-05T00:00:00"/>
    <m/>
    <x v="0"/>
    <n v="39"/>
    <s v="month"/>
    <s v=""/>
    <s v="Tuesday"/>
  </r>
  <r>
    <x v="2862"/>
    <d v="2023-09-06T00:00:00"/>
    <m/>
    <x v="0"/>
    <n v="39"/>
    <s v="month"/>
    <s v=""/>
    <s v="Wednesday"/>
  </r>
  <r>
    <x v="2863"/>
    <d v="2023-09-06T00:00:00"/>
    <m/>
    <x v="0"/>
    <n v="39"/>
    <s v="month"/>
    <s v=""/>
    <s v="Wednesday"/>
  </r>
  <r>
    <x v="996"/>
    <d v="2023-09-06T00:00:00"/>
    <m/>
    <x v="0"/>
    <n v="39"/>
    <s v="month"/>
    <s v=""/>
    <s v="Wednesday"/>
  </r>
  <r>
    <x v="1518"/>
    <d v="2023-09-06T00:00:00"/>
    <m/>
    <x v="0"/>
    <n v="39"/>
    <s v="month"/>
    <s v=""/>
    <s v="Wednesday"/>
  </r>
  <r>
    <x v="2864"/>
    <d v="2023-09-06T00:00:00"/>
    <m/>
    <x v="0"/>
    <n v="39"/>
    <s v="month"/>
    <s v=""/>
    <s v="Wednesday"/>
  </r>
  <r>
    <x v="2865"/>
    <d v="2023-09-06T00:00:00"/>
    <m/>
    <x v="0"/>
    <n v="39"/>
    <s v="month"/>
    <s v=""/>
    <s v="Wednesday"/>
  </r>
  <r>
    <x v="2866"/>
    <d v="2023-09-06T00:00:00"/>
    <m/>
    <x v="0"/>
    <n v="39"/>
    <s v="month"/>
    <s v=""/>
    <s v="Wednesday"/>
  </r>
  <r>
    <x v="2867"/>
    <d v="2023-09-06T00:00:00"/>
    <m/>
    <x v="0"/>
    <n v="39"/>
    <s v="month"/>
    <s v=""/>
    <s v="Wednesday"/>
  </r>
  <r>
    <x v="2868"/>
    <d v="2023-09-07T00:00:00"/>
    <m/>
    <x v="0"/>
    <n v="39"/>
    <s v="month"/>
    <s v=""/>
    <s v="Thursday"/>
  </r>
  <r>
    <x v="2869"/>
    <d v="2023-09-07T00:00:00"/>
    <m/>
    <x v="0"/>
    <n v="39"/>
    <s v="month"/>
    <s v=""/>
    <s v="Thursday"/>
  </r>
  <r>
    <x v="2870"/>
    <d v="2023-09-07T00:00:00"/>
    <m/>
    <x v="0"/>
    <n v="39"/>
    <s v="month"/>
    <s v=""/>
    <s v="Thursday"/>
  </r>
  <r>
    <x v="2871"/>
    <d v="2023-09-07T00:00:00"/>
    <m/>
    <x v="0"/>
    <n v="39"/>
    <s v="month"/>
    <s v=""/>
    <s v="Thursday"/>
  </r>
  <r>
    <x v="2872"/>
    <d v="2023-09-07T00:00:00"/>
    <m/>
    <x v="0"/>
    <n v="39"/>
    <s v="month"/>
    <s v=""/>
    <s v="Thursday"/>
  </r>
  <r>
    <x v="2873"/>
    <d v="2023-09-07T00:00:00"/>
    <m/>
    <x v="0"/>
    <n v="39"/>
    <s v="month"/>
    <s v=""/>
    <s v="Thursday"/>
  </r>
  <r>
    <x v="2874"/>
    <d v="2023-09-07T00:00:00"/>
    <m/>
    <x v="0"/>
    <n v="39"/>
    <s v="month"/>
    <s v=""/>
    <s v="Thursday"/>
  </r>
  <r>
    <x v="2875"/>
    <d v="2023-09-08T00:00:00"/>
    <m/>
    <x v="0"/>
    <n v="39"/>
    <s v="month"/>
    <s v=""/>
    <s v="Friday"/>
  </r>
  <r>
    <x v="2876"/>
    <d v="2023-09-08T00:00:00"/>
    <m/>
    <x v="0"/>
    <n v="39"/>
    <s v="month"/>
    <s v=""/>
    <s v="Friday"/>
  </r>
  <r>
    <x v="2663"/>
    <d v="2023-09-08T00:00:00"/>
    <m/>
    <x v="0"/>
    <n v="39"/>
    <s v="month"/>
    <s v=""/>
    <s v="Fri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1ECD5E-C2BF-401F-969D-88A8D2E15347}" name="PivotTable1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B81:C8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was_subscription_paid" fld="1" subtotal="count" showDataAs="percentOfTotal" baseField="0" baseItem="0" numFmtId="1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3-Sol - subscription data (version 1).xlsb.xlsx!Table1[was_subscription_paid]">
        <x15:activeTabTopLevelEntity name="[Table1 was_subscription_pa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BB2BFF-BFE8-4CEE-A017-A2D4B6547D1F}" name="PivotTable9"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E8:E10" firstHeaderRow="1" firstDataRow="3" firstDataCol="0"/>
  <pivotFields count="2">
    <pivotField axis="axisCol" allDrilled="1" subtotalTop="0" showAll="0" dataSourceSort="1" defaultSubtotal="0" defaultAttributeDrillState="1">
      <items count="3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s>
    </pivotField>
    <pivotField axis="axisCol" allDrilled="1" subtotalTop="0" showAll="0" dataSourceSort="1" defaultSubtotal="0">
      <items count="1">
        <item s="1" x="0" e="0"/>
      </items>
    </pivotField>
  </pivotFields>
  <colFields count="2">
    <field x="1"/>
    <field x="0"/>
  </colFields>
  <colItems count="1">
    <i>
      <x/>
    </i>
  </colItem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_id"/>
    <pivotHierarchy dragToData="1"/>
  </pivotHierarchies>
  <pivotTableStyleInfo name="PivotStyleLight16" showRowHeaders="1" showColHeaders="1" showRowStripes="0" showColStripes="0" showLastColumn="1"/>
  <colHierarchiesUsage count="2">
    <colHierarchyUsage hierarchyUsage="9"/>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3 - subscription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78FE6A-B7A2-4F3D-8825-415300967B36}" name="Total Subscription"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63:C66" firstHeaderRow="1" firstDataRow="1" firstDataCol="1"/>
  <pivotFields count="5">
    <pivotField axis="axisRow" allDrilled="1" subtotalTop="0" showAll="0" dataSourceSort="1" defaultSubtotal="0" defaultAttributeDrillState="1">
      <items count="3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 dataField="1" subtotalTop="0" showAll="0" defaultSubtotal="0"/>
  </pivotFields>
  <rowFields count="4">
    <field x="3"/>
    <field x="2"/>
    <field x="1"/>
    <field x="0"/>
  </rowFields>
  <rowItems count="3">
    <i>
      <x/>
    </i>
    <i>
      <x v="1"/>
    </i>
    <i t="grand">
      <x/>
    </i>
  </rowItems>
  <colItems count="1">
    <i/>
  </colItems>
  <dataFields count="1">
    <dataField name="Count of customer_id" fld="4" subtotal="count" baseField="3"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_id"/>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3 - subscription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D5AE63-0314-4288-9F4F-C06BA31F1C39}"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3:B74" firstHeaderRow="1" firstDataRow="1" firstDataCol="0"/>
  <pivotFields count="8">
    <pivotField showAll="0"/>
    <pivotField numFmtId="14" showAll="0"/>
    <pivotField dataField="1" showAll="0"/>
    <pivotField showAll="0"/>
    <pivotField showAll="0"/>
    <pivotField showAll="0"/>
    <pivotField showAll="0"/>
    <pivotField showAll="0"/>
  </pivotFields>
  <rowItems count="1">
    <i/>
  </rowItems>
  <colItems count="1">
    <i/>
  </colItems>
  <dataFields count="1">
    <dataField name="Count of canceled_dat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FBACBF-0107-400C-8C1D-08C0C115870E}"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28:C3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was_subscription_paid" fld="1" subtotal="count" showDataAs="percentOfTotal" baseField="0" baseItem="0" numFmtId="1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3-Sol - subscription data (version 1).xlsb.xlsx!Table1[was_subscription_paid]">
        <x15:activeTabTopLevelEntity name="[Table1 was_subscription_pa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5970C1-7636-477D-AC14-1D0EF22CFBCC}"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B53:C57" firstHeaderRow="1" firstDataRow="1" firstDataCol="1"/>
  <pivotFields count="5">
    <pivotField axis="axisRow" allDrilled="1" subtotalTop="0" showAll="0" dataSourceSort="1" defaultSubtotal="0" defaultAttributeDrillState="1">
      <items count="3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s>
    </pivotField>
    <pivotField axis="axisRow" allDrilled="1" subtotalTop="0" showAll="0" dataSourceSort="1" defaultSubtotal="0">
      <items count="1">
        <item x="0" e="0"/>
      </items>
    </pivotField>
    <pivotField axis="axisRow" allDrilled="1" subtotalTop="0" showAll="0" dataSourceSort="1" defaultSubtotal="0">
      <items count="2">
        <item x="0"/>
        <item x="1" e="0"/>
      </items>
    </pivotField>
    <pivotField axis="axisRow" allDrilled="1" subtotalTop="0" showAll="0" dataSourceSort="1" defaultSubtotal="0">
      <items count="3">
        <item x="0" e="0"/>
        <item x="1" e="0"/>
        <item x="2" e="0"/>
      </items>
    </pivotField>
    <pivotField dataField="1" subtotalTop="0" showAll="0" defaultSubtotal="0"/>
  </pivotFields>
  <rowFields count="4">
    <field x="3"/>
    <field x="2"/>
    <field x="1"/>
    <field x="0"/>
  </rowFields>
  <rowItems count="4">
    <i>
      <x/>
    </i>
    <i>
      <x v="1"/>
    </i>
    <i>
      <x v="2"/>
    </i>
    <i t="grand">
      <x/>
    </i>
  </rowItems>
  <colItems count="1">
    <i/>
  </colItems>
  <dataFields count="1">
    <dataField name="Count of customer_id" fld="4" subtotal="count" baseField="3" baseItem="0"/>
  </dataFields>
  <chartFormats count="2">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3"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_id"/>
    <pivotHierarchy dragToData="1"/>
  </pivotHierarchies>
  <pivotTableStyleInfo name="PivotStyleLight16" showRowHeaders="1" showColHeaders="1" showRowStripes="0" showColStripes="0" showLastColumn="1"/>
  <rowHierarchiesUsage count="4">
    <rowHierarchyUsage hierarchyUsage="12"/>
    <rowHierarchyUsage hierarchyUsage="13"/>
    <rowHierarchyUsage hierarchyUsage="14"/>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3 - subscription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803883-EAAD-416F-8A4D-4DCCD4C2BDF5}"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15:C20" firstHeaderRow="1" firstDataRow="1" firstDataCol="1"/>
  <pivotFields count="4">
    <pivotField axis="axisRow" allDrilled="1" subtotalTop="0" showAll="0" dataSourceSort="1" defaultSubtotal="0" defaultAttributeDrillState="1">
      <items count="2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s>
    </pivotField>
    <pivotField allDrilled="1" subtotalTop="0" showAll="0" dataSourceSort="1" defaultSubtotal="0" defaultAttributeDrillState="1"/>
    <pivotField dataField="1" subtotalTop="0" showAll="0" defaultSubtotal="0"/>
    <pivotField axis="axisRow" allDrilled="1" subtotalTop="0" showAll="0" dataSourceSort="1" defaultSubtotal="0">
      <items count="4">
        <item x="0" e="0"/>
        <item x="1" e="0"/>
        <item x="2" e="0"/>
        <item x="3" e="0"/>
      </items>
    </pivotField>
  </pivotFields>
  <rowFields count="2">
    <field x="3"/>
    <field x="0"/>
  </rowFields>
  <rowItems count="5">
    <i>
      <x/>
    </i>
    <i>
      <x v="1"/>
    </i>
    <i>
      <x v="2"/>
    </i>
    <i>
      <x v="3"/>
    </i>
    <i t="grand">
      <x/>
    </i>
  </rowItems>
  <colItems count="1">
    <i/>
  </colItems>
  <dataFields count="1">
    <dataField name="Count of customer_id" fld="2" subtotal="count" baseField="1"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reated_date (Year)].&amp;[2022]"/>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_id"/>
    <pivotHierarchy dragToData="1"/>
  </pivotHierarchies>
  <pivotTableStyleInfo name="PivotStyleLight16" showRowHeaders="1" showColHeaders="1" showRowStripes="0" showColStripes="0" showLastColumn="1"/>
  <rowHierarchiesUsage count="2">
    <rowHierarchyUsage hierarchyUsage="1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3 - subscription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B746BE-3962-494B-B84D-69A443A60844}"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B37:C45" firstHeaderRow="1" firstDataRow="1" firstDataCol="1"/>
  <pivotFields count="2">
    <pivotField axis="axisRow" allDrilled="1" subtotalTop="0" showAll="0" sortType="descending" defaultSubtotal="0" defaultAttributeDrillState="1">
      <items count="7">
        <item x="3"/>
        <item x="2"/>
        <item x="0"/>
        <item x="4"/>
        <item x="6"/>
        <item x="5"/>
        <item x="1"/>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custom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_id"/>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3 - subscription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E96DFB-B60D-4BB9-86E2-7B08C4FAE222}"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2:C24" firstHeaderRow="1" firstDataRow="1" firstDataCol="1"/>
  <pivotFields count="2">
    <pivotField axis="axisRow" allDrilled="1" subtotalTop="0" showAll="0" measureFilter="1" sortType="descending"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of created_date" fld="1"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3 - subscription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95DC32-E5E6-422C-A0C9-BBDD7C9B30B7}" name="PivotTable2"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6:D28" firstHeaderRow="1" firstDataRow="1" firstDataCol="1"/>
  <pivotFields count="2">
    <pivotField axis="axisRow" allDrilled="1" subtotalTop="0" showAll="0" measureFilter="1" sortType="ascending"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of customer_id" fld="1"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 filterVal="1"/>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3 - subscription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2EF01E-2C78-42F5-A2E7-E461FAE3C39C}" name="PivotTable20"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6:E8" firstHeaderRow="1" firstDataRow="1" firstDataCol="1"/>
  <pivotFields count="5">
    <pivotField allDrilled="1" subtotalTop="0" showAll="0" measureFilter="1" sortType="descending" defaultSubtotal="0" defaultAttributeDrillState="1">
      <items count="1">
        <item x="0"/>
      </items>
    </pivotField>
    <pivotField dataField="1" subtotalTop="0" showAll="0" defaultSubtotal="0"/>
    <pivotField axis="axisRow" allDrilled="1" subtotalTop="0" showAll="0" measureFilter="1" dataSourceSort="1" defaultSubtotal="0" defaultAttributeDrillState="1">
      <items count="1">
        <item x="0"/>
      </items>
    </pivotField>
    <pivotField allDrilled="1" subtotalTop="0" showAll="0" measureFilter="1" dataSourceSort="1" defaultSubtotal="0" defaultAttributeDrillState="1">
      <items count="1">
        <item x="0"/>
      </items>
    </pivotField>
    <pivotField allDrilled="1" subtotalTop="0" showAll="0" measureFilter="1" sortType="descending" defaultSubtotal="0" defaultAttributeDrillState="1">
      <items count="1">
        <item x="0"/>
      </items>
    </pivotField>
  </pivotFields>
  <rowFields count="1">
    <field x="2"/>
  </rowFields>
  <rowItems count="2">
    <i>
      <x/>
    </i>
    <i t="grand">
      <x/>
    </i>
  </rowItems>
  <colItems count="1">
    <i/>
  </colItems>
  <dataFields count="1">
    <dataField name="Count of canceled_date" fld="1" subtotal="count" baseField="4"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21">
      <autoFilter ref="A1">
        <filterColumn colId="0">
          <top10 val="1" filterVal="1"/>
        </filterColumn>
      </autoFilter>
    </filter>
    <filter fld="4" type="count" evalOrder="1" id="4" iMeasureHier="27">
      <autoFilter ref="A1">
        <filterColumn colId="0">
          <top10 val="1" filterVal="1"/>
        </filterColumn>
      </autoFilter>
    </filter>
    <filter fld="3" type="count" id="3" iMeasureHier="27">
      <autoFilter ref="A1">
        <filterColumn colId="0">
          <top10 val="1" filterVal="1"/>
        </filterColumn>
      </autoFilter>
    </filter>
    <filter fld="2" type="count" id="5" iMeasureHier="27">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3 - subscription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ed_date__Year1" xr10:uid="{CB31798E-4418-4ED9-81BD-5F8AC19ACD53}" sourceName="[Table1].[created_date (Year)]">
  <pivotTables>
    <pivotTable tabId="13" name="PivotTable7"/>
    <pivotTable tabId="13" name="PivotTable9"/>
  </pivotTables>
  <data>
    <olap pivotCacheId="1089192690">
      <levels count="2">
        <level uniqueName="[Table1].[created_date (Year)].[(All)]" sourceCaption="(All)" count="0"/>
        <level uniqueName="[Table1].[created_date (Year)].[created_date (Year)]" sourceCaption="created_date (Year)" count="2">
          <ranges>
            <range startItem="0">
              <i n="[Table1].[created_date (Year)].&amp;[2022]" c="2022"/>
              <i n="[Table1].[created_date (Year)].&amp;[2023]" c="2023"/>
            </range>
          </ranges>
        </level>
      </levels>
      <selections count="1">
        <selection n="[Table1].[created_date (Year)].&amp;[202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ated_date (Year) 1" xr10:uid="{55E708EA-CF1B-4CD6-B03A-879EBFD5ECB8}" cache="Slicer_created_date__Year1" caption="created_date (Year)" columnCount="2" level="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04DFA7-4DA4-4AE1-8EF8-74C84C82D381}" name="Table1" displayName="Table1" ref="A1:H3070" totalsRowShown="0" headerRowDxfId="19" headerRowBorderDxfId="18" tableBorderDxfId="17" totalsRowBorderDxfId="16">
  <autoFilter ref="A1:H3070" xr:uid="{EB04DFA7-4DA4-4AE1-8EF8-74C84C82D381}"/>
  <tableColumns count="8">
    <tableColumn id="1" xr3:uid="{70D17E62-8DF0-4565-8D1F-124EB1CB37D3}" name="customer_id" dataDxfId="15"/>
    <tableColumn id="2" xr3:uid="{BB16F52B-F8E8-469D-90AB-483556E3B9AA}" name="created_date" dataDxfId="14"/>
    <tableColumn id="3" xr3:uid="{19BF0F43-F89E-42B7-8E03-8C613727CC0A}" name="canceled_date" dataDxfId="13"/>
    <tableColumn id="4" xr3:uid="{2DB7E6A2-D1CC-46B3-89CC-07239A58F132}" name="was_subscription_paid" dataDxfId="12"/>
    <tableColumn id="5" xr3:uid="{D1104F66-E9F8-4FFF-975A-85E81587A92F}" name="subscription_cost" dataDxfId="11"/>
    <tableColumn id="6" xr3:uid="{FB5744AA-3967-4113-93A6-C4434B79431C}" name="subscription_interval" dataDxfId="10"/>
    <tableColumn id="7" xr3:uid="{800788CF-2942-416B-8C59-5198AB97E6BF}" name="Cancellation Duration" dataDxfId="9">
      <calculatedColumnFormula>IF(C2="", "", DATEDIF(B2, C2, "D"))</calculatedColumnFormula>
    </tableColumn>
    <tableColumn id="8" xr3:uid="{9C5BCA6A-849D-42EA-A181-85648E32FA5B}" name="Subscription Weekday" dataDxfId="8">
      <calculatedColumnFormula>TEXT(B2, "dddd")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411E5A-2490-4AF1-8140-4BE37ABB6125}" name="Table2" displayName="Table2" ref="J1:M2" totalsRowShown="0" headerRowDxfId="7" headerRowBorderDxfId="6" tableBorderDxfId="5" totalsRowBorderDxfId="4">
  <tableColumns count="4">
    <tableColumn id="1" xr3:uid="{7B7C3610-77D0-41A3-9366-B931E542F477}" name="Subcrition Cancel _x000a_in 1 Day" dataDxfId="3">
      <calculatedColumnFormula>COUNTIF(Table1[Cancellation Duration],1)</calculatedColumnFormula>
    </tableColumn>
    <tableColumn id="2" xr3:uid="{E4864EE0-E90D-46C5-8F0C-9F962D78B0A1}" name="Tatol no of cancelation_x000a_ of subcription" dataDxfId="2">
      <calculatedColumnFormula>COUNT(Table1[Cancellation Duration])</calculatedColumnFormula>
    </tableColumn>
    <tableColumn id="3" xr3:uid="{FDA574FA-BC5B-4672-B573-988943B6FE98}" name="Tatol no of cancelation_x000a_ of subcription without blank value" dataDxfId="1">
      <calculatedColumnFormula>COUNT(Table1[Cancellation Duration]) -COUNTBLANK(Table1[Cancellation Duration])</calculatedColumnFormula>
    </tableColumn>
    <tableColumn id="4" xr3:uid="{0D6CFC6F-A8AD-4CDC-9A84-30A434D4CFAD}" name="Proprtion of 1 daycancel subcription" dataDxfId="0">
      <calculatedColumnFormula>J2/K2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 dockstate="right" visibility="0" width="525" row="9">
    <wetp:webextensionref xmlns:r="http://schemas.openxmlformats.org/officeDocument/2006/relationships" r:id="rId2"/>
  </wetp:taskpane>
  <wetp:taskpane dockstate="right" visibility="0" width="525"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C749538A-ADA3-4F7D-8287-A874DACFFC3C}">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A9BF1C13-250F-4527-9E99-F1579F7EA6D8}">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3BD61F2F-C408-4355-AAC9-0AB4452D122A}">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7EAF1-AC15-42B1-9FFC-A7348C62DC76}">
  <dimension ref="A1:M3070"/>
  <sheetViews>
    <sheetView topLeftCell="A1047610" zoomScale="72" zoomScaleNormal="130" workbookViewId="0">
      <selection activeCell="K20" sqref="K20"/>
    </sheetView>
  </sheetViews>
  <sheetFormatPr defaultColWidth="12.453125" defaultRowHeight="14.5"/>
  <cols>
    <col min="1" max="1" width="13.54296875" bestFit="1" customWidth="1"/>
    <col min="2" max="2" width="14.26953125" bestFit="1" customWidth="1"/>
    <col min="3" max="3" width="15.26953125" bestFit="1" customWidth="1"/>
    <col min="4" max="4" width="22.453125" bestFit="1" customWidth="1"/>
    <col min="5" max="5" width="17.90625" bestFit="1" customWidth="1"/>
    <col min="6" max="6" width="20.90625" bestFit="1" customWidth="1"/>
    <col min="7" max="7" width="21.36328125" style="46" bestFit="1" customWidth="1"/>
    <col min="8" max="8" width="21.453125" customWidth="1"/>
    <col min="10" max="10" width="22.453125" bestFit="1" customWidth="1"/>
    <col min="11" max="11" width="32.1796875" bestFit="1" customWidth="1"/>
    <col min="12" max="12" width="32.1796875" customWidth="1"/>
    <col min="13" max="13" width="34.6328125" customWidth="1"/>
  </cols>
  <sheetData>
    <row r="1" spans="1:13" ht="29">
      <c r="A1" s="11" t="s">
        <v>0</v>
      </c>
      <c r="B1" s="12" t="s">
        <v>1</v>
      </c>
      <c r="C1" s="12" t="s">
        <v>2</v>
      </c>
      <c r="D1" s="12" t="s">
        <v>5</v>
      </c>
      <c r="E1" s="12" t="s">
        <v>3</v>
      </c>
      <c r="F1" s="12" t="s">
        <v>4</v>
      </c>
      <c r="G1" s="47" t="s">
        <v>18</v>
      </c>
      <c r="H1" s="43" t="s">
        <v>19</v>
      </c>
      <c r="J1" s="39" t="s">
        <v>41</v>
      </c>
      <c r="K1" s="40" t="s">
        <v>40</v>
      </c>
      <c r="L1" s="40" t="s">
        <v>88</v>
      </c>
      <c r="M1" s="41" t="s">
        <v>42</v>
      </c>
    </row>
    <row r="2" spans="1:13">
      <c r="A2" s="9">
        <v>154536156</v>
      </c>
      <c r="B2" s="6">
        <v>44805</v>
      </c>
      <c r="C2" s="1"/>
      <c r="D2" s="1" t="s">
        <v>7</v>
      </c>
      <c r="E2" s="1">
        <v>39</v>
      </c>
      <c r="F2" s="1" t="s">
        <v>6</v>
      </c>
      <c r="G2" s="44" t="str">
        <f>IF(C2="", "", DATEDIF(B2, C2, "D"))</f>
        <v/>
      </c>
      <c r="H2" s="10" t="str">
        <f>TEXT(B2, "dddd")</f>
        <v>Thursday</v>
      </c>
      <c r="J2" s="13">
        <f>COUNTIF(Table1[Cancellation Duration],1)</f>
        <v>174</v>
      </c>
      <c r="K2" s="15">
        <f>COUNT(Table1[Cancellation Duration])</f>
        <v>2004</v>
      </c>
      <c r="L2" s="15">
        <f>COUNT(Table1[Cancellation Duration]) -COUNTBLANK(Table1[Cancellation Duration])</f>
        <v>939</v>
      </c>
      <c r="M2" s="42">
        <f>J2/K2</f>
        <v>8.6826347305389226E-2</v>
      </c>
    </row>
    <row r="3" spans="1:13">
      <c r="A3" s="9">
        <v>149713408</v>
      </c>
      <c r="B3" s="6">
        <v>44805</v>
      </c>
      <c r="C3" s="6">
        <v>44806</v>
      </c>
      <c r="D3" s="1" t="s">
        <v>8</v>
      </c>
      <c r="E3" s="1">
        <v>39</v>
      </c>
      <c r="F3" s="1" t="s">
        <v>6</v>
      </c>
      <c r="G3" s="44">
        <f t="shared" ref="G3:G66" si="0">IF(C3="", "", DATEDIF(B3, C3, "D"))</f>
        <v>1</v>
      </c>
      <c r="H3" s="10" t="str">
        <f t="shared" ref="H3:H66" si="1">TEXT(B3, "dddd")</f>
        <v>Thursday</v>
      </c>
    </row>
    <row r="4" spans="1:13">
      <c r="A4" s="9">
        <v>153756284</v>
      </c>
      <c r="B4" s="6">
        <v>44805</v>
      </c>
      <c r="C4" s="6">
        <v>44806</v>
      </c>
      <c r="D4" s="1" t="s">
        <v>8</v>
      </c>
      <c r="E4" s="1">
        <v>39</v>
      </c>
      <c r="F4" s="1" t="s">
        <v>6</v>
      </c>
      <c r="G4" s="44">
        <f t="shared" si="0"/>
        <v>1</v>
      </c>
      <c r="H4" s="10" t="str">
        <f t="shared" si="1"/>
        <v>Thursday</v>
      </c>
      <c r="L4" s="25"/>
    </row>
    <row r="5" spans="1:13">
      <c r="A5" s="9">
        <v>121253113</v>
      </c>
      <c r="B5" s="6">
        <v>44805</v>
      </c>
      <c r="C5" s="6">
        <v>44827</v>
      </c>
      <c r="D5" s="1" t="s">
        <v>7</v>
      </c>
      <c r="E5" s="1">
        <v>39</v>
      </c>
      <c r="F5" s="1" t="s">
        <v>6</v>
      </c>
      <c r="G5" s="44">
        <f t="shared" si="0"/>
        <v>22</v>
      </c>
      <c r="H5" s="10" t="str">
        <f t="shared" si="1"/>
        <v>Thursday</v>
      </c>
    </row>
    <row r="6" spans="1:13">
      <c r="A6" s="9">
        <v>154467210</v>
      </c>
      <c r="B6" s="6">
        <v>44805</v>
      </c>
      <c r="C6" s="6">
        <v>45106</v>
      </c>
      <c r="D6" s="1" t="s">
        <v>7</v>
      </c>
      <c r="E6" s="1">
        <v>39</v>
      </c>
      <c r="F6" s="1" t="s">
        <v>6</v>
      </c>
      <c r="G6" s="44">
        <f t="shared" si="0"/>
        <v>301</v>
      </c>
      <c r="H6" s="10" t="str">
        <f t="shared" si="1"/>
        <v>Thursday</v>
      </c>
    </row>
    <row r="7" spans="1:13">
      <c r="A7" s="9">
        <v>154510811</v>
      </c>
      <c r="B7" s="6">
        <v>44805</v>
      </c>
      <c r="C7" s="6">
        <v>45054</v>
      </c>
      <c r="D7" s="1" t="s">
        <v>7</v>
      </c>
      <c r="E7" s="1">
        <v>39</v>
      </c>
      <c r="F7" s="1" t="s">
        <v>6</v>
      </c>
      <c r="G7" s="44">
        <f t="shared" si="0"/>
        <v>249</v>
      </c>
      <c r="H7" s="10" t="str">
        <f t="shared" si="1"/>
        <v>Thursday</v>
      </c>
    </row>
    <row r="8" spans="1:13">
      <c r="A8" s="9">
        <v>154494346</v>
      </c>
      <c r="B8" s="6">
        <v>44805</v>
      </c>
      <c r="C8" s="6">
        <v>44891</v>
      </c>
      <c r="D8" s="1" t="s">
        <v>7</v>
      </c>
      <c r="E8" s="1">
        <v>39</v>
      </c>
      <c r="F8" s="1" t="s">
        <v>6</v>
      </c>
      <c r="G8" s="44">
        <f t="shared" si="0"/>
        <v>86</v>
      </c>
      <c r="H8" s="10" t="str">
        <f t="shared" si="1"/>
        <v>Thursday</v>
      </c>
    </row>
    <row r="9" spans="1:13">
      <c r="A9" s="9">
        <v>148671505</v>
      </c>
      <c r="B9" s="6">
        <v>44805</v>
      </c>
      <c r="C9" s="6">
        <v>44888</v>
      </c>
      <c r="D9" s="1" t="s">
        <v>7</v>
      </c>
      <c r="E9" s="1">
        <v>39</v>
      </c>
      <c r="F9" s="1" t="s">
        <v>6</v>
      </c>
      <c r="G9" s="44">
        <f t="shared" si="0"/>
        <v>83</v>
      </c>
      <c r="H9" s="10" t="str">
        <f t="shared" si="1"/>
        <v>Thursday</v>
      </c>
    </row>
    <row r="10" spans="1:13">
      <c r="A10" s="9">
        <v>154568379</v>
      </c>
      <c r="B10" s="6">
        <v>44805</v>
      </c>
      <c r="C10" s="6">
        <v>44859</v>
      </c>
      <c r="D10" s="1" t="s">
        <v>7</v>
      </c>
      <c r="E10" s="1">
        <v>39</v>
      </c>
      <c r="F10" s="1" t="s">
        <v>6</v>
      </c>
      <c r="G10" s="44">
        <f t="shared" si="0"/>
        <v>54</v>
      </c>
      <c r="H10" s="10" t="str">
        <f t="shared" si="1"/>
        <v>Thursday</v>
      </c>
      <c r="K10" s="20"/>
      <c r="L10" s="20"/>
    </row>
    <row r="11" spans="1:13">
      <c r="A11" s="9">
        <v>154428434</v>
      </c>
      <c r="B11" s="6">
        <v>44805</v>
      </c>
      <c r="C11" s="6">
        <v>44865</v>
      </c>
      <c r="D11" s="1" t="s">
        <v>7</v>
      </c>
      <c r="E11" s="1">
        <v>39</v>
      </c>
      <c r="F11" s="1" t="s">
        <v>6</v>
      </c>
      <c r="G11" s="44">
        <f t="shared" si="0"/>
        <v>60</v>
      </c>
      <c r="H11" s="10" t="str">
        <f t="shared" si="1"/>
        <v>Thursday</v>
      </c>
    </row>
    <row r="12" spans="1:13">
      <c r="A12" s="9">
        <v>154601651</v>
      </c>
      <c r="B12" s="6">
        <v>44805</v>
      </c>
      <c r="C12" s="6">
        <v>44830</v>
      </c>
      <c r="D12" s="1" t="s">
        <v>7</v>
      </c>
      <c r="E12" s="1">
        <v>39</v>
      </c>
      <c r="F12" s="1" t="s">
        <v>6</v>
      </c>
      <c r="G12" s="44">
        <f t="shared" si="0"/>
        <v>25</v>
      </c>
      <c r="H12" s="10" t="str">
        <f t="shared" si="1"/>
        <v>Thursday</v>
      </c>
      <c r="M12" s="24"/>
    </row>
    <row r="13" spans="1:13">
      <c r="A13" s="9">
        <v>122824692</v>
      </c>
      <c r="B13" s="6">
        <v>44805</v>
      </c>
      <c r="C13" s="6">
        <v>44819</v>
      </c>
      <c r="D13" s="1" t="s">
        <v>7</v>
      </c>
      <c r="E13" s="1">
        <v>39</v>
      </c>
      <c r="F13" s="1" t="s">
        <v>6</v>
      </c>
      <c r="G13" s="44">
        <f t="shared" si="0"/>
        <v>14</v>
      </c>
      <c r="H13" s="10" t="str">
        <f t="shared" si="1"/>
        <v>Thursday</v>
      </c>
    </row>
    <row r="14" spans="1:13">
      <c r="A14" s="9">
        <v>152925600</v>
      </c>
      <c r="B14" s="6">
        <v>44806</v>
      </c>
      <c r="C14" s="1"/>
      <c r="D14" s="1" t="s">
        <v>7</v>
      </c>
      <c r="E14" s="1">
        <v>39</v>
      </c>
      <c r="F14" s="1" t="s">
        <v>6</v>
      </c>
      <c r="G14" s="44" t="str">
        <f t="shared" si="0"/>
        <v/>
      </c>
      <c r="H14" s="10" t="str">
        <f t="shared" si="1"/>
        <v>Friday</v>
      </c>
    </row>
    <row r="15" spans="1:13">
      <c r="A15" s="9">
        <v>151154171</v>
      </c>
      <c r="B15" s="6">
        <v>44806</v>
      </c>
      <c r="C15" s="6">
        <v>44806</v>
      </c>
      <c r="D15" s="1" t="s">
        <v>7</v>
      </c>
      <c r="E15" s="1">
        <v>39</v>
      </c>
      <c r="F15" s="1" t="s">
        <v>6</v>
      </c>
      <c r="G15" s="44">
        <f t="shared" si="0"/>
        <v>0</v>
      </c>
      <c r="H15" s="10" t="str">
        <f t="shared" si="1"/>
        <v>Friday</v>
      </c>
    </row>
    <row r="16" spans="1:13">
      <c r="A16" s="9">
        <v>154640950</v>
      </c>
      <c r="B16" s="6">
        <v>44806</v>
      </c>
      <c r="C16" s="6">
        <v>44904</v>
      </c>
      <c r="D16" s="1" t="s">
        <v>7</v>
      </c>
      <c r="E16" s="1">
        <v>39</v>
      </c>
      <c r="F16" s="1" t="s">
        <v>6</v>
      </c>
      <c r="G16" s="44">
        <f t="shared" si="0"/>
        <v>98</v>
      </c>
      <c r="H16" s="10" t="str">
        <f t="shared" si="1"/>
        <v>Friday</v>
      </c>
    </row>
    <row r="17" spans="1:8">
      <c r="A17" s="9">
        <v>154617329</v>
      </c>
      <c r="B17" s="6">
        <v>44806</v>
      </c>
      <c r="C17" s="6">
        <v>44861</v>
      </c>
      <c r="D17" s="1" t="s">
        <v>7</v>
      </c>
      <c r="E17" s="1">
        <v>39</v>
      </c>
      <c r="F17" s="1" t="s">
        <v>6</v>
      </c>
      <c r="G17" s="44">
        <f t="shared" si="0"/>
        <v>55</v>
      </c>
      <c r="H17" s="10" t="str">
        <f t="shared" si="1"/>
        <v>Friday</v>
      </c>
    </row>
    <row r="18" spans="1:8">
      <c r="A18" s="9">
        <v>154089211</v>
      </c>
      <c r="B18" s="6">
        <v>44806</v>
      </c>
      <c r="C18" s="6">
        <v>44843</v>
      </c>
      <c r="D18" s="1" t="s">
        <v>7</v>
      </c>
      <c r="E18" s="1">
        <v>39</v>
      </c>
      <c r="F18" s="1" t="s">
        <v>6</v>
      </c>
      <c r="G18" s="44">
        <f t="shared" si="0"/>
        <v>37</v>
      </c>
      <c r="H18" s="10" t="str">
        <f t="shared" si="1"/>
        <v>Friday</v>
      </c>
    </row>
    <row r="19" spans="1:8">
      <c r="A19" s="9">
        <v>154653820</v>
      </c>
      <c r="B19" s="6">
        <v>44806</v>
      </c>
      <c r="C19" s="6">
        <v>44830</v>
      </c>
      <c r="D19" s="1" t="s">
        <v>7</v>
      </c>
      <c r="E19" s="1">
        <v>39</v>
      </c>
      <c r="F19" s="1" t="s">
        <v>6</v>
      </c>
      <c r="G19" s="44">
        <f t="shared" si="0"/>
        <v>24</v>
      </c>
      <c r="H19" s="10" t="str">
        <f t="shared" si="1"/>
        <v>Friday</v>
      </c>
    </row>
    <row r="20" spans="1:8">
      <c r="A20" s="9">
        <v>154131290</v>
      </c>
      <c r="B20" s="6">
        <v>44807</v>
      </c>
      <c r="C20" s="1"/>
      <c r="D20" s="1" t="s">
        <v>7</v>
      </c>
      <c r="E20" s="1">
        <v>39</v>
      </c>
      <c r="F20" s="1" t="s">
        <v>6</v>
      </c>
      <c r="G20" s="44" t="str">
        <f t="shared" si="0"/>
        <v/>
      </c>
      <c r="H20" s="10" t="str">
        <f t="shared" si="1"/>
        <v>Saturday</v>
      </c>
    </row>
    <row r="21" spans="1:8">
      <c r="A21" s="9">
        <v>154434009</v>
      </c>
      <c r="B21" s="6">
        <v>44807</v>
      </c>
      <c r="C21" s="1"/>
      <c r="D21" s="1" t="s">
        <v>7</v>
      </c>
      <c r="E21" s="1">
        <v>39</v>
      </c>
      <c r="F21" s="1" t="s">
        <v>6</v>
      </c>
      <c r="G21" s="44" t="str">
        <f t="shared" si="0"/>
        <v/>
      </c>
      <c r="H21" s="10" t="str">
        <f t="shared" si="1"/>
        <v>Saturday</v>
      </c>
    </row>
    <row r="22" spans="1:8">
      <c r="A22" s="9">
        <v>136108848</v>
      </c>
      <c r="B22" s="6">
        <v>44807</v>
      </c>
      <c r="C22" s="6">
        <v>44808</v>
      </c>
      <c r="D22" s="1" t="s">
        <v>7</v>
      </c>
      <c r="E22" s="1">
        <v>39</v>
      </c>
      <c r="F22" s="1" t="s">
        <v>6</v>
      </c>
      <c r="G22" s="44">
        <f t="shared" si="0"/>
        <v>1</v>
      </c>
      <c r="H22" s="10" t="str">
        <f t="shared" si="1"/>
        <v>Saturday</v>
      </c>
    </row>
    <row r="23" spans="1:8">
      <c r="A23" s="9">
        <v>135185873</v>
      </c>
      <c r="B23" s="6">
        <v>44807</v>
      </c>
      <c r="C23" s="6">
        <v>45056</v>
      </c>
      <c r="D23" s="1" t="s">
        <v>7</v>
      </c>
      <c r="E23" s="1">
        <v>39</v>
      </c>
      <c r="F23" s="1" t="s">
        <v>6</v>
      </c>
      <c r="G23" s="44">
        <f t="shared" si="0"/>
        <v>249</v>
      </c>
      <c r="H23" s="10" t="str">
        <f t="shared" si="1"/>
        <v>Saturday</v>
      </c>
    </row>
    <row r="24" spans="1:8">
      <c r="A24" s="9">
        <v>154592664</v>
      </c>
      <c r="B24" s="6">
        <v>44807</v>
      </c>
      <c r="C24" s="6">
        <v>45017</v>
      </c>
      <c r="D24" s="1" t="s">
        <v>7</v>
      </c>
      <c r="E24" s="1">
        <v>39</v>
      </c>
      <c r="F24" s="1" t="s">
        <v>6</v>
      </c>
      <c r="G24" s="44">
        <f t="shared" si="0"/>
        <v>210</v>
      </c>
      <c r="H24" s="10" t="str">
        <f t="shared" si="1"/>
        <v>Saturday</v>
      </c>
    </row>
    <row r="25" spans="1:8">
      <c r="A25" s="9">
        <v>119436804</v>
      </c>
      <c r="B25" s="6">
        <v>44807</v>
      </c>
      <c r="C25" s="6">
        <v>45026</v>
      </c>
      <c r="D25" s="1" t="s">
        <v>7</v>
      </c>
      <c r="E25" s="1">
        <v>39</v>
      </c>
      <c r="F25" s="1" t="s">
        <v>6</v>
      </c>
      <c r="G25" s="44">
        <f t="shared" si="0"/>
        <v>219</v>
      </c>
      <c r="H25" s="10" t="str">
        <f t="shared" si="1"/>
        <v>Saturday</v>
      </c>
    </row>
    <row r="26" spans="1:8">
      <c r="A26" s="9">
        <v>152929657</v>
      </c>
      <c r="B26" s="6">
        <v>44807</v>
      </c>
      <c r="C26" s="6">
        <v>44888</v>
      </c>
      <c r="D26" s="1" t="s">
        <v>7</v>
      </c>
      <c r="E26" s="1">
        <v>39</v>
      </c>
      <c r="F26" s="1" t="s">
        <v>6</v>
      </c>
      <c r="G26" s="44">
        <f t="shared" si="0"/>
        <v>81</v>
      </c>
      <c r="H26" s="10" t="str">
        <f t="shared" si="1"/>
        <v>Saturday</v>
      </c>
    </row>
    <row r="27" spans="1:8">
      <c r="A27" s="9">
        <v>154708974</v>
      </c>
      <c r="B27" s="6">
        <v>44807</v>
      </c>
      <c r="C27" s="6">
        <v>44852</v>
      </c>
      <c r="D27" s="1" t="s">
        <v>7</v>
      </c>
      <c r="E27" s="1">
        <v>39</v>
      </c>
      <c r="F27" s="1" t="s">
        <v>6</v>
      </c>
      <c r="G27" s="44">
        <f t="shared" si="0"/>
        <v>45</v>
      </c>
      <c r="H27" s="10" t="str">
        <f t="shared" si="1"/>
        <v>Saturday</v>
      </c>
    </row>
    <row r="28" spans="1:8">
      <c r="A28" s="9">
        <v>154567722</v>
      </c>
      <c r="B28" s="6">
        <v>44807</v>
      </c>
      <c r="C28" s="6">
        <v>44833</v>
      </c>
      <c r="D28" s="1" t="s">
        <v>7</v>
      </c>
      <c r="E28" s="1">
        <v>39</v>
      </c>
      <c r="F28" s="1" t="s">
        <v>6</v>
      </c>
      <c r="G28" s="44">
        <f t="shared" si="0"/>
        <v>26</v>
      </c>
      <c r="H28" s="10" t="str">
        <f t="shared" si="1"/>
        <v>Saturday</v>
      </c>
    </row>
    <row r="29" spans="1:8">
      <c r="A29" s="9">
        <v>154719788</v>
      </c>
      <c r="B29" s="6">
        <v>44807</v>
      </c>
      <c r="C29" s="6">
        <v>44829</v>
      </c>
      <c r="D29" s="1" t="s">
        <v>7</v>
      </c>
      <c r="E29" s="1">
        <v>39</v>
      </c>
      <c r="F29" s="1" t="s">
        <v>6</v>
      </c>
      <c r="G29" s="44">
        <f t="shared" si="0"/>
        <v>22</v>
      </c>
      <c r="H29" s="10" t="str">
        <f t="shared" si="1"/>
        <v>Saturday</v>
      </c>
    </row>
    <row r="30" spans="1:8">
      <c r="A30" s="9">
        <v>154809306</v>
      </c>
      <c r="B30" s="6">
        <v>44808</v>
      </c>
      <c r="C30" s="6">
        <v>44809</v>
      </c>
      <c r="D30" s="1" t="s">
        <v>7</v>
      </c>
      <c r="E30" s="1">
        <v>39</v>
      </c>
      <c r="F30" s="1" t="s">
        <v>6</v>
      </c>
      <c r="G30" s="44">
        <f t="shared" si="0"/>
        <v>1</v>
      </c>
      <c r="H30" s="10" t="str">
        <f t="shared" si="1"/>
        <v>Sunday</v>
      </c>
    </row>
    <row r="31" spans="1:8">
      <c r="A31" s="9">
        <v>140391539</v>
      </c>
      <c r="B31" s="6">
        <v>44808</v>
      </c>
      <c r="C31" s="6">
        <v>45021</v>
      </c>
      <c r="D31" s="1" t="s">
        <v>7</v>
      </c>
      <c r="E31" s="1">
        <v>39</v>
      </c>
      <c r="F31" s="1" t="s">
        <v>6</v>
      </c>
      <c r="G31" s="44">
        <f t="shared" si="0"/>
        <v>213</v>
      </c>
      <c r="H31" s="10" t="str">
        <f t="shared" si="1"/>
        <v>Sunday</v>
      </c>
    </row>
    <row r="32" spans="1:8">
      <c r="A32" s="9">
        <v>153194806</v>
      </c>
      <c r="B32" s="6">
        <v>44808</v>
      </c>
      <c r="C32" s="6">
        <v>45032</v>
      </c>
      <c r="D32" s="1" t="s">
        <v>7</v>
      </c>
      <c r="E32" s="1">
        <v>39</v>
      </c>
      <c r="F32" s="1" t="s">
        <v>6</v>
      </c>
      <c r="G32" s="44">
        <f t="shared" si="0"/>
        <v>224</v>
      </c>
      <c r="H32" s="10" t="str">
        <f t="shared" si="1"/>
        <v>Sunday</v>
      </c>
    </row>
    <row r="33" spans="1:8">
      <c r="A33" s="9">
        <v>144402204</v>
      </c>
      <c r="B33" s="6">
        <v>44808</v>
      </c>
      <c r="C33" s="6">
        <v>44826</v>
      </c>
      <c r="D33" s="1" t="s">
        <v>7</v>
      </c>
      <c r="E33" s="1">
        <v>39</v>
      </c>
      <c r="F33" s="1" t="s">
        <v>6</v>
      </c>
      <c r="G33" s="44">
        <f t="shared" si="0"/>
        <v>18</v>
      </c>
      <c r="H33" s="10" t="str">
        <f t="shared" si="1"/>
        <v>Sunday</v>
      </c>
    </row>
    <row r="34" spans="1:8">
      <c r="A34" s="9">
        <v>154747678</v>
      </c>
      <c r="B34" s="6">
        <v>44808</v>
      </c>
      <c r="C34" s="6">
        <v>44941</v>
      </c>
      <c r="D34" s="1" t="s">
        <v>7</v>
      </c>
      <c r="E34" s="1">
        <v>39</v>
      </c>
      <c r="F34" s="1" t="s">
        <v>6</v>
      </c>
      <c r="G34" s="44">
        <f t="shared" si="0"/>
        <v>133</v>
      </c>
      <c r="H34" s="10" t="str">
        <f t="shared" si="1"/>
        <v>Sunday</v>
      </c>
    </row>
    <row r="35" spans="1:8">
      <c r="A35" s="9">
        <v>130939158</v>
      </c>
      <c r="B35" s="6">
        <v>44808</v>
      </c>
      <c r="C35" s="6">
        <v>44976</v>
      </c>
      <c r="D35" s="1" t="s">
        <v>7</v>
      </c>
      <c r="E35" s="1">
        <v>39</v>
      </c>
      <c r="F35" s="1" t="s">
        <v>6</v>
      </c>
      <c r="G35" s="44">
        <f t="shared" si="0"/>
        <v>168</v>
      </c>
      <c r="H35" s="10" t="str">
        <f t="shared" si="1"/>
        <v>Sunday</v>
      </c>
    </row>
    <row r="36" spans="1:8">
      <c r="A36" s="9">
        <v>150912359</v>
      </c>
      <c r="B36" s="6">
        <v>44808</v>
      </c>
      <c r="C36" s="6">
        <v>44867</v>
      </c>
      <c r="D36" s="1" t="s">
        <v>7</v>
      </c>
      <c r="E36" s="1">
        <v>39</v>
      </c>
      <c r="F36" s="1" t="s">
        <v>6</v>
      </c>
      <c r="G36" s="44">
        <f t="shared" si="0"/>
        <v>59</v>
      </c>
      <c r="H36" s="10" t="str">
        <f t="shared" si="1"/>
        <v>Sunday</v>
      </c>
    </row>
    <row r="37" spans="1:8">
      <c r="A37" s="9">
        <v>154132592</v>
      </c>
      <c r="B37" s="6">
        <v>44808</v>
      </c>
      <c r="C37" s="6">
        <v>44866</v>
      </c>
      <c r="D37" s="1" t="s">
        <v>7</v>
      </c>
      <c r="E37" s="1">
        <v>39</v>
      </c>
      <c r="F37" s="1" t="s">
        <v>6</v>
      </c>
      <c r="G37" s="44">
        <f t="shared" si="0"/>
        <v>58</v>
      </c>
      <c r="H37" s="10" t="str">
        <f t="shared" si="1"/>
        <v>Sunday</v>
      </c>
    </row>
    <row r="38" spans="1:8">
      <c r="A38" s="9">
        <v>153368891</v>
      </c>
      <c r="B38" s="6">
        <v>44808</v>
      </c>
      <c r="C38" s="6">
        <v>44845</v>
      </c>
      <c r="D38" s="1" t="s">
        <v>7</v>
      </c>
      <c r="E38" s="1">
        <v>39</v>
      </c>
      <c r="F38" s="1" t="s">
        <v>6</v>
      </c>
      <c r="G38" s="44">
        <f t="shared" si="0"/>
        <v>37</v>
      </c>
      <c r="H38" s="10" t="str">
        <f t="shared" si="1"/>
        <v>Sunday</v>
      </c>
    </row>
    <row r="39" spans="1:8">
      <c r="A39" s="9">
        <v>154225450</v>
      </c>
      <c r="B39" s="6">
        <v>44809</v>
      </c>
      <c r="C39" s="1"/>
      <c r="D39" s="1" t="s">
        <v>7</v>
      </c>
      <c r="E39" s="1">
        <v>39</v>
      </c>
      <c r="F39" s="1" t="s">
        <v>6</v>
      </c>
      <c r="G39" s="44" t="str">
        <f t="shared" si="0"/>
        <v/>
      </c>
      <c r="H39" s="10" t="str">
        <f t="shared" si="1"/>
        <v>Monday</v>
      </c>
    </row>
    <row r="40" spans="1:8">
      <c r="A40" s="9">
        <v>154904040</v>
      </c>
      <c r="B40" s="6">
        <v>44809</v>
      </c>
      <c r="C40" s="6">
        <v>44810</v>
      </c>
      <c r="D40" s="1" t="s">
        <v>7</v>
      </c>
      <c r="E40" s="1">
        <v>39</v>
      </c>
      <c r="F40" s="1" t="s">
        <v>6</v>
      </c>
      <c r="G40" s="44">
        <f t="shared" si="0"/>
        <v>1</v>
      </c>
      <c r="H40" s="10" t="str">
        <f t="shared" si="1"/>
        <v>Monday</v>
      </c>
    </row>
    <row r="41" spans="1:8">
      <c r="A41" s="9">
        <v>127604200</v>
      </c>
      <c r="B41" s="6">
        <v>44809</v>
      </c>
      <c r="C41" s="6">
        <v>44840</v>
      </c>
      <c r="D41" s="1" t="s">
        <v>7</v>
      </c>
      <c r="E41" s="1">
        <v>39</v>
      </c>
      <c r="F41" s="1" t="s">
        <v>6</v>
      </c>
      <c r="G41" s="44">
        <f t="shared" si="0"/>
        <v>31</v>
      </c>
      <c r="H41" s="10" t="str">
        <f t="shared" si="1"/>
        <v>Monday</v>
      </c>
    </row>
    <row r="42" spans="1:8">
      <c r="A42" s="9">
        <v>154913576</v>
      </c>
      <c r="B42" s="6">
        <v>44809</v>
      </c>
      <c r="C42" s="6">
        <v>44998</v>
      </c>
      <c r="D42" s="1" t="s">
        <v>7</v>
      </c>
      <c r="E42" s="1">
        <v>39</v>
      </c>
      <c r="F42" s="1" t="s">
        <v>6</v>
      </c>
      <c r="G42" s="44">
        <f t="shared" si="0"/>
        <v>189</v>
      </c>
      <c r="H42" s="10" t="str">
        <f t="shared" si="1"/>
        <v>Monday</v>
      </c>
    </row>
    <row r="43" spans="1:8">
      <c r="A43" s="9">
        <v>154910432</v>
      </c>
      <c r="B43" s="6">
        <v>44809</v>
      </c>
      <c r="C43" s="6">
        <v>44998</v>
      </c>
      <c r="D43" s="1" t="s">
        <v>7</v>
      </c>
      <c r="E43" s="1">
        <v>39</v>
      </c>
      <c r="F43" s="1" t="s">
        <v>6</v>
      </c>
      <c r="G43" s="44">
        <f t="shared" si="0"/>
        <v>189</v>
      </c>
      <c r="H43" s="10" t="str">
        <f t="shared" si="1"/>
        <v>Monday</v>
      </c>
    </row>
    <row r="44" spans="1:8">
      <c r="A44" s="9">
        <v>154911229</v>
      </c>
      <c r="B44" s="6">
        <v>44809</v>
      </c>
      <c r="C44" s="6">
        <v>44997</v>
      </c>
      <c r="D44" s="1" t="s">
        <v>7</v>
      </c>
      <c r="E44" s="1">
        <v>39</v>
      </c>
      <c r="F44" s="1" t="s">
        <v>6</v>
      </c>
      <c r="G44" s="44">
        <f t="shared" si="0"/>
        <v>188</v>
      </c>
      <c r="H44" s="10" t="str">
        <f t="shared" si="1"/>
        <v>Monday</v>
      </c>
    </row>
    <row r="45" spans="1:8">
      <c r="A45" s="9">
        <v>154518837</v>
      </c>
      <c r="B45" s="6">
        <v>44809</v>
      </c>
      <c r="C45" s="6">
        <v>44929</v>
      </c>
      <c r="D45" s="1" t="s">
        <v>7</v>
      </c>
      <c r="E45" s="1">
        <v>39</v>
      </c>
      <c r="F45" s="1" t="s">
        <v>6</v>
      </c>
      <c r="G45" s="44">
        <f t="shared" si="0"/>
        <v>120</v>
      </c>
      <c r="H45" s="10" t="str">
        <f t="shared" si="1"/>
        <v>Monday</v>
      </c>
    </row>
    <row r="46" spans="1:8">
      <c r="A46" s="9">
        <v>154910009</v>
      </c>
      <c r="B46" s="6">
        <v>44809</v>
      </c>
      <c r="C46" s="6">
        <v>44965</v>
      </c>
      <c r="D46" s="1" t="s">
        <v>7</v>
      </c>
      <c r="E46" s="1">
        <v>39</v>
      </c>
      <c r="F46" s="1" t="s">
        <v>6</v>
      </c>
      <c r="G46" s="44">
        <f t="shared" si="0"/>
        <v>156</v>
      </c>
      <c r="H46" s="10" t="str">
        <f t="shared" si="1"/>
        <v>Monday</v>
      </c>
    </row>
    <row r="47" spans="1:8">
      <c r="A47" s="9">
        <v>154911693</v>
      </c>
      <c r="B47" s="6">
        <v>44809</v>
      </c>
      <c r="C47" s="6">
        <v>44965</v>
      </c>
      <c r="D47" s="1" t="s">
        <v>7</v>
      </c>
      <c r="E47" s="1">
        <v>39</v>
      </c>
      <c r="F47" s="1" t="s">
        <v>6</v>
      </c>
      <c r="G47" s="44">
        <f t="shared" si="0"/>
        <v>156</v>
      </c>
      <c r="H47" s="10" t="str">
        <f t="shared" si="1"/>
        <v>Monday</v>
      </c>
    </row>
    <row r="48" spans="1:8">
      <c r="A48" s="9">
        <v>154894177</v>
      </c>
      <c r="B48" s="6">
        <v>44809</v>
      </c>
      <c r="C48" s="6">
        <v>44907</v>
      </c>
      <c r="D48" s="1" t="s">
        <v>7</v>
      </c>
      <c r="E48" s="1">
        <v>39</v>
      </c>
      <c r="F48" s="1" t="s">
        <v>6</v>
      </c>
      <c r="G48" s="44">
        <f t="shared" si="0"/>
        <v>98</v>
      </c>
      <c r="H48" s="10" t="str">
        <f t="shared" si="1"/>
        <v>Monday</v>
      </c>
    </row>
    <row r="49" spans="1:8">
      <c r="A49" s="9">
        <v>154494026</v>
      </c>
      <c r="B49" s="6">
        <v>44809</v>
      </c>
      <c r="C49" s="6">
        <v>44907</v>
      </c>
      <c r="D49" s="1" t="s">
        <v>7</v>
      </c>
      <c r="E49" s="1">
        <v>39</v>
      </c>
      <c r="F49" s="1" t="s">
        <v>6</v>
      </c>
      <c r="G49" s="44">
        <f t="shared" si="0"/>
        <v>98</v>
      </c>
      <c r="H49" s="10" t="str">
        <f t="shared" si="1"/>
        <v>Monday</v>
      </c>
    </row>
    <row r="50" spans="1:8">
      <c r="A50" s="9">
        <v>154245189</v>
      </c>
      <c r="B50" s="6">
        <v>44809</v>
      </c>
      <c r="C50" s="6">
        <v>44891</v>
      </c>
      <c r="D50" s="1" t="s">
        <v>7</v>
      </c>
      <c r="E50" s="1">
        <v>39</v>
      </c>
      <c r="F50" s="1" t="s">
        <v>6</v>
      </c>
      <c r="G50" s="44">
        <f t="shared" si="0"/>
        <v>82</v>
      </c>
      <c r="H50" s="10" t="str">
        <f t="shared" si="1"/>
        <v>Monday</v>
      </c>
    </row>
    <row r="51" spans="1:8">
      <c r="A51" s="9">
        <v>154604182</v>
      </c>
      <c r="B51" s="6">
        <v>44809</v>
      </c>
      <c r="C51" s="6">
        <v>44853</v>
      </c>
      <c r="D51" s="1" t="s">
        <v>7</v>
      </c>
      <c r="E51" s="1">
        <v>39</v>
      </c>
      <c r="F51" s="1" t="s">
        <v>6</v>
      </c>
      <c r="G51" s="44">
        <f t="shared" si="0"/>
        <v>44</v>
      </c>
      <c r="H51" s="10" t="str">
        <f t="shared" si="1"/>
        <v>Monday</v>
      </c>
    </row>
    <row r="52" spans="1:8">
      <c r="A52" s="9">
        <v>154711552</v>
      </c>
      <c r="B52" s="6">
        <v>44809</v>
      </c>
      <c r="C52" s="6">
        <v>44839</v>
      </c>
      <c r="D52" s="1" t="s">
        <v>7</v>
      </c>
      <c r="E52" s="1">
        <v>39</v>
      </c>
      <c r="F52" s="1" t="s">
        <v>6</v>
      </c>
      <c r="G52" s="44">
        <f t="shared" si="0"/>
        <v>30</v>
      </c>
      <c r="H52" s="10" t="str">
        <f t="shared" si="1"/>
        <v>Monday</v>
      </c>
    </row>
    <row r="53" spans="1:8">
      <c r="A53" s="9">
        <v>154827564</v>
      </c>
      <c r="B53" s="6">
        <v>44809</v>
      </c>
      <c r="C53" s="6">
        <v>44843</v>
      </c>
      <c r="D53" s="1" t="s">
        <v>7</v>
      </c>
      <c r="E53" s="1">
        <v>39</v>
      </c>
      <c r="F53" s="1" t="s">
        <v>6</v>
      </c>
      <c r="G53" s="44">
        <f t="shared" si="0"/>
        <v>34</v>
      </c>
      <c r="H53" s="10" t="str">
        <f t="shared" si="1"/>
        <v>Monday</v>
      </c>
    </row>
    <row r="54" spans="1:8">
      <c r="A54" s="9">
        <v>143581543</v>
      </c>
      <c r="B54" s="6">
        <v>44809</v>
      </c>
      <c r="C54" s="6">
        <v>44846</v>
      </c>
      <c r="D54" s="1" t="s">
        <v>7</v>
      </c>
      <c r="E54" s="1">
        <v>39</v>
      </c>
      <c r="F54" s="1" t="s">
        <v>6</v>
      </c>
      <c r="G54" s="44">
        <f t="shared" si="0"/>
        <v>37</v>
      </c>
      <c r="H54" s="10" t="str">
        <f t="shared" si="1"/>
        <v>Monday</v>
      </c>
    </row>
    <row r="55" spans="1:8">
      <c r="A55" s="9">
        <v>154867798</v>
      </c>
      <c r="B55" s="6">
        <v>44809</v>
      </c>
      <c r="C55" s="6">
        <v>44839</v>
      </c>
      <c r="D55" s="1" t="s">
        <v>7</v>
      </c>
      <c r="E55" s="1">
        <v>39</v>
      </c>
      <c r="F55" s="1" t="s">
        <v>6</v>
      </c>
      <c r="G55" s="44">
        <f t="shared" si="0"/>
        <v>30</v>
      </c>
      <c r="H55" s="10" t="str">
        <f t="shared" si="1"/>
        <v>Monday</v>
      </c>
    </row>
    <row r="56" spans="1:8">
      <c r="A56" s="9">
        <v>154863996</v>
      </c>
      <c r="B56" s="6">
        <v>44809</v>
      </c>
      <c r="C56" s="6">
        <v>44813</v>
      </c>
      <c r="D56" s="1" t="s">
        <v>7</v>
      </c>
      <c r="E56" s="1">
        <v>39</v>
      </c>
      <c r="F56" s="1" t="s">
        <v>6</v>
      </c>
      <c r="G56" s="44">
        <f t="shared" si="0"/>
        <v>4</v>
      </c>
      <c r="H56" s="10" t="str">
        <f t="shared" si="1"/>
        <v>Monday</v>
      </c>
    </row>
    <row r="57" spans="1:8">
      <c r="A57" s="9">
        <v>154923423</v>
      </c>
      <c r="B57" s="6">
        <v>44810</v>
      </c>
      <c r="C57" s="1"/>
      <c r="D57" s="1" t="s">
        <v>7</v>
      </c>
      <c r="E57" s="1">
        <v>39</v>
      </c>
      <c r="F57" s="1" t="s">
        <v>6</v>
      </c>
      <c r="G57" s="44" t="str">
        <f t="shared" si="0"/>
        <v/>
      </c>
      <c r="H57" s="10" t="str">
        <f t="shared" si="1"/>
        <v>Tuesday</v>
      </c>
    </row>
    <row r="58" spans="1:8">
      <c r="A58" s="9">
        <v>134664128</v>
      </c>
      <c r="B58" s="6">
        <v>44810</v>
      </c>
      <c r="C58" s="1"/>
      <c r="D58" s="1" t="s">
        <v>7</v>
      </c>
      <c r="E58" s="1">
        <v>39</v>
      </c>
      <c r="F58" s="1" t="s">
        <v>6</v>
      </c>
      <c r="G58" s="44" t="str">
        <f t="shared" si="0"/>
        <v/>
      </c>
      <c r="H58" s="10" t="str">
        <f t="shared" si="1"/>
        <v>Tuesday</v>
      </c>
    </row>
    <row r="59" spans="1:8">
      <c r="A59" s="9">
        <v>154828806</v>
      </c>
      <c r="B59" s="6">
        <v>44810</v>
      </c>
      <c r="C59" s="6">
        <v>44885</v>
      </c>
      <c r="D59" s="1" t="s">
        <v>7</v>
      </c>
      <c r="E59" s="1">
        <v>39</v>
      </c>
      <c r="F59" s="1" t="s">
        <v>6</v>
      </c>
      <c r="G59" s="44">
        <f t="shared" si="0"/>
        <v>75</v>
      </c>
      <c r="H59" s="10" t="str">
        <f t="shared" si="1"/>
        <v>Tuesday</v>
      </c>
    </row>
    <row r="60" spans="1:8">
      <c r="A60" s="9">
        <v>154934030</v>
      </c>
      <c r="B60" s="6">
        <v>44810</v>
      </c>
      <c r="C60" s="6">
        <v>44878</v>
      </c>
      <c r="D60" s="1" t="s">
        <v>7</v>
      </c>
      <c r="E60" s="1">
        <v>39</v>
      </c>
      <c r="F60" s="1" t="s">
        <v>6</v>
      </c>
      <c r="G60" s="44">
        <f t="shared" si="0"/>
        <v>68</v>
      </c>
      <c r="H60" s="10" t="str">
        <f t="shared" si="1"/>
        <v>Tuesday</v>
      </c>
    </row>
    <row r="61" spans="1:8">
      <c r="A61" s="9">
        <v>153671424</v>
      </c>
      <c r="B61" s="6">
        <v>44810</v>
      </c>
      <c r="C61" s="6">
        <v>44847</v>
      </c>
      <c r="D61" s="1" t="s">
        <v>7</v>
      </c>
      <c r="E61" s="1">
        <v>39</v>
      </c>
      <c r="F61" s="1" t="s">
        <v>6</v>
      </c>
      <c r="G61" s="44">
        <f t="shared" si="0"/>
        <v>37</v>
      </c>
      <c r="H61" s="10" t="str">
        <f t="shared" si="1"/>
        <v>Tuesday</v>
      </c>
    </row>
    <row r="62" spans="1:8">
      <c r="A62" s="9">
        <v>154693818</v>
      </c>
      <c r="B62" s="6">
        <v>44810</v>
      </c>
      <c r="C62" s="6">
        <v>44847</v>
      </c>
      <c r="D62" s="1" t="s">
        <v>7</v>
      </c>
      <c r="E62" s="1">
        <v>39</v>
      </c>
      <c r="F62" s="1" t="s">
        <v>6</v>
      </c>
      <c r="G62" s="44">
        <f t="shared" si="0"/>
        <v>37</v>
      </c>
      <c r="H62" s="10" t="str">
        <f t="shared" si="1"/>
        <v>Tuesday</v>
      </c>
    </row>
    <row r="63" spans="1:8">
      <c r="A63" s="9">
        <v>154110938</v>
      </c>
      <c r="B63" s="6">
        <v>44810</v>
      </c>
      <c r="C63" s="6">
        <v>44830</v>
      </c>
      <c r="D63" s="1" t="s">
        <v>7</v>
      </c>
      <c r="E63" s="1">
        <v>39</v>
      </c>
      <c r="F63" s="1" t="s">
        <v>6</v>
      </c>
      <c r="G63" s="44">
        <f t="shared" si="0"/>
        <v>20</v>
      </c>
      <c r="H63" s="10" t="str">
        <f t="shared" si="1"/>
        <v>Tuesday</v>
      </c>
    </row>
    <row r="64" spans="1:8">
      <c r="A64" s="9">
        <v>154809306</v>
      </c>
      <c r="B64" s="6">
        <v>44810</v>
      </c>
      <c r="C64" s="6">
        <v>44832</v>
      </c>
      <c r="D64" s="1" t="s">
        <v>7</v>
      </c>
      <c r="E64" s="1">
        <v>39</v>
      </c>
      <c r="F64" s="1" t="s">
        <v>6</v>
      </c>
      <c r="G64" s="44">
        <f t="shared" si="0"/>
        <v>22</v>
      </c>
      <c r="H64" s="10" t="str">
        <f t="shared" si="1"/>
        <v>Tuesday</v>
      </c>
    </row>
    <row r="65" spans="1:8">
      <c r="A65" s="9">
        <v>154537244</v>
      </c>
      <c r="B65" s="6">
        <v>44811</v>
      </c>
      <c r="C65" s="1"/>
      <c r="D65" s="1" t="s">
        <v>7</v>
      </c>
      <c r="E65" s="1">
        <v>39</v>
      </c>
      <c r="F65" s="1" t="s">
        <v>6</v>
      </c>
      <c r="G65" s="44" t="str">
        <f t="shared" si="0"/>
        <v/>
      </c>
      <c r="H65" s="10" t="str">
        <f t="shared" si="1"/>
        <v>Wednesday</v>
      </c>
    </row>
    <row r="66" spans="1:8">
      <c r="A66" s="9">
        <v>154163218</v>
      </c>
      <c r="B66" s="6">
        <v>44811</v>
      </c>
      <c r="C66" s="1"/>
      <c r="D66" s="1" t="s">
        <v>7</v>
      </c>
      <c r="E66" s="1">
        <v>39</v>
      </c>
      <c r="F66" s="1" t="s">
        <v>6</v>
      </c>
      <c r="G66" s="44" t="str">
        <f t="shared" si="0"/>
        <v/>
      </c>
      <c r="H66" s="10" t="str">
        <f t="shared" si="1"/>
        <v>Wednesday</v>
      </c>
    </row>
    <row r="67" spans="1:8">
      <c r="A67" s="9">
        <v>129467426</v>
      </c>
      <c r="B67" s="6">
        <v>44811</v>
      </c>
      <c r="C67" s="6">
        <v>45071</v>
      </c>
      <c r="D67" s="1" t="s">
        <v>7</v>
      </c>
      <c r="E67" s="1">
        <v>39</v>
      </c>
      <c r="F67" s="1" t="s">
        <v>6</v>
      </c>
      <c r="G67" s="44">
        <f t="shared" ref="G67:G130" si="2">IF(C67="", "", DATEDIF(B67, C67, "D"))</f>
        <v>260</v>
      </c>
      <c r="H67" s="10" t="str">
        <f t="shared" ref="H67:H130" si="3">TEXT(B67, "dddd")</f>
        <v>Wednesday</v>
      </c>
    </row>
    <row r="68" spans="1:8">
      <c r="A68" s="9">
        <v>152498330</v>
      </c>
      <c r="B68" s="6">
        <v>44811</v>
      </c>
      <c r="C68" s="6">
        <v>44979</v>
      </c>
      <c r="D68" s="1" t="s">
        <v>7</v>
      </c>
      <c r="E68" s="1">
        <v>39</v>
      </c>
      <c r="F68" s="1" t="s">
        <v>6</v>
      </c>
      <c r="G68" s="44">
        <f t="shared" si="2"/>
        <v>168</v>
      </c>
      <c r="H68" s="10" t="str">
        <f t="shared" si="3"/>
        <v>Wednesday</v>
      </c>
    </row>
    <row r="69" spans="1:8">
      <c r="A69" s="9">
        <v>125335731</v>
      </c>
      <c r="B69" s="6">
        <v>44811</v>
      </c>
      <c r="C69" s="6">
        <v>44818</v>
      </c>
      <c r="D69" s="1" t="s">
        <v>7</v>
      </c>
      <c r="E69" s="1">
        <v>39</v>
      </c>
      <c r="F69" s="1" t="s">
        <v>6</v>
      </c>
      <c r="G69" s="44">
        <f t="shared" si="2"/>
        <v>7</v>
      </c>
      <c r="H69" s="10" t="str">
        <f t="shared" si="3"/>
        <v>Wednesday</v>
      </c>
    </row>
    <row r="70" spans="1:8">
      <c r="A70" s="9">
        <v>155113805</v>
      </c>
      <c r="B70" s="6">
        <v>44812</v>
      </c>
      <c r="C70" s="1"/>
      <c r="D70" s="1" t="s">
        <v>7</v>
      </c>
      <c r="E70" s="1">
        <v>39</v>
      </c>
      <c r="F70" s="1" t="s">
        <v>6</v>
      </c>
      <c r="G70" s="44" t="str">
        <f t="shared" si="2"/>
        <v/>
      </c>
      <c r="H70" s="10" t="str">
        <f t="shared" si="3"/>
        <v>Thursday</v>
      </c>
    </row>
    <row r="71" spans="1:8">
      <c r="A71" s="9">
        <v>148864769</v>
      </c>
      <c r="B71" s="6">
        <v>44812</v>
      </c>
      <c r="C71" s="6">
        <v>44862</v>
      </c>
      <c r="D71" s="1" t="s">
        <v>7</v>
      </c>
      <c r="E71" s="1">
        <v>39</v>
      </c>
      <c r="F71" s="1" t="s">
        <v>6</v>
      </c>
      <c r="G71" s="44">
        <f t="shared" si="2"/>
        <v>50</v>
      </c>
      <c r="H71" s="10" t="str">
        <f t="shared" si="3"/>
        <v>Thursday</v>
      </c>
    </row>
    <row r="72" spans="1:8">
      <c r="A72" s="9">
        <v>123850281</v>
      </c>
      <c r="B72" s="6">
        <v>44812</v>
      </c>
      <c r="C72" s="6">
        <v>44849</v>
      </c>
      <c r="D72" s="1" t="s">
        <v>7</v>
      </c>
      <c r="E72" s="1">
        <v>39</v>
      </c>
      <c r="F72" s="1" t="s">
        <v>6</v>
      </c>
      <c r="G72" s="44">
        <f t="shared" si="2"/>
        <v>37</v>
      </c>
      <c r="H72" s="10" t="str">
        <f t="shared" si="3"/>
        <v>Thursday</v>
      </c>
    </row>
    <row r="73" spans="1:8">
      <c r="A73" s="9">
        <v>155167073</v>
      </c>
      <c r="B73" s="6">
        <v>44812</v>
      </c>
      <c r="C73" s="6">
        <v>44840</v>
      </c>
      <c r="D73" s="1" t="s">
        <v>7</v>
      </c>
      <c r="E73" s="1">
        <v>39</v>
      </c>
      <c r="F73" s="1" t="s">
        <v>6</v>
      </c>
      <c r="G73" s="44">
        <f t="shared" si="2"/>
        <v>28</v>
      </c>
      <c r="H73" s="10" t="str">
        <f t="shared" si="3"/>
        <v>Thursday</v>
      </c>
    </row>
    <row r="74" spans="1:8">
      <c r="A74" s="9">
        <v>153684891</v>
      </c>
      <c r="B74" s="6">
        <v>44812</v>
      </c>
      <c r="C74" s="6">
        <v>44813</v>
      </c>
      <c r="D74" s="1" t="s">
        <v>7</v>
      </c>
      <c r="E74" s="1">
        <v>39</v>
      </c>
      <c r="F74" s="1" t="s">
        <v>6</v>
      </c>
      <c r="G74" s="44">
        <f t="shared" si="2"/>
        <v>1</v>
      </c>
      <c r="H74" s="10" t="str">
        <f t="shared" si="3"/>
        <v>Thursday</v>
      </c>
    </row>
    <row r="75" spans="1:8">
      <c r="A75" s="9">
        <v>131277340</v>
      </c>
      <c r="B75" s="6">
        <v>44813</v>
      </c>
      <c r="C75" s="6">
        <v>44986</v>
      </c>
      <c r="D75" s="1" t="s">
        <v>7</v>
      </c>
      <c r="E75" s="1">
        <v>39</v>
      </c>
      <c r="F75" s="1" t="s">
        <v>6</v>
      </c>
      <c r="G75" s="44">
        <f t="shared" si="2"/>
        <v>173</v>
      </c>
      <c r="H75" s="10" t="str">
        <f t="shared" si="3"/>
        <v>Friday</v>
      </c>
    </row>
    <row r="76" spans="1:8">
      <c r="A76" s="9">
        <v>152027172</v>
      </c>
      <c r="B76" s="6">
        <v>44813</v>
      </c>
      <c r="C76" s="6">
        <v>44897</v>
      </c>
      <c r="D76" s="1" t="s">
        <v>7</v>
      </c>
      <c r="E76" s="1">
        <v>39</v>
      </c>
      <c r="F76" s="1" t="s">
        <v>6</v>
      </c>
      <c r="G76" s="44">
        <f t="shared" si="2"/>
        <v>84</v>
      </c>
      <c r="H76" s="10" t="str">
        <f t="shared" si="3"/>
        <v>Friday</v>
      </c>
    </row>
    <row r="77" spans="1:8">
      <c r="A77" s="9">
        <v>155212612</v>
      </c>
      <c r="B77" s="6">
        <v>44813</v>
      </c>
      <c r="C77" s="6">
        <v>44868</v>
      </c>
      <c r="D77" s="1" t="s">
        <v>7</v>
      </c>
      <c r="E77" s="1">
        <v>39</v>
      </c>
      <c r="F77" s="1" t="s">
        <v>6</v>
      </c>
      <c r="G77" s="44">
        <f t="shared" si="2"/>
        <v>55</v>
      </c>
      <c r="H77" s="10" t="str">
        <f t="shared" si="3"/>
        <v>Friday</v>
      </c>
    </row>
    <row r="78" spans="1:8">
      <c r="A78" s="9">
        <v>155188498</v>
      </c>
      <c r="B78" s="6">
        <v>44813</v>
      </c>
      <c r="C78" s="6">
        <v>44843</v>
      </c>
      <c r="D78" s="1" t="s">
        <v>7</v>
      </c>
      <c r="E78" s="1">
        <v>39</v>
      </c>
      <c r="F78" s="1" t="s">
        <v>6</v>
      </c>
      <c r="G78" s="44">
        <f t="shared" si="2"/>
        <v>30</v>
      </c>
      <c r="H78" s="10" t="str">
        <f t="shared" si="3"/>
        <v>Friday</v>
      </c>
    </row>
    <row r="79" spans="1:8">
      <c r="A79" s="9">
        <v>155145336</v>
      </c>
      <c r="B79" s="6">
        <v>44813</v>
      </c>
      <c r="C79" s="6">
        <v>44837</v>
      </c>
      <c r="D79" s="1" t="s">
        <v>7</v>
      </c>
      <c r="E79" s="1">
        <v>39</v>
      </c>
      <c r="F79" s="1" t="s">
        <v>6</v>
      </c>
      <c r="G79" s="44">
        <f t="shared" si="2"/>
        <v>24</v>
      </c>
      <c r="H79" s="10" t="str">
        <f t="shared" si="3"/>
        <v>Friday</v>
      </c>
    </row>
    <row r="80" spans="1:8">
      <c r="A80" s="9">
        <v>152506474</v>
      </c>
      <c r="B80" s="6">
        <v>44813</v>
      </c>
      <c r="C80" s="6">
        <v>44850</v>
      </c>
      <c r="D80" s="1" t="s">
        <v>7</v>
      </c>
      <c r="E80" s="1">
        <v>39</v>
      </c>
      <c r="F80" s="1" t="s">
        <v>6</v>
      </c>
      <c r="G80" s="44">
        <f t="shared" si="2"/>
        <v>37</v>
      </c>
      <c r="H80" s="10" t="str">
        <f t="shared" si="3"/>
        <v>Friday</v>
      </c>
    </row>
    <row r="81" spans="1:8">
      <c r="A81" s="9">
        <v>118029150</v>
      </c>
      <c r="B81" s="6">
        <v>44813</v>
      </c>
      <c r="C81" s="6">
        <v>45154</v>
      </c>
      <c r="D81" s="1" t="s">
        <v>7</v>
      </c>
      <c r="E81" s="1">
        <v>39</v>
      </c>
      <c r="F81" s="1" t="s">
        <v>6</v>
      </c>
      <c r="G81" s="44">
        <f t="shared" si="2"/>
        <v>341</v>
      </c>
      <c r="H81" s="10" t="str">
        <f t="shared" si="3"/>
        <v>Friday</v>
      </c>
    </row>
    <row r="82" spans="1:8">
      <c r="A82" s="9">
        <v>155245796</v>
      </c>
      <c r="B82" s="6">
        <v>44814</v>
      </c>
      <c r="C82" s="1"/>
      <c r="D82" s="1" t="s">
        <v>7</v>
      </c>
      <c r="E82" s="1">
        <v>39</v>
      </c>
      <c r="F82" s="1" t="s">
        <v>6</v>
      </c>
      <c r="G82" s="44" t="str">
        <f t="shared" si="2"/>
        <v/>
      </c>
      <c r="H82" s="10" t="str">
        <f t="shared" si="3"/>
        <v>Saturday</v>
      </c>
    </row>
    <row r="83" spans="1:8">
      <c r="A83" s="9">
        <v>155326259</v>
      </c>
      <c r="B83" s="6">
        <v>44814</v>
      </c>
      <c r="C83" s="6">
        <v>44978</v>
      </c>
      <c r="D83" s="1" t="s">
        <v>7</v>
      </c>
      <c r="E83" s="1">
        <v>39</v>
      </c>
      <c r="F83" s="1" t="s">
        <v>6</v>
      </c>
      <c r="G83" s="44">
        <f t="shared" si="2"/>
        <v>164</v>
      </c>
      <c r="H83" s="10" t="str">
        <f t="shared" si="3"/>
        <v>Saturday</v>
      </c>
    </row>
    <row r="84" spans="1:8">
      <c r="A84" s="9">
        <v>155311918</v>
      </c>
      <c r="B84" s="6">
        <v>44814</v>
      </c>
      <c r="C84" s="6">
        <v>44907</v>
      </c>
      <c r="D84" s="1" t="s">
        <v>7</v>
      </c>
      <c r="E84" s="1">
        <v>39</v>
      </c>
      <c r="F84" s="1" t="s">
        <v>6</v>
      </c>
      <c r="G84" s="44">
        <f t="shared" si="2"/>
        <v>93</v>
      </c>
      <c r="H84" s="10" t="str">
        <f t="shared" si="3"/>
        <v>Saturday</v>
      </c>
    </row>
    <row r="85" spans="1:8">
      <c r="A85" s="9">
        <v>154391473</v>
      </c>
      <c r="B85" s="6">
        <v>44814</v>
      </c>
      <c r="C85" s="6">
        <v>44846</v>
      </c>
      <c r="D85" s="1" t="s">
        <v>7</v>
      </c>
      <c r="E85" s="1">
        <v>39</v>
      </c>
      <c r="F85" s="1" t="s">
        <v>6</v>
      </c>
      <c r="G85" s="44">
        <f t="shared" si="2"/>
        <v>32</v>
      </c>
      <c r="H85" s="10" t="str">
        <f t="shared" si="3"/>
        <v>Saturday</v>
      </c>
    </row>
    <row r="86" spans="1:8">
      <c r="A86" s="9">
        <v>155283495</v>
      </c>
      <c r="B86" s="6">
        <v>44814</v>
      </c>
      <c r="C86" s="6">
        <v>44842</v>
      </c>
      <c r="D86" s="1" t="s">
        <v>7</v>
      </c>
      <c r="E86" s="1">
        <v>39</v>
      </c>
      <c r="F86" s="1" t="s">
        <v>6</v>
      </c>
      <c r="G86" s="44">
        <f t="shared" si="2"/>
        <v>28</v>
      </c>
      <c r="H86" s="10" t="str">
        <f t="shared" si="3"/>
        <v>Saturday</v>
      </c>
    </row>
    <row r="87" spans="1:8">
      <c r="A87" s="9">
        <v>154597373</v>
      </c>
      <c r="B87" s="6">
        <v>44814</v>
      </c>
      <c r="C87" s="6">
        <v>44840</v>
      </c>
      <c r="D87" s="1" t="s">
        <v>7</v>
      </c>
      <c r="E87" s="1">
        <v>39</v>
      </c>
      <c r="F87" s="1" t="s">
        <v>6</v>
      </c>
      <c r="G87" s="44">
        <f t="shared" si="2"/>
        <v>26</v>
      </c>
      <c r="H87" s="10" t="str">
        <f t="shared" si="3"/>
        <v>Saturday</v>
      </c>
    </row>
    <row r="88" spans="1:8">
      <c r="A88" s="9">
        <v>155370310</v>
      </c>
      <c r="B88" s="6">
        <v>44815</v>
      </c>
      <c r="C88" s="6">
        <v>45062</v>
      </c>
      <c r="D88" s="1" t="s">
        <v>7</v>
      </c>
      <c r="E88" s="1">
        <v>39</v>
      </c>
      <c r="F88" s="1" t="s">
        <v>6</v>
      </c>
      <c r="G88" s="44">
        <f t="shared" si="2"/>
        <v>247</v>
      </c>
      <c r="H88" s="10" t="str">
        <f t="shared" si="3"/>
        <v>Sunday</v>
      </c>
    </row>
    <row r="89" spans="1:8">
      <c r="A89" s="9">
        <v>155289120</v>
      </c>
      <c r="B89" s="6">
        <v>44815</v>
      </c>
      <c r="C89" s="6">
        <v>44972</v>
      </c>
      <c r="D89" s="1" t="s">
        <v>7</v>
      </c>
      <c r="E89" s="1">
        <v>39</v>
      </c>
      <c r="F89" s="1" t="s">
        <v>6</v>
      </c>
      <c r="G89" s="44">
        <f t="shared" si="2"/>
        <v>157</v>
      </c>
      <c r="H89" s="10" t="str">
        <f t="shared" si="3"/>
        <v>Sunday</v>
      </c>
    </row>
    <row r="90" spans="1:8">
      <c r="A90" s="9">
        <v>155351408</v>
      </c>
      <c r="B90" s="6">
        <v>44815</v>
      </c>
      <c r="C90" s="6">
        <v>44906</v>
      </c>
      <c r="D90" s="1" t="s">
        <v>7</v>
      </c>
      <c r="E90" s="1">
        <v>39</v>
      </c>
      <c r="F90" s="1" t="s">
        <v>6</v>
      </c>
      <c r="G90" s="44">
        <f t="shared" si="2"/>
        <v>91</v>
      </c>
      <c r="H90" s="10" t="str">
        <f t="shared" si="3"/>
        <v>Sunday</v>
      </c>
    </row>
    <row r="91" spans="1:8">
      <c r="A91" s="9">
        <v>155336773</v>
      </c>
      <c r="B91" s="6">
        <v>44815</v>
      </c>
      <c r="C91" s="6">
        <v>44919</v>
      </c>
      <c r="D91" s="1" t="s">
        <v>7</v>
      </c>
      <c r="E91" s="1">
        <v>39</v>
      </c>
      <c r="F91" s="1" t="s">
        <v>6</v>
      </c>
      <c r="G91" s="44">
        <f t="shared" si="2"/>
        <v>104</v>
      </c>
      <c r="H91" s="10" t="str">
        <f t="shared" si="3"/>
        <v>Sunday</v>
      </c>
    </row>
    <row r="92" spans="1:8">
      <c r="A92" s="9">
        <v>155017581</v>
      </c>
      <c r="B92" s="6">
        <v>44815</v>
      </c>
      <c r="C92" s="6">
        <v>44867</v>
      </c>
      <c r="D92" s="1" t="s">
        <v>7</v>
      </c>
      <c r="E92" s="1">
        <v>39</v>
      </c>
      <c r="F92" s="1" t="s">
        <v>6</v>
      </c>
      <c r="G92" s="44">
        <f t="shared" si="2"/>
        <v>52</v>
      </c>
      <c r="H92" s="10" t="str">
        <f t="shared" si="3"/>
        <v>Sunday</v>
      </c>
    </row>
    <row r="93" spans="1:8">
      <c r="A93" s="9">
        <v>154401329</v>
      </c>
      <c r="B93" s="6">
        <v>44815</v>
      </c>
      <c r="C93" s="6">
        <v>44849</v>
      </c>
      <c r="D93" s="1" t="s">
        <v>7</v>
      </c>
      <c r="E93" s="1">
        <v>39</v>
      </c>
      <c r="F93" s="1" t="s">
        <v>6</v>
      </c>
      <c r="G93" s="44">
        <f t="shared" si="2"/>
        <v>34</v>
      </c>
      <c r="H93" s="10" t="str">
        <f t="shared" si="3"/>
        <v>Sunday</v>
      </c>
    </row>
    <row r="94" spans="1:8">
      <c r="A94" s="9">
        <v>155334828</v>
      </c>
      <c r="B94" s="6">
        <v>44815</v>
      </c>
      <c r="C94" s="6">
        <v>44845</v>
      </c>
      <c r="D94" s="1" t="s">
        <v>7</v>
      </c>
      <c r="E94" s="1">
        <v>39</v>
      </c>
      <c r="F94" s="1" t="s">
        <v>6</v>
      </c>
      <c r="G94" s="44">
        <f t="shared" si="2"/>
        <v>30</v>
      </c>
      <c r="H94" s="10" t="str">
        <f t="shared" si="3"/>
        <v>Sunday</v>
      </c>
    </row>
    <row r="95" spans="1:8">
      <c r="A95" s="9">
        <v>154815431</v>
      </c>
      <c r="B95" s="6">
        <v>44815</v>
      </c>
      <c r="C95" s="6">
        <v>44815</v>
      </c>
      <c r="D95" s="1" t="s">
        <v>7</v>
      </c>
      <c r="E95" s="1">
        <v>39</v>
      </c>
      <c r="F95" s="1" t="s">
        <v>6</v>
      </c>
      <c r="G95" s="44">
        <f t="shared" si="2"/>
        <v>0</v>
      </c>
      <c r="H95" s="10" t="str">
        <f t="shared" si="3"/>
        <v>Sunday</v>
      </c>
    </row>
    <row r="96" spans="1:8">
      <c r="A96" s="9">
        <v>155343938</v>
      </c>
      <c r="B96" s="6">
        <v>44815</v>
      </c>
      <c r="C96" s="6">
        <v>45156</v>
      </c>
      <c r="D96" s="1" t="s">
        <v>7</v>
      </c>
      <c r="E96" s="1">
        <v>39</v>
      </c>
      <c r="F96" s="1" t="s">
        <v>6</v>
      </c>
      <c r="G96" s="44">
        <f t="shared" si="2"/>
        <v>341</v>
      </c>
      <c r="H96" s="10" t="str">
        <f t="shared" si="3"/>
        <v>Sunday</v>
      </c>
    </row>
    <row r="97" spans="1:8">
      <c r="A97" s="9">
        <v>152436458</v>
      </c>
      <c r="B97" s="6">
        <v>44816</v>
      </c>
      <c r="C97" s="6">
        <v>44816</v>
      </c>
      <c r="D97" s="1" t="s">
        <v>7</v>
      </c>
      <c r="E97" s="1">
        <v>39</v>
      </c>
      <c r="F97" s="1" t="s">
        <v>6</v>
      </c>
      <c r="G97" s="44">
        <f t="shared" si="2"/>
        <v>0</v>
      </c>
      <c r="H97" s="10" t="str">
        <f t="shared" si="3"/>
        <v>Monday</v>
      </c>
    </row>
    <row r="98" spans="1:8">
      <c r="A98" s="9">
        <v>154689541</v>
      </c>
      <c r="B98" s="6">
        <v>44816</v>
      </c>
      <c r="C98" s="6">
        <v>44817</v>
      </c>
      <c r="D98" s="1" t="s">
        <v>8</v>
      </c>
      <c r="E98" s="1">
        <v>39</v>
      </c>
      <c r="F98" s="1" t="s">
        <v>6</v>
      </c>
      <c r="G98" s="44">
        <f t="shared" si="2"/>
        <v>1</v>
      </c>
      <c r="H98" s="10" t="str">
        <f t="shared" si="3"/>
        <v>Monday</v>
      </c>
    </row>
    <row r="99" spans="1:8">
      <c r="A99" s="9">
        <v>155425695</v>
      </c>
      <c r="B99" s="6">
        <v>44816</v>
      </c>
      <c r="C99" s="6">
        <v>44853</v>
      </c>
      <c r="D99" s="1" t="s">
        <v>7</v>
      </c>
      <c r="E99" s="1">
        <v>39</v>
      </c>
      <c r="F99" s="1" t="s">
        <v>6</v>
      </c>
      <c r="G99" s="44">
        <f t="shared" si="2"/>
        <v>37</v>
      </c>
      <c r="H99" s="10" t="str">
        <f t="shared" si="3"/>
        <v>Monday</v>
      </c>
    </row>
    <row r="100" spans="1:8">
      <c r="A100" s="9">
        <v>152698255</v>
      </c>
      <c r="B100" s="6">
        <v>44816</v>
      </c>
      <c r="C100" s="6">
        <v>44846</v>
      </c>
      <c r="D100" s="1" t="s">
        <v>7</v>
      </c>
      <c r="E100" s="1">
        <v>39</v>
      </c>
      <c r="F100" s="1" t="s">
        <v>6</v>
      </c>
      <c r="G100" s="44">
        <f t="shared" si="2"/>
        <v>30</v>
      </c>
      <c r="H100" s="10" t="str">
        <f t="shared" si="3"/>
        <v>Monday</v>
      </c>
    </row>
    <row r="101" spans="1:8">
      <c r="A101" s="9">
        <v>155406449</v>
      </c>
      <c r="B101" s="6">
        <v>44817</v>
      </c>
      <c r="C101" s="6">
        <v>45165</v>
      </c>
      <c r="D101" s="1" t="s">
        <v>7</v>
      </c>
      <c r="E101" s="1">
        <v>39</v>
      </c>
      <c r="F101" s="1" t="s">
        <v>6</v>
      </c>
      <c r="G101" s="44">
        <f t="shared" si="2"/>
        <v>348</v>
      </c>
      <c r="H101" s="10" t="str">
        <f t="shared" si="3"/>
        <v>Tuesday</v>
      </c>
    </row>
    <row r="102" spans="1:8">
      <c r="A102" s="9">
        <v>137338480</v>
      </c>
      <c r="B102" s="6">
        <v>44817</v>
      </c>
      <c r="C102" s="6">
        <v>44818</v>
      </c>
      <c r="D102" s="1" t="s">
        <v>7</v>
      </c>
      <c r="E102" s="1">
        <v>39</v>
      </c>
      <c r="F102" s="1" t="s">
        <v>6</v>
      </c>
      <c r="G102" s="44">
        <f t="shared" si="2"/>
        <v>1</v>
      </c>
      <c r="H102" s="10" t="str">
        <f t="shared" si="3"/>
        <v>Tuesday</v>
      </c>
    </row>
    <row r="103" spans="1:8">
      <c r="A103" s="9">
        <v>155508519</v>
      </c>
      <c r="B103" s="6">
        <v>44817</v>
      </c>
      <c r="C103" s="6">
        <v>44857</v>
      </c>
      <c r="D103" s="1" t="s">
        <v>7</v>
      </c>
      <c r="E103" s="1">
        <v>39</v>
      </c>
      <c r="F103" s="1" t="s">
        <v>6</v>
      </c>
      <c r="G103" s="44">
        <f t="shared" si="2"/>
        <v>40</v>
      </c>
      <c r="H103" s="10" t="str">
        <f t="shared" si="3"/>
        <v>Tuesday</v>
      </c>
    </row>
    <row r="104" spans="1:8">
      <c r="A104" s="9">
        <v>155463846</v>
      </c>
      <c r="B104" s="6">
        <v>44817</v>
      </c>
      <c r="C104" s="6">
        <v>44837</v>
      </c>
      <c r="D104" s="1" t="s">
        <v>7</v>
      </c>
      <c r="E104" s="1">
        <v>39</v>
      </c>
      <c r="F104" s="1" t="s">
        <v>6</v>
      </c>
      <c r="G104" s="44">
        <f t="shared" si="2"/>
        <v>20</v>
      </c>
      <c r="H104" s="10" t="str">
        <f t="shared" si="3"/>
        <v>Tuesday</v>
      </c>
    </row>
    <row r="105" spans="1:8">
      <c r="A105" s="9">
        <v>122335220</v>
      </c>
      <c r="B105" s="6">
        <v>44817</v>
      </c>
      <c r="C105" s="6">
        <v>44821</v>
      </c>
      <c r="D105" s="1" t="s">
        <v>7</v>
      </c>
      <c r="E105" s="1">
        <v>39</v>
      </c>
      <c r="F105" s="1" t="s">
        <v>6</v>
      </c>
      <c r="G105" s="44">
        <f t="shared" si="2"/>
        <v>4</v>
      </c>
      <c r="H105" s="10" t="str">
        <f t="shared" si="3"/>
        <v>Tuesday</v>
      </c>
    </row>
    <row r="106" spans="1:8">
      <c r="A106" s="9">
        <v>155460904</v>
      </c>
      <c r="B106" s="6">
        <v>44817</v>
      </c>
      <c r="C106" s="6">
        <v>45091</v>
      </c>
      <c r="D106" s="1" t="s">
        <v>7</v>
      </c>
      <c r="E106" s="1">
        <v>39</v>
      </c>
      <c r="F106" s="1" t="s">
        <v>6</v>
      </c>
      <c r="G106" s="44">
        <f t="shared" si="2"/>
        <v>274</v>
      </c>
      <c r="H106" s="10" t="str">
        <f t="shared" si="3"/>
        <v>Tuesday</v>
      </c>
    </row>
    <row r="107" spans="1:8">
      <c r="A107" s="9">
        <v>155534484</v>
      </c>
      <c r="B107" s="6">
        <v>44818</v>
      </c>
      <c r="C107" s="6">
        <v>44819</v>
      </c>
      <c r="D107" s="1" t="s">
        <v>8</v>
      </c>
      <c r="E107" s="1">
        <v>39</v>
      </c>
      <c r="F107" s="1" t="s">
        <v>6</v>
      </c>
      <c r="G107" s="44">
        <f t="shared" si="2"/>
        <v>1</v>
      </c>
      <c r="H107" s="10" t="str">
        <f t="shared" si="3"/>
        <v>Wednesday</v>
      </c>
    </row>
    <row r="108" spans="1:8">
      <c r="A108" s="9">
        <v>155465332</v>
      </c>
      <c r="B108" s="6">
        <v>44818</v>
      </c>
      <c r="C108" s="6">
        <v>44991</v>
      </c>
      <c r="D108" s="1" t="s">
        <v>7</v>
      </c>
      <c r="E108" s="1">
        <v>39</v>
      </c>
      <c r="F108" s="1" t="s">
        <v>6</v>
      </c>
      <c r="G108" s="44">
        <f t="shared" si="2"/>
        <v>173</v>
      </c>
      <c r="H108" s="10" t="str">
        <f t="shared" si="3"/>
        <v>Wednesday</v>
      </c>
    </row>
    <row r="109" spans="1:8">
      <c r="A109" s="9">
        <v>155562517</v>
      </c>
      <c r="B109" s="6">
        <v>44818</v>
      </c>
      <c r="C109" s="6">
        <v>44902</v>
      </c>
      <c r="D109" s="1" t="s">
        <v>7</v>
      </c>
      <c r="E109" s="1">
        <v>39</v>
      </c>
      <c r="F109" s="1" t="s">
        <v>6</v>
      </c>
      <c r="G109" s="44">
        <f t="shared" si="2"/>
        <v>84</v>
      </c>
      <c r="H109" s="10" t="str">
        <f t="shared" si="3"/>
        <v>Wednesday</v>
      </c>
    </row>
    <row r="110" spans="1:8">
      <c r="A110" s="9">
        <v>153577096</v>
      </c>
      <c r="B110" s="6">
        <v>44818</v>
      </c>
      <c r="C110" s="6">
        <v>44855</v>
      </c>
      <c r="D110" s="1" t="s">
        <v>7</v>
      </c>
      <c r="E110" s="1">
        <v>39</v>
      </c>
      <c r="F110" s="1" t="s">
        <v>6</v>
      </c>
      <c r="G110" s="44">
        <f t="shared" si="2"/>
        <v>37</v>
      </c>
      <c r="H110" s="10" t="str">
        <f t="shared" si="3"/>
        <v>Wednesday</v>
      </c>
    </row>
    <row r="111" spans="1:8">
      <c r="A111" s="9">
        <v>154937101</v>
      </c>
      <c r="B111" s="6">
        <v>44819</v>
      </c>
      <c r="C111" s="1"/>
      <c r="D111" s="1" t="s">
        <v>7</v>
      </c>
      <c r="E111" s="1">
        <v>39</v>
      </c>
      <c r="F111" s="1" t="s">
        <v>6</v>
      </c>
      <c r="G111" s="44" t="str">
        <f t="shared" si="2"/>
        <v/>
      </c>
      <c r="H111" s="10" t="str">
        <f t="shared" si="3"/>
        <v>Thursday</v>
      </c>
    </row>
    <row r="112" spans="1:8">
      <c r="A112" s="9">
        <v>144968444</v>
      </c>
      <c r="B112" s="6">
        <v>44819</v>
      </c>
      <c r="C112" s="6">
        <v>44819</v>
      </c>
      <c r="D112" s="1" t="s">
        <v>8</v>
      </c>
      <c r="E112" s="1">
        <v>39</v>
      </c>
      <c r="F112" s="1" t="s">
        <v>6</v>
      </c>
      <c r="G112" s="44">
        <f t="shared" si="2"/>
        <v>0</v>
      </c>
      <c r="H112" s="10" t="str">
        <f t="shared" si="3"/>
        <v>Thursday</v>
      </c>
    </row>
    <row r="113" spans="1:8">
      <c r="A113" s="9">
        <v>155270889</v>
      </c>
      <c r="B113" s="6">
        <v>44819</v>
      </c>
      <c r="C113" s="6">
        <v>44991</v>
      </c>
      <c r="D113" s="1" t="s">
        <v>7</v>
      </c>
      <c r="E113" s="1">
        <v>39</v>
      </c>
      <c r="F113" s="1" t="s">
        <v>6</v>
      </c>
      <c r="G113" s="44">
        <f t="shared" si="2"/>
        <v>172</v>
      </c>
      <c r="H113" s="10" t="str">
        <f t="shared" si="3"/>
        <v>Thursday</v>
      </c>
    </row>
    <row r="114" spans="1:8">
      <c r="A114" s="9">
        <v>155601465</v>
      </c>
      <c r="B114" s="6">
        <v>44819</v>
      </c>
      <c r="C114" s="6">
        <v>45078</v>
      </c>
      <c r="D114" s="1" t="s">
        <v>7</v>
      </c>
      <c r="E114" s="1">
        <v>39</v>
      </c>
      <c r="F114" s="1" t="s">
        <v>6</v>
      </c>
      <c r="G114" s="44">
        <f t="shared" si="2"/>
        <v>259</v>
      </c>
      <c r="H114" s="10" t="str">
        <f t="shared" si="3"/>
        <v>Thursday</v>
      </c>
    </row>
    <row r="115" spans="1:8">
      <c r="A115" s="9">
        <v>154045370</v>
      </c>
      <c r="B115" s="6">
        <v>44819</v>
      </c>
      <c r="C115" s="6">
        <v>44893</v>
      </c>
      <c r="D115" s="1" t="s">
        <v>7</v>
      </c>
      <c r="E115" s="1">
        <v>39</v>
      </c>
      <c r="F115" s="1" t="s">
        <v>6</v>
      </c>
      <c r="G115" s="44">
        <f t="shared" si="2"/>
        <v>74</v>
      </c>
      <c r="H115" s="10" t="str">
        <f t="shared" si="3"/>
        <v>Thursday</v>
      </c>
    </row>
    <row r="116" spans="1:8">
      <c r="A116" s="9">
        <v>155612742</v>
      </c>
      <c r="B116" s="6">
        <v>44819</v>
      </c>
      <c r="C116" s="6">
        <v>44873</v>
      </c>
      <c r="D116" s="1" t="s">
        <v>7</v>
      </c>
      <c r="E116" s="1">
        <v>39</v>
      </c>
      <c r="F116" s="1" t="s">
        <v>6</v>
      </c>
      <c r="G116" s="44">
        <f t="shared" si="2"/>
        <v>54</v>
      </c>
      <c r="H116" s="10" t="str">
        <f t="shared" si="3"/>
        <v>Thursday</v>
      </c>
    </row>
    <row r="117" spans="1:8">
      <c r="A117" s="9">
        <v>155621162</v>
      </c>
      <c r="B117" s="6">
        <v>44819</v>
      </c>
      <c r="C117" s="6">
        <v>44879</v>
      </c>
      <c r="D117" s="1" t="s">
        <v>7</v>
      </c>
      <c r="E117" s="1">
        <v>39</v>
      </c>
      <c r="F117" s="1" t="s">
        <v>6</v>
      </c>
      <c r="G117" s="44">
        <f t="shared" si="2"/>
        <v>60</v>
      </c>
      <c r="H117" s="10" t="str">
        <f t="shared" si="3"/>
        <v>Thursday</v>
      </c>
    </row>
    <row r="118" spans="1:8">
      <c r="A118" s="9">
        <v>154904040</v>
      </c>
      <c r="B118" s="6">
        <v>44819</v>
      </c>
      <c r="C118" s="6">
        <v>44856</v>
      </c>
      <c r="D118" s="1" t="s">
        <v>7</v>
      </c>
      <c r="E118" s="1">
        <v>39</v>
      </c>
      <c r="F118" s="1" t="s">
        <v>6</v>
      </c>
      <c r="G118" s="44">
        <f t="shared" si="2"/>
        <v>37</v>
      </c>
      <c r="H118" s="10" t="str">
        <f t="shared" si="3"/>
        <v>Thursday</v>
      </c>
    </row>
    <row r="119" spans="1:8">
      <c r="A119" s="9">
        <v>150810434</v>
      </c>
      <c r="B119" s="6">
        <v>44819</v>
      </c>
      <c r="C119" s="6">
        <v>44846</v>
      </c>
      <c r="D119" s="1" t="s">
        <v>7</v>
      </c>
      <c r="E119" s="1">
        <v>39</v>
      </c>
      <c r="F119" s="1" t="s">
        <v>6</v>
      </c>
      <c r="G119" s="44">
        <f t="shared" si="2"/>
        <v>27</v>
      </c>
      <c r="H119" s="10" t="str">
        <f t="shared" si="3"/>
        <v>Thursday</v>
      </c>
    </row>
    <row r="120" spans="1:8">
      <c r="A120" s="9">
        <v>150825802</v>
      </c>
      <c r="B120" s="6">
        <v>44819</v>
      </c>
      <c r="C120" s="6">
        <v>44847</v>
      </c>
      <c r="D120" s="1" t="s">
        <v>7</v>
      </c>
      <c r="E120" s="1">
        <v>39</v>
      </c>
      <c r="F120" s="1" t="s">
        <v>6</v>
      </c>
      <c r="G120" s="44">
        <f t="shared" si="2"/>
        <v>28</v>
      </c>
      <c r="H120" s="10" t="str">
        <f t="shared" si="3"/>
        <v>Thursday</v>
      </c>
    </row>
    <row r="121" spans="1:8">
      <c r="A121" s="9">
        <v>151907203</v>
      </c>
      <c r="B121" s="6">
        <v>44819</v>
      </c>
      <c r="C121" s="6">
        <v>44845</v>
      </c>
      <c r="D121" s="1" t="s">
        <v>7</v>
      </c>
      <c r="E121" s="1">
        <v>39</v>
      </c>
      <c r="F121" s="1" t="s">
        <v>6</v>
      </c>
      <c r="G121" s="44">
        <f t="shared" si="2"/>
        <v>26</v>
      </c>
      <c r="H121" s="10" t="str">
        <f t="shared" si="3"/>
        <v>Thursday</v>
      </c>
    </row>
    <row r="122" spans="1:8">
      <c r="A122" s="9">
        <v>149595273</v>
      </c>
      <c r="B122" s="6">
        <v>44819</v>
      </c>
      <c r="C122" s="6">
        <v>44833</v>
      </c>
      <c r="D122" s="1" t="s">
        <v>7</v>
      </c>
      <c r="E122" s="1">
        <v>39</v>
      </c>
      <c r="F122" s="1" t="s">
        <v>6</v>
      </c>
      <c r="G122" s="44">
        <f t="shared" si="2"/>
        <v>14</v>
      </c>
      <c r="H122" s="10" t="str">
        <f t="shared" si="3"/>
        <v>Thursday</v>
      </c>
    </row>
    <row r="123" spans="1:8">
      <c r="A123" s="9">
        <v>155596960</v>
      </c>
      <c r="B123" s="6">
        <v>44819</v>
      </c>
      <c r="C123" s="6">
        <v>44827</v>
      </c>
      <c r="D123" s="1" t="s">
        <v>7</v>
      </c>
      <c r="E123" s="1">
        <v>39</v>
      </c>
      <c r="F123" s="1" t="s">
        <v>6</v>
      </c>
      <c r="G123" s="44">
        <f t="shared" si="2"/>
        <v>8</v>
      </c>
      <c r="H123" s="10" t="str">
        <f t="shared" si="3"/>
        <v>Thursday</v>
      </c>
    </row>
    <row r="124" spans="1:8">
      <c r="A124" s="9">
        <v>155192606</v>
      </c>
      <c r="B124" s="6">
        <v>44820</v>
      </c>
      <c r="C124" s="1"/>
      <c r="D124" s="1" t="s">
        <v>7</v>
      </c>
      <c r="E124" s="1">
        <v>39</v>
      </c>
      <c r="F124" s="1" t="s">
        <v>6</v>
      </c>
      <c r="G124" s="44" t="str">
        <f t="shared" si="2"/>
        <v/>
      </c>
      <c r="H124" s="10" t="str">
        <f t="shared" si="3"/>
        <v>Friday</v>
      </c>
    </row>
    <row r="125" spans="1:8">
      <c r="A125" s="9">
        <v>129111644</v>
      </c>
      <c r="B125" s="6">
        <v>44820</v>
      </c>
      <c r="C125" s="6">
        <v>45008</v>
      </c>
      <c r="D125" s="1" t="s">
        <v>7</v>
      </c>
      <c r="E125" s="1">
        <v>39</v>
      </c>
      <c r="F125" s="1" t="s">
        <v>6</v>
      </c>
      <c r="G125" s="44">
        <f t="shared" si="2"/>
        <v>188</v>
      </c>
      <c r="H125" s="10" t="str">
        <f t="shared" si="3"/>
        <v>Friday</v>
      </c>
    </row>
    <row r="126" spans="1:8">
      <c r="A126" s="9">
        <v>155426674</v>
      </c>
      <c r="B126" s="6">
        <v>44820</v>
      </c>
      <c r="C126" s="6">
        <v>45026</v>
      </c>
      <c r="D126" s="1" t="s">
        <v>7</v>
      </c>
      <c r="E126" s="1">
        <v>39</v>
      </c>
      <c r="F126" s="1" t="s">
        <v>6</v>
      </c>
      <c r="G126" s="44">
        <f t="shared" si="2"/>
        <v>206</v>
      </c>
      <c r="H126" s="10" t="str">
        <f t="shared" si="3"/>
        <v>Friday</v>
      </c>
    </row>
    <row r="127" spans="1:8">
      <c r="A127" s="9">
        <v>154389303</v>
      </c>
      <c r="B127" s="6">
        <v>44820</v>
      </c>
      <c r="C127" s="6">
        <v>44931</v>
      </c>
      <c r="D127" s="1" t="s">
        <v>7</v>
      </c>
      <c r="E127" s="1">
        <v>39</v>
      </c>
      <c r="F127" s="1" t="s">
        <v>6</v>
      </c>
      <c r="G127" s="44">
        <f t="shared" si="2"/>
        <v>111</v>
      </c>
      <c r="H127" s="10" t="str">
        <f t="shared" si="3"/>
        <v>Friday</v>
      </c>
    </row>
    <row r="128" spans="1:8">
      <c r="A128" s="9">
        <v>155671632</v>
      </c>
      <c r="B128" s="6">
        <v>44820</v>
      </c>
      <c r="C128" s="6">
        <v>44917</v>
      </c>
      <c r="D128" s="1" t="s">
        <v>7</v>
      </c>
      <c r="E128" s="1">
        <v>39</v>
      </c>
      <c r="F128" s="1" t="s">
        <v>6</v>
      </c>
      <c r="G128" s="44">
        <f t="shared" si="2"/>
        <v>97</v>
      </c>
      <c r="H128" s="10" t="str">
        <f t="shared" si="3"/>
        <v>Friday</v>
      </c>
    </row>
    <row r="129" spans="1:8">
      <c r="A129" s="9">
        <v>155663101</v>
      </c>
      <c r="B129" s="6">
        <v>44820</v>
      </c>
      <c r="C129" s="6">
        <v>44838</v>
      </c>
      <c r="D129" s="1" t="s">
        <v>7</v>
      </c>
      <c r="E129" s="1">
        <v>39</v>
      </c>
      <c r="F129" s="1" t="s">
        <v>6</v>
      </c>
      <c r="G129" s="44">
        <f t="shared" si="2"/>
        <v>18</v>
      </c>
      <c r="H129" s="10" t="str">
        <f t="shared" si="3"/>
        <v>Friday</v>
      </c>
    </row>
    <row r="130" spans="1:8">
      <c r="A130" s="9">
        <v>152084572</v>
      </c>
      <c r="B130" s="6">
        <v>44821</v>
      </c>
      <c r="C130" s="1"/>
      <c r="D130" s="1" t="s">
        <v>7</v>
      </c>
      <c r="E130" s="1">
        <v>39</v>
      </c>
      <c r="F130" s="1" t="s">
        <v>6</v>
      </c>
      <c r="G130" s="44" t="str">
        <f t="shared" si="2"/>
        <v/>
      </c>
      <c r="H130" s="10" t="str">
        <f t="shared" si="3"/>
        <v>Saturday</v>
      </c>
    </row>
    <row r="131" spans="1:8">
      <c r="A131" s="9">
        <v>155783230</v>
      </c>
      <c r="B131" s="6">
        <v>44821</v>
      </c>
      <c r="C131" s="6">
        <v>45058</v>
      </c>
      <c r="D131" s="1" t="s">
        <v>7</v>
      </c>
      <c r="E131" s="1">
        <v>39</v>
      </c>
      <c r="F131" s="1" t="s">
        <v>6</v>
      </c>
      <c r="G131" s="44">
        <f t="shared" ref="G131:G194" si="4">IF(C131="", "", DATEDIF(B131, C131, "D"))</f>
        <v>237</v>
      </c>
      <c r="H131" s="10" t="str">
        <f t="shared" ref="H131:H194" si="5">TEXT(B131, "dddd")</f>
        <v>Saturday</v>
      </c>
    </row>
    <row r="132" spans="1:8">
      <c r="A132" s="9">
        <v>155714315</v>
      </c>
      <c r="B132" s="6">
        <v>44821</v>
      </c>
      <c r="C132" s="6">
        <v>44940</v>
      </c>
      <c r="D132" s="1" t="s">
        <v>7</v>
      </c>
      <c r="E132" s="1">
        <v>39</v>
      </c>
      <c r="F132" s="1" t="s">
        <v>6</v>
      </c>
      <c r="G132" s="44">
        <f t="shared" si="4"/>
        <v>119</v>
      </c>
      <c r="H132" s="10" t="str">
        <f t="shared" si="5"/>
        <v>Saturday</v>
      </c>
    </row>
    <row r="133" spans="1:8">
      <c r="A133" s="9">
        <v>155774393</v>
      </c>
      <c r="B133" s="6">
        <v>44821</v>
      </c>
      <c r="C133" s="6">
        <v>44852</v>
      </c>
      <c r="D133" s="1" t="s">
        <v>7</v>
      </c>
      <c r="E133" s="1">
        <v>39</v>
      </c>
      <c r="F133" s="1" t="s">
        <v>6</v>
      </c>
      <c r="G133" s="44">
        <f t="shared" si="4"/>
        <v>31</v>
      </c>
      <c r="H133" s="10" t="str">
        <f t="shared" si="5"/>
        <v>Saturday</v>
      </c>
    </row>
    <row r="134" spans="1:8">
      <c r="A134" s="9">
        <v>152901090</v>
      </c>
      <c r="B134" s="6">
        <v>44822</v>
      </c>
      <c r="C134" s="6">
        <v>44951</v>
      </c>
      <c r="D134" s="1" t="s">
        <v>7</v>
      </c>
      <c r="E134" s="1">
        <v>39</v>
      </c>
      <c r="F134" s="1" t="s">
        <v>6</v>
      </c>
      <c r="G134" s="44">
        <f t="shared" si="4"/>
        <v>129</v>
      </c>
      <c r="H134" s="10" t="str">
        <f t="shared" si="5"/>
        <v>Sunday</v>
      </c>
    </row>
    <row r="135" spans="1:8">
      <c r="A135" s="9">
        <v>147029752</v>
      </c>
      <c r="B135" s="6">
        <v>44822</v>
      </c>
      <c r="C135" s="6">
        <v>44886</v>
      </c>
      <c r="D135" s="1" t="s">
        <v>7</v>
      </c>
      <c r="E135" s="1">
        <v>39</v>
      </c>
      <c r="F135" s="1" t="s">
        <v>6</v>
      </c>
      <c r="G135" s="44">
        <f t="shared" si="4"/>
        <v>64</v>
      </c>
      <c r="H135" s="10" t="str">
        <f t="shared" si="5"/>
        <v>Sunday</v>
      </c>
    </row>
    <row r="136" spans="1:8">
      <c r="A136" s="9">
        <v>155809043</v>
      </c>
      <c r="B136" s="6">
        <v>44822</v>
      </c>
      <c r="C136" s="6">
        <v>44903</v>
      </c>
      <c r="D136" s="1" t="s">
        <v>7</v>
      </c>
      <c r="E136" s="1">
        <v>39</v>
      </c>
      <c r="F136" s="1" t="s">
        <v>6</v>
      </c>
      <c r="G136" s="44">
        <f t="shared" si="4"/>
        <v>81</v>
      </c>
      <c r="H136" s="10" t="str">
        <f t="shared" si="5"/>
        <v>Sunday</v>
      </c>
    </row>
    <row r="137" spans="1:8">
      <c r="A137" s="9">
        <v>155180991</v>
      </c>
      <c r="B137" s="6">
        <v>44822</v>
      </c>
      <c r="C137" s="6">
        <v>44877</v>
      </c>
      <c r="D137" s="1" t="s">
        <v>7</v>
      </c>
      <c r="E137" s="1">
        <v>39</v>
      </c>
      <c r="F137" s="1" t="s">
        <v>6</v>
      </c>
      <c r="G137" s="44">
        <f t="shared" si="4"/>
        <v>55</v>
      </c>
      <c r="H137" s="10" t="str">
        <f t="shared" si="5"/>
        <v>Sunday</v>
      </c>
    </row>
    <row r="138" spans="1:8">
      <c r="A138" s="9">
        <v>155713732</v>
      </c>
      <c r="B138" s="6">
        <v>44822</v>
      </c>
      <c r="C138" s="6">
        <v>44834</v>
      </c>
      <c r="D138" s="1" t="s">
        <v>7</v>
      </c>
      <c r="E138" s="1">
        <v>39</v>
      </c>
      <c r="F138" s="1" t="s">
        <v>6</v>
      </c>
      <c r="G138" s="44">
        <f t="shared" si="4"/>
        <v>12</v>
      </c>
      <c r="H138" s="10" t="str">
        <f t="shared" si="5"/>
        <v>Sunday</v>
      </c>
    </row>
    <row r="139" spans="1:8">
      <c r="A139" s="9">
        <v>155204060</v>
      </c>
      <c r="B139" s="6">
        <v>44822</v>
      </c>
      <c r="C139" s="6">
        <v>44851</v>
      </c>
      <c r="D139" s="1" t="s">
        <v>7</v>
      </c>
      <c r="E139" s="1">
        <v>39</v>
      </c>
      <c r="F139" s="1" t="s">
        <v>6</v>
      </c>
      <c r="G139" s="44">
        <f t="shared" si="4"/>
        <v>29</v>
      </c>
      <c r="H139" s="10" t="str">
        <f t="shared" si="5"/>
        <v>Sunday</v>
      </c>
    </row>
    <row r="140" spans="1:8">
      <c r="A140" s="9">
        <v>136817161</v>
      </c>
      <c r="B140" s="6">
        <v>44823</v>
      </c>
      <c r="C140" s="6">
        <v>44851</v>
      </c>
      <c r="D140" s="1" t="s">
        <v>8</v>
      </c>
      <c r="E140" s="1">
        <v>39</v>
      </c>
      <c r="F140" s="1" t="s">
        <v>6</v>
      </c>
      <c r="G140" s="44">
        <f t="shared" si="4"/>
        <v>28</v>
      </c>
      <c r="H140" s="10" t="str">
        <f t="shared" si="5"/>
        <v>Monday</v>
      </c>
    </row>
    <row r="141" spans="1:8">
      <c r="A141" s="9">
        <v>126212861</v>
      </c>
      <c r="B141" s="6">
        <v>44823</v>
      </c>
      <c r="C141" s="6">
        <v>44823</v>
      </c>
      <c r="D141" s="1" t="s">
        <v>7</v>
      </c>
      <c r="E141" s="1">
        <v>39</v>
      </c>
      <c r="F141" s="1" t="s">
        <v>6</v>
      </c>
      <c r="G141" s="44">
        <f t="shared" si="4"/>
        <v>0</v>
      </c>
      <c r="H141" s="10" t="str">
        <f t="shared" si="5"/>
        <v>Monday</v>
      </c>
    </row>
    <row r="142" spans="1:8">
      <c r="A142" s="9">
        <v>155265877</v>
      </c>
      <c r="B142" s="6">
        <v>44823</v>
      </c>
      <c r="C142" s="6">
        <v>44967</v>
      </c>
      <c r="D142" s="1" t="s">
        <v>7</v>
      </c>
      <c r="E142" s="1">
        <v>39</v>
      </c>
      <c r="F142" s="1" t="s">
        <v>6</v>
      </c>
      <c r="G142" s="44">
        <f t="shared" si="4"/>
        <v>144</v>
      </c>
      <c r="H142" s="10" t="str">
        <f t="shared" si="5"/>
        <v>Monday</v>
      </c>
    </row>
    <row r="143" spans="1:8">
      <c r="A143" s="9">
        <v>155916753</v>
      </c>
      <c r="B143" s="6">
        <v>44823</v>
      </c>
      <c r="C143" s="6">
        <v>44976</v>
      </c>
      <c r="D143" s="1" t="s">
        <v>7</v>
      </c>
      <c r="E143" s="1">
        <v>39</v>
      </c>
      <c r="F143" s="1" t="s">
        <v>6</v>
      </c>
      <c r="G143" s="44">
        <f t="shared" si="4"/>
        <v>153</v>
      </c>
      <c r="H143" s="10" t="str">
        <f t="shared" si="5"/>
        <v>Monday</v>
      </c>
    </row>
    <row r="144" spans="1:8">
      <c r="A144" s="9">
        <v>155927984</v>
      </c>
      <c r="B144" s="6">
        <v>44823</v>
      </c>
      <c r="C144" s="6">
        <v>44912</v>
      </c>
      <c r="D144" s="1" t="s">
        <v>7</v>
      </c>
      <c r="E144" s="1">
        <v>39</v>
      </c>
      <c r="F144" s="1" t="s">
        <v>6</v>
      </c>
      <c r="G144" s="44">
        <f t="shared" si="4"/>
        <v>89</v>
      </c>
      <c r="H144" s="10" t="str">
        <f t="shared" si="5"/>
        <v>Monday</v>
      </c>
    </row>
    <row r="145" spans="1:8">
      <c r="A145" s="9">
        <v>155876104</v>
      </c>
      <c r="B145" s="6">
        <v>44823</v>
      </c>
      <c r="C145" s="6">
        <v>44909</v>
      </c>
      <c r="D145" s="1" t="s">
        <v>7</v>
      </c>
      <c r="E145" s="1">
        <v>39</v>
      </c>
      <c r="F145" s="1" t="s">
        <v>6</v>
      </c>
      <c r="G145" s="44">
        <f t="shared" si="4"/>
        <v>86</v>
      </c>
      <c r="H145" s="10" t="str">
        <f t="shared" si="5"/>
        <v>Monday</v>
      </c>
    </row>
    <row r="146" spans="1:8">
      <c r="A146" s="9">
        <v>155733164</v>
      </c>
      <c r="B146" s="6">
        <v>44823</v>
      </c>
      <c r="C146" s="6">
        <v>44823</v>
      </c>
      <c r="D146" s="1" t="s">
        <v>7</v>
      </c>
      <c r="E146" s="1">
        <v>39</v>
      </c>
      <c r="F146" s="1" t="s">
        <v>6</v>
      </c>
      <c r="G146" s="44">
        <f t="shared" si="4"/>
        <v>0</v>
      </c>
      <c r="H146" s="10" t="str">
        <f t="shared" si="5"/>
        <v>Monday</v>
      </c>
    </row>
    <row r="147" spans="1:8">
      <c r="A147" s="9">
        <v>153832728</v>
      </c>
      <c r="B147" s="6">
        <v>44823</v>
      </c>
      <c r="C147" s="6">
        <v>44852</v>
      </c>
      <c r="D147" s="1" t="s">
        <v>7</v>
      </c>
      <c r="E147" s="1">
        <v>39</v>
      </c>
      <c r="F147" s="1" t="s">
        <v>6</v>
      </c>
      <c r="G147" s="44">
        <f t="shared" si="4"/>
        <v>29</v>
      </c>
      <c r="H147" s="10" t="str">
        <f t="shared" si="5"/>
        <v>Monday</v>
      </c>
    </row>
    <row r="148" spans="1:8">
      <c r="A148" s="9">
        <v>155876188</v>
      </c>
      <c r="B148" s="6">
        <v>44823</v>
      </c>
      <c r="C148" s="6">
        <v>44854</v>
      </c>
      <c r="D148" s="1" t="s">
        <v>7</v>
      </c>
      <c r="E148" s="1">
        <v>39</v>
      </c>
      <c r="F148" s="1" t="s">
        <v>6</v>
      </c>
      <c r="G148" s="44">
        <f t="shared" si="4"/>
        <v>31</v>
      </c>
      <c r="H148" s="10" t="str">
        <f t="shared" si="5"/>
        <v>Monday</v>
      </c>
    </row>
    <row r="149" spans="1:8">
      <c r="A149" s="9">
        <v>150687940</v>
      </c>
      <c r="B149" s="6">
        <v>44823</v>
      </c>
      <c r="C149" s="6">
        <v>44852</v>
      </c>
      <c r="D149" s="1" t="s">
        <v>7</v>
      </c>
      <c r="E149" s="1">
        <v>39</v>
      </c>
      <c r="F149" s="1" t="s">
        <v>6</v>
      </c>
      <c r="G149" s="44">
        <f t="shared" si="4"/>
        <v>29</v>
      </c>
      <c r="H149" s="10" t="str">
        <f t="shared" si="5"/>
        <v>Monday</v>
      </c>
    </row>
    <row r="150" spans="1:8">
      <c r="A150" s="9">
        <v>155967446</v>
      </c>
      <c r="B150" s="6">
        <v>44824</v>
      </c>
      <c r="C150" s="1"/>
      <c r="D150" s="1" t="s">
        <v>7</v>
      </c>
      <c r="E150" s="1">
        <v>39</v>
      </c>
      <c r="F150" s="1" t="s">
        <v>6</v>
      </c>
      <c r="G150" s="44" t="str">
        <f t="shared" si="4"/>
        <v/>
      </c>
      <c r="H150" s="10" t="str">
        <f t="shared" si="5"/>
        <v>Tuesday</v>
      </c>
    </row>
    <row r="151" spans="1:8">
      <c r="A151" s="9">
        <v>155687378</v>
      </c>
      <c r="B151" s="6">
        <v>44824</v>
      </c>
      <c r="C151" s="6">
        <v>45012</v>
      </c>
      <c r="D151" s="1" t="s">
        <v>7</v>
      </c>
      <c r="E151" s="1">
        <v>39</v>
      </c>
      <c r="F151" s="1" t="s">
        <v>6</v>
      </c>
      <c r="G151" s="44">
        <f t="shared" si="4"/>
        <v>188</v>
      </c>
      <c r="H151" s="10" t="str">
        <f t="shared" si="5"/>
        <v>Tuesday</v>
      </c>
    </row>
    <row r="152" spans="1:8">
      <c r="A152" s="9">
        <v>156020667</v>
      </c>
      <c r="B152" s="6">
        <v>44824</v>
      </c>
      <c r="C152" s="6">
        <v>45055</v>
      </c>
      <c r="D152" s="1" t="s">
        <v>7</v>
      </c>
      <c r="E152" s="1">
        <v>39</v>
      </c>
      <c r="F152" s="1" t="s">
        <v>6</v>
      </c>
      <c r="G152" s="44">
        <f t="shared" si="4"/>
        <v>231</v>
      </c>
      <c r="H152" s="10" t="str">
        <f t="shared" si="5"/>
        <v>Tuesday</v>
      </c>
    </row>
    <row r="153" spans="1:8">
      <c r="A153" s="9">
        <v>155869412</v>
      </c>
      <c r="B153" s="6">
        <v>44824</v>
      </c>
      <c r="C153" s="6">
        <v>44916</v>
      </c>
      <c r="D153" s="1" t="s">
        <v>7</v>
      </c>
      <c r="E153" s="1">
        <v>39</v>
      </c>
      <c r="F153" s="1" t="s">
        <v>6</v>
      </c>
      <c r="G153" s="44">
        <f t="shared" si="4"/>
        <v>92</v>
      </c>
      <c r="H153" s="10" t="str">
        <f t="shared" si="5"/>
        <v>Tuesday</v>
      </c>
    </row>
    <row r="154" spans="1:8">
      <c r="A154" s="9">
        <v>156042204</v>
      </c>
      <c r="B154" s="6">
        <v>44824</v>
      </c>
      <c r="C154" s="6">
        <v>44873</v>
      </c>
      <c r="D154" s="1" t="s">
        <v>7</v>
      </c>
      <c r="E154" s="1">
        <v>39</v>
      </c>
      <c r="F154" s="1" t="s">
        <v>6</v>
      </c>
      <c r="G154" s="44">
        <f t="shared" si="4"/>
        <v>49</v>
      </c>
      <c r="H154" s="10" t="str">
        <f t="shared" si="5"/>
        <v>Tuesday</v>
      </c>
    </row>
    <row r="155" spans="1:8">
      <c r="A155" s="9">
        <v>153568990</v>
      </c>
      <c r="B155" s="6">
        <v>44824</v>
      </c>
      <c r="C155" s="6">
        <v>44834</v>
      </c>
      <c r="D155" s="1" t="s">
        <v>7</v>
      </c>
      <c r="E155" s="1">
        <v>39</v>
      </c>
      <c r="F155" s="1" t="s">
        <v>6</v>
      </c>
      <c r="G155" s="44">
        <f t="shared" si="4"/>
        <v>10</v>
      </c>
      <c r="H155" s="10" t="str">
        <f t="shared" si="5"/>
        <v>Tuesday</v>
      </c>
    </row>
    <row r="156" spans="1:8">
      <c r="A156" s="9">
        <v>155327111</v>
      </c>
      <c r="B156" s="6">
        <v>44824</v>
      </c>
      <c r="C156" s="6">
        <v>44865</v>
      </c>
      <c r="D156" s="1" t="s">
        <v>7</v>
      </c>
      <c r="E156" s="1">
        <v>39</v>
      </c>
      <c r="F156" s="1" t="s">
        <v>6</v>
      </c>
      <c r="G156" s="44">
        <f t="shared" si="4"/>
        <v>41</v>
      </c>
      <c r="H156" s="10" t="str">
        <f t="shared" si="5"/>
        <v>Tuesday</v>
      </c>
    </row>
    <row r="157" spans="1:8">
      <c r="A157" s="9">
        <v>155270521</v>
      </c>
      <c r="B157" s="6">
        <v>44824</v>
      </c>
      <c r="C157" s="6">
        <v>45146</v>
      </c>
      <c r="D157" s="1" t="s">
        <v>7</v>
      </c>
      <c r="E157" s="1">
        <v>39</v>
      </c>
      <c r="F157" s="1" t="s">
        <v>6</v>
      </c>
      <c r="G157" s="44">
        <f t="shared" si="4"/>
        <v>322</v>
      </c>
      <c r="H157" s="10" t="str">
        <f t="shared" si="5"/>
        <v>Tuesday</v>
      </c>
    </row>
    <row r="158" spans="1:8">
      <c r="A158" s="9">
        <v>155991618</v>
      </c>
      <c r="B158" s="6">
        <v>44825</v>
      </c>
      <c r="C158" s="6">
        <v>45105</v>
      </c>
      <c r="D158" s="1" t="s">
        <v>7</v>
      </c>
      <c r="E158" s="1">
        <v>39</v>
      </c>
      <c r="F158" s="1" t="s">
        <v>6</v>
      </c>
      <c r="G158" s="44">
        <f t="shared" si="4"/>
        <v>280</v>
      </c>
      <c r="H158" s="10" t="str">
        <f t="shared" si="5"/>
        <v>Wednesday</v>
      </c>
    </row>
    <row r="159" spans="1:8">
      <c r="A159" s="9">
        <v>156045144</v>
      </c>
      <c r="B159" s="6">
        <v>44825</v>
      </c>
      <c r="C159" s="6">
        <v>44901</v>
      </c>
      <c r="D159" s="1" t="s">
        <v>7</v>
      </c>
      <c r="E159" s="1">
        <v>39</v>
      </c>
      <c r="F159" s="1" t="s">
        <v>6</v>
      </c>
      <c r="G159" s="44">
        <f t="shared" si="4"/>
        <v>76</v>
      </c>
      <c r="H159" s="10" t="str">
        <f t="shared" si="5"/>
        <v>Wednesday</v>
      </c>
    </row>
    <row r="160" spans="1:8">
      <c r="A160" s="9">
        <v>155439932</v>
      </c>
      <c r="B160" s="6">
        <v>44825</v>
      </c>
      <c r="C160" s="6">
        <v>44879</v>
      </c>
      <c r="D160" s="1" t="s">
        <v>7</v>
      </c>
      <c r="E160" s="1">
        <v>39</v>
      </c>
      <c r="F160" s="1" t="s">
        <v>6</v>
      </c>
      <c r="G160" s="44">
        <f t="shared" si="4"/>
        <v>54</v>
      </c>
      <c r="H160" s="10" t="str">
        <f t="shared" si="5"/>
        <v>Wednesday</v>
      </c>
    </row>
    <row r="161" spans="1:8">
      <c r="A161" s="9">
        <v>152674430</v>
      </c>
      <c r="B161" s="6">
        <v>44825</v>
      </c>
      <c r="C161" s="6">
        <v>44837</v>
      </c>
      <c r="D161" s="1" t="s">
        <v>7</v>
      </c>
      <c r="E161" s="1">
        <v>39</v>
      </c>
      <c r="F161" s="1" t="s">
        <v>6</v>
      </c>
      <c r="G161" s="44">
        <f t="shared" si="4"/>
        <v>12</v>
      </c>
      <c r="H161" s="10" t="str">
        <f t="shared" si="5"/>
        <v>Wednesday</v>
      </c>
    </row>
    <row r="162" spans="1:8">
      <c r="A162" s="9">
        <v>156135106</v>
      </c>
      <c r="B162" s="6">
        <v>44826</v>
      </c>
      <c r="C162" s="1"/>
      <c r="D162" s="1" t="s">
        <v>7</v>
      </c>
      <c r="E162" s="1">
        <v>39</v>
      </c>
      <c r="F162" s="1" t="s">
        <v>6</v>
      </c>
      <c r="G162" s="44" t="str">
        <f t="shared" si="4"/>
        <v/>
      </c>
      <c r="H162" s="10" t="str">
        <f t="shared" si="5"/>
        <v>Thursday</v>
      </c>
    </row>
    <row r="163" spans="1:8">
      <c r="A163" s="9">
        <v>156185490</v>
      </c>
      <c r="B163" s="6">
        <v>44826</v>
      </c>
      <c r="C163" s="6">
        <v>45048</v>
      </c>
      <c r="D163" s="1" t="s">
        <v>7</v>
      </c>
      <c r="E163" s="1">
        <v>39</v>
      </c>
      <c r="F163" s="1" t="s">
        <v>6</v>
      </c>
      <c r="G163" s="44">
        <f t="shared" si="4"/>
        <v>222</v>
      </c>
      <c r="H163" s="10" t="str">
        <f t="shared" si="5"/>
        <v>Thursday</v>
      </c>
    </row>
    <row r="164" spans="1:8">
      <c r="A164" s="9">
        <v>156180312</v>
      </c>
      <c r="B164" s="6">
        <v>44826</v>
      </c>
      <c r="C164" s="6">
        <v>44880</v>
      </c>
      <c r="D164" s="1" t="s">
        <v>7</v>
      </c>
      <c r="E164" s="1">
        <v>39</v>
      </c>
      <c r="F164" s="1" t="s">
        <v>6</v>
      </c>
      <c r="G164" s="44">
        <f t="shared" si="4"/>
        <v>54</v>
      </c>
      <c r="H164" s="10" t="str">
        <f t="shared" si="5"/>
        <v>Thursday</v>
      </c>
    </row>
    <row r="165" spans="1:8">
      <c r="A165" s="9">
        <v>151263484</v>
      </c>
      <c r="B165" s="6">
        <v>44826</v>
      </c>
      <c r="C165" s="6">
        <v>44863</v>
      </c>
      <c r="D165" s="1" t="s">
        <v>7</v>
      </c>
      <c r="E165" s="1">
        <v>39</v>
      </c>
      <c r="F165" s="1" t="s">
        <v>6</v>
      </c>
      <c r="G165" s="44">
        <f t="shared" si="4"/>
        <v>37</v>
      </c>
      <c r="H165" s="10" t="str">
        <f t="shared" si="5"/>
        <v>Thursday</v>
      </c>
    </row>
    <row r="166" spans="1:8">
      <c r="A166" s="9">
        <v>156008989</v>
      </c>
      <c r="B166" s="6">
        <v>44826</v>
      </c>
      <c r="C166" s="6">
        <v>44855</v>
      </c>
      <c r="D166" s="1" t="s">
        <v>7</v>
      </c>
      <c r="E166" s="1">
        <v>39</v>
      </c>
      <c r="F166" s="1" t="s">
        <v>6</v>
      </c>
      <c r="G166" s="44">
        <f t="shared" si="4"/>
        <v>29</v>
      </c>
      <c r="H166" s="10" t="str">
        <f t="shared" si="5"/>
        <v>Thursday</v>
      </c>
    </row>
    <row r="167" spans="1:8">
      <c r="A167" s="9">
        <v>147687218</v>
      </c>
      <c r="B167" s="6">
        <v>44826</v>
      </c>
      <c r="C167" s="6">
        <v>44863</v>
      </c>
      <c r="D167" s="1" t="s">
        <v>7</v>
      </c>
      <c r="E167" s="1">
        <v>39</v>
      </c>
      <c r="F167" s="1" t="s">
        <v>6</v>
      </c>
      <c r="G167" s="44">
        <f t="shared" si="4"/>
        <v>37</v>
      </c>
      <c r="H167" s="10" t="str">
        <f t="shared" si="5"/>
        <v>Thursday</v>
      </c>
    </row>
    <row r="168" spans="1:8">
      <c r="A168" s="9">
        <v>156235650</v>
      </c>
      <c r="B168" s="6">
        <v>44827</v>
      </c>
      <c r="C168" s="1"/>
      <c r="D168" s="1" t="s">
        <v>7</v>
      </c>
      <c r="E168" s="1">
        <v>39</v>
      </c>
      <c r="F168" s="1" t="s">
        <v>6</v>
      </c>
      <c r="G168" s="44" t="str">
        <f t="shared" si="4"/>
        <v/>
      </c>
      <c r="H168" s="10" t="str">
        <f t="shared" si="5"/>
        <v>Friday</v>
      </c>
    </row>
    <row r="169" spans="1:8">
      <c r="A169" s="9">
        <v>131128612</v>
      </c>
      <c r="B169" s="6">
        <v>44827</v>
      </c>
      <c r="C169" s="6">
        <v>44942</v>
      </c>
      <c r="D169" s="1" t="s">
        <v>7</v>
      </c>
      <c r="E169" s="1">
        <v>39</v>
      </c>
      <c r="F169" s="1" t="s">
        <v>6</v>
      </c>
      <c r="G169" s="44">
        <f t="shared" si="4"/>
        <v>115</v>
      </c>
      <c r="H169" s="10" t="str">
        <f t="shared" si="5"/>
        <v>Friday</v>
      </c>
    </row>
    <row r="170" spans="1:8">
      <c r="A170" s="9">
        <v>156198840</v>
      </c>
      <c r="B170" s="6">
        <v>44827</v>
      </c>
      <c r="C170" s="6">
        <v>44947</v>
      </c>
      <c r="D170" s="1" t="s">
        <v>7</v>
      </c>
      <c r="E170" s="1">
        <v>39</v>
      </c>
      <c r="F170" s="1" t="s">
        <v>6</v>
      </c>
      <c r="G170" s="44">
        <f t="shared" si="4"/>
        <v>120</v>
      </c>
      <c r="H170" s="10" t="str">
        <f t="shared" si="5"/>
        <v>Friday</v>
      </c>
    </row>
    <row r="171" spans="1:8">
      <c r="A171" s="9">
        <v>144166296</v>
      </c>
      <c r="B171" s="6">
        <v>44827</v>
      </c>
      <c r="C171" s="6">
        <v>44853</v>
      </c>
      <c r="D171" s="1" t="s">
        <v>7</v>
      </c>
      <c r="E171" s="1">
        <v>39</v>
      </c>
      <c r="F171" s="1" t="s">
        <v>6</v>
      </c>
      <c r="G171" s="44">
        <f t="shared" si="4"/>
        <v>26</v>
      </c>
      <c r="H171" s="10" t="str">
        <f t="shared" si="5"/>
        <v>Friday</v>
      </c>
    </row>
    <row r="172" spans="1:8">
      <c r="A172" s="9">
        <v>136108848</v>
      </c>
      <c r="B172" s="6">
        <v>44827</v>
      </c>
      <c r="C172" s="6">
        <v>44895</v>
      </c>
      <c r="D172" s="1" t="s">
        <v>7</v>
      </c>
      <c r="E172" s="1">
        <v>39</v>
      </c>
      <c r="F172" s="1" t="s">
        <v>6</v>
      </c>
      <c r="G172" s="44">
        <f t="shared" si="4"/>
        <v>68</v>
      </c>
      <c r="H172" s="10" t="str">
        <f t="shared" si="5"/>
        <v>Friday</v>
      </c>
    </row>
    <row r="173" spans="1:8">
      <c r="A173" s="9">
        <v>156225482</v>
      </c>
      <c r="B173" s="6">
        <v>44827</v>
      </c>
      <c r="C173" s="6">
        <v>44848</v>
      </c>
      <c r="D173" s="1" t="s">
        <v>7</v>
      </c>
      <c r="E173" s="1">
        <v>39</v>
      </c>
      <c r="F173" s="1" t="s">
        <v>6</v>
      </c>
      <c r="G173" s="44">
        <f t="shared" si="4"/>
        <v>21</v>
      </c>
      <c r="H173" s="10" t="str">
        <f t="shared" si="5"/>
        <v>Friday</v>
      </c>
    </row>
    <row r="174" spans="1:8">
      <c r="A174" s="9">
        <v>156209360</v>
      </c>
      <c r="B174" s="6">
        <v>44827</v>
      </c>
      <c r="C174" s="6">
        <v>44864</v>
      </c>
      <c r="D174" s="1" t="s">
        <v>7</v>
      </c>
      <c r="E174" s="1">
        <v>39</v>
      </c>
      <c r="F174" s="1" t="s">
        <v>6</v>
      </c>
      <c r="G174" s="44">
        <f t="shared" si="4"/>
        <v>37</v>
      </c>
      <c r="H174" s="10" t="str">
        <f t="shared" si="5"/>
        <v>Friday</v>
      </c>
    </row>
    <row r="175" spans="1:8">
      <c r="A175" s="9">
        <v>153492199</v>
      </c>
      <c r="B175" s="6">
        <v>44828</v>
      </c>
      <c r="C175" s="6">
        <v>44896</v>
      </c>
      <c r="D175" s="1" t="s">
        <v>7</v>
      </c>
      <c r="E175" s="1">
        <v>39</v>
      </c>
      <c r="F175" s="1" t="s">
        <v>6</v>
      </c>
      <c r="G175" s="44">
        <f t="shared" si="4"/>
        <v>68</v>
      </c>
      <c r="H175" s="10" t="str">
        <f t="shared" si="5"/>
        <v>Saturday</v>
      </c>
    </row>
    <row r="176" spans="1:8">
      <c r="A176" s="9">
        <v>156127439</v>
      </c>
      <c r="B176" s="6">
        <v>44828</v>
      </c>
      <c r="C176" s="6">
        <v>44866</v>
      </c>
      <c r="D176" s="1" t="s">
        <v>7</v>
      </c>
      <c r="E176" s="1">
        <v>39</v>
      </c>
      <c r="F176" s="1" t="s">
        <v>6</v>
      </c>
      <c r="G176" s="44">
        <f t="shared" si="4"/>
        <v>38</v>
      </c>
      <c r="H176" s="10" t="str">
        <f t="shared" si="5"/>
        <v>Saturday</v>
      </c>
    </row>
    <row r="177" spans="1:8">
      <c r="A177" s="9">
        <v>156197748</v>
      </c>
      <c r="B177" s="6">
        <v>44828</v>
      </c>
      <c r="C177" s="6">
        <v>44860</v>
      </c>
      <c r="D177" s="1" t="s">
        <v>7</v>
      </c>
      <c r="E177" s="1">
        <v>39</v>
      </c>
      <c r="F177" s="1" t="s">
        <v>6</v>
      </c>
      <c r="G177" s="44">
        <f t="shared" si="4"/>
        <v>32</v>
      </c>
      <c r="H177" s="10" t="str">
        <f t="shared" si="5"/>
        <v>Saturday</v>
      </c>
    </row>
    <row r="178" spans="1:8">
      <c r="A178" s="9">
        <v>156292980</v>
      </c>
      <c r="B178" s="6">
        <v>44829</v>
      </c>
      <c r="C178" s="1"/>
      <c r="D178" s="1" t="s">
        <v>7</v>
      </c>
      <c r="E178" s="1">
        <v>39</v>
      </c>
      <c r="F178" s="1" t="s">
        <v>6</v>
      </c>
      <c r="G178" s="44" t="str">
        <f t="shared" si="4"/>
        <v/>
      </c>
      <c r="H178" s="10" t="str">
        <f t="shared" si="5"/>
        <v>Sunday</v>
      </c>
    </row>
    <row r="179" spans="1:8">
      <c r="A179" s="9">
        <v>129284681</v>
      </c>
      <c r="B179" s="6">
        <v>44829</v>
      </c>
      <c r="C179" s="6">
        <v>44866</v>
      </c>
      <c r="D179" s="1" t="s">
        <v>7</v>
      </c>
      <c r="E179" s="1">
        <v>39</v>
      </c>
      <c r="F179" s="1" t="s">
        <v>6</v>
      </c>
      <c r="G179" s="44">
        <f t="shared" si="4"/>
        <v>37</v>
      </c>
      <c r="H179" s="10" t="str">
        <f t="shared" si="5"/>
        <v>Sunday</v>
      </c>
    </row>
    <row r="180" spans="1:8">
      <c r="A180" s="9">
        <v>156249750</v>
      </c>
      <c r="B180" s="6">
        <v>44829</v>
      </c>
      <c r="C180" s="6">
        <v>44867</v>
      </c>
      <c r="D180" s="1" t="s">
        <v>7</v>
      </c>
      <c r="E180" s="1">
        <v>39</v>
      </c>
      <c r="F180" s="1" t="s">
        <v>6</v>
      </c>
      <c r="G180" s="44">
        <f t="shared" si="4"/>
        <v>38</v>
      </c>
      <c r="H180" s="10" t="str">
        <f t="shared" si="5"/>
        <v>Sunday</v>
      </c>
    </row>
    <row r="181" spans="1:8">
      <c r="A181" s="9">
        <v>155143974</v>
      </c>
      <c r="B181" s="6">
        <v>44829</v>
      </c>
      <c r="C181" s="6">
        <v>44883</v>
      </c>
      <c r="D181" s="1" t="s">
        <v>7</v>
      </c>
      <c r="E181" s="1">
        <v>39</v>
      </c>
      <c r="F181" s="1" t="s">
        <v>6</v>
      </c>
      <c r="G181" s="44">
        <f t="shared" si="4"/>
        <v>54</v>
      </c>
      <c r="H181" s="10" t="str">
        <f t="shared" si="5"/>
        <v>Sunday</v>
      </c>
    </row>
    <row r="182" spans="1:8">
      <c r="A182" s="9">
        <v>151354965</v>
      </c>
      <c r="B182" s="6">
        <v>44829</v>
      </c>
      <c r="C182" s="6">
        <v>44863</v>
      </c>
      <c r="D182" s="1" t="s">
        <v>7</v>
      </c>
      <c r="E182" s="1">
        <v>39</v>
      </c>
      <c r="F182" s="1" t="s">
        <v>6</v>
      </c>
      <c r="G182" s="44">
        <f t="shared" si="4"/>
        <v>34</v>
      </c>
      <c r="H182" s="10" t="str">
        <f t="shared" si="5"/>
        <v>Sunday</v>
      </c>
    </row>
    <row r="183" spans="1:8">
      <c r="A183" s="9">
        <v>156178486</v>
      </c>
      <c r="B183" s="6">
        <v>44829</v>
      </c>
      <c r="C183" s="6">
        <v>44858</v>
      </c>
      <c r="D183" s="1" t="s">
        <v>7</v>
      </c>
      <c r="E183" s="1">
        <v>39</v>
      </c>
      <c r="F183" s="1" t="s">
        <v>6</v>
      </c>
      <c r="G183" s="44">
        <f t="shared" si="4"/>
        <v>29</v>
      </c>
      <c r="H183" s="10" t="str">
        <f t="shared" si="5"/>
        <v>Sunday</v>
      </c>
    </row>
    <row r="184" spans="1:8">
      <c r="A184" s="9">
        <v>132314522</v>
      </c>
      <c r="B184" s="6">
        <v>44830</v>
      </c>
      <c r="C184" s="6">
        <v>44899</v>
      </c>
      <c r="D184" s="1" t="s">
        <v>7</v>
      </c>
      <c r="E184" s="1">
        <v>39</v>
      </c>
      <c r="F184" s="1" t="s">
        <v>6</v>
      </c>
      <c r="G184" s="44">
        <f t="shared" si="4"/>
        <v>69</v>
      </c>
      <c r="H184" s="10" t="str">
        <f t="shared" si="5"/>
        <v>Monday</v>
      </c>
    </row>
    <row r="185" spans="1:8">
      <c r="A185" s="9">
        <v>152505897</v>
      </c>
      <c r="B185" s="6">
        <v>44830</v>
      </c>
      <c r="C185" s="6">
        <v>45023</v>
      </c>
      <c r="D185" s="1" t="s">
        <v>7</v>
      </c>
      <c r="E185" s="1">
        <v>39</v>
      </c>
      <c r="F185" s="1" t="s">
        <v>6</v>
      </c>
      <c r="G185" s="44">
        <f t="shared" si="4"/>
        <v>193</v>
      </c>
      <c r="H185" s="10" t="str">
        <f t="shared" si="5"/>
        <v>Monday</v>
      </c>
    </row>
    <row r="186" spans="1:8">
      <c r="A186" s="9">
        <v>151086770</v>
      </c>
      <c r="B186" s="6">
        <v>44830</v>
      </c>
      <c r="C186" s="6">
        <v>44949</v>
      </c>
      <c r="D186" s="1" t="s">
        <v>7</v>
      </c>
      <c r="E186" s="1">
        <v>39</v>
      </c>
      <c r="F186" s="1" t="s">
        <v>6</v>
      </c>
      <c r="G186" s="44">
        <f t="shared" si="4"/>
        <v>119</v>
      </c>
      <c r="H186" s="10" t="str">
        <f t="shared" si="5"/>
        <v>Monday</v>
      </c>
    </row>
    <row r="187" spans="1:8">
      <c r="A187" s="9">
        <v>148713821</v>
      </c>
      <c r="B187" s="6">
        <v>44830</v>
      </c>
      <c r="C187" s="6">
        <v>44967</v>
      </c>
      <c r="D187" s="1" t="s">
        <v>7</v>
      </c>
      <c r="E187" s="1">
        <v>39</v>
      </c>
      <c r="F187" s="1" t="s">
        <v>6</v>
      </c>
      <c r="G187" s="44">
        <f t="shared" si="4"/>
        <v>137</v>
      </c>
      <c r="H187" s="10" t="str">
        <f t="shared" si="5"/>
        <v>Monday</v>
      </c>
    </row>
    <row r="188" spans="1:8">
      <c r="A188" s="9">
        <v>146422602</v>
      </c>
      <c r="B188" s="6">
        <v>44830</v>
      </c>
      <c r="C188" s="6">
        <v>44868</v>
      </c>
      <c r="D188" s="1" t="s">
        <v>7</v>
      </c>
      <c r="E188" s="1">
        <v>39</v>
      </c>
      <c r="F188" s="1" t="s">
        <v>6</v>
      </c>
      <c r="G188" s="44">
        <f t="shared" si="4"/>
        <v>38</v>
      </c>
      <c r="H188" s="10" t="str">
        <f t="shared" si="5"/>
        <v>Monday</v>
      </c>
    </row>
    <row r="189" spans="1:8">
      <c r="A189" s="9">
        <v>156460574</v>
      </c>
      <c r="B189" s="6">
        <v>44830</v>
      </c>
      <c r="C189" s="6">
        <v>44882</v>
      </c>
      <c r="D189" s="1" t="s">
        <v>7</v>
      </c>
      <c r="E189" s="1">
        <v>39</v>
      </c>
      <c r="F189" s="1" t="s">
        <v>6</v>
      </c>
      <c r="G189" s="44">
        <f t="shared" si="4"/>
        <v>52</v>
      </c>
      <c r="H189" s="10" t="str">
        <f t="shared" si="5"/>
        <v>Monday</v>
      </c>
    </row>
    <row r="190" spans="1:8">
      <c r="A190" s="9">
        <v>156364063</v>
      </c>
      <c r="B190" s="6">
        <v>44830</v>
      </c>
      <c r="C190" s="6">
        <v>44879</v>
      </c>
      <c r="D190" s="1" t="s">
        <v>7</v>
      </c>
      <c r="E190" s="1">
        <v>39</v>
      </c>
      <c r="F190" s="1" t="s">
        <v>6</v>
      </c>
      <c r="G190" s="44">
        <f t="shared" si="4"/>
        <v>49</v>
      </c>
      <c r="H190" s="10" t="str">
        <f t="shared" si="5"/>
        <v>Monday</v>
      </c>
    </row>
    <row r="191" spans="1:8">
      <c r="A191" s="9">
        <v>149139298</v>
      </c>
      <c r="B191" s="6">
        <v>44830</v>
      </c>
      <c r="C191" s="6">
        <v>44860</v>
      </c>
      <c r="D191" s="1" t="s">
        <v>7</v>
      </c>
      <c r="E191" s="1">
        <v>39</v>
      </c>
      <c r="F191" s="1" t="s">
        <v>6</v>
      </c>
      <c r="G191" s="44">
        <f t="shared" si="4"/>
        <v>30</v>
      </c>
      <c r="H191" s="10" t="str">
        <f t="shared" si="5"/>
        <v>Monday</v>
      </c>
    </row>
    <row r="192" spans="1:8">
      <c r="A192" s="9">
        <v>156371514</v>
      </c>
      <c r="B192" s="6">
        <v>44830</v>
      </c>
      <c r="C192" s="6">
        <v>44858</v>
      </c>
      <c r="D192" s="1" t="s">
        <v>7</v>
      </c>
      <c r="E192" s="1">
        <v>39</v>
      </c>
      <c r="F192" s="1" t="s">
        <v>6</v>
      </c>
      <c r="G192" s="44">
        <f t="shared" si="4"/>
        <v>28</v>
      </c>
      <c r="H192" s="10" t="str">
        <f t="shared" si="5"/>
        <v>Monday</v>
      </c>
    </row>
    <row r="193" spans="1:8">
      <c r="A193" s="9">
        <v>156423167</v>
      </c>
      <c r="B193" s="6">
        <v>44831</v>
      </c>
      <c r="C193" s="6">
        <v>44944</v>
      </c>
      <c r="D193" s="1" t="s">
        <v>7</v>
      </c>
      <c r="E193" s="1">
        <v>39</v>
      </c>
      <c r="F193" s="1" t="s">
        <v>6</v>
      </c>
      <c r="G193" s="44">
        <f t="shared" si="4"/>
        <v>113</v>
      </c>
      <c r="H193" s="10" t="str">
        <f t="shared" si="5"/>
        <v>Tuesday</v>
      </c>
    </row>
    <row r="194" spans="1:8">
      <c r="A194" s="9">
        <v>155199164</v>
      </c>
      <c r="B194" s="6">
        <v>44831</v>
      </c>
      <c r="C194" s="6">
        <v>44929</v>
      </c>
      <c r="D194" s="1" t="s">
        <v>7</v>
      </c>
      <c r="E194" s="1">
        <v>39</v>
      </c>
      <c r="F194" s="1" t="s">
        <v>6</v>
      </c>
      <c r="G194" s="44">
        <f t="shared" si="4"/>
        <v>98</v>
      </c>
      <c r="H194" s="10" t="str">
        <f t="shared" si="5"/>
        <v>Tuesday</v>
      </c>
    </row>
    <row r="195" spans="1:8">
      <c r="A195" s="9">
        <v>156373191</v>
      </c>
      <c r="B195" s="6">
        <v>44831</v>
      </c>
      <c r="C195" s="6">
        <v>44923</v>
      </c>
      <c r="D195" s="1" t="s">
        <v>7</v>
      </c>
      <c r="E195" s="1">
        <v>39</v>
      </c>
      <c r="F195" s="1" t="s">
        <v>6</v>
      </c>
      <c r="G195" s="44">
        <f t="shared" ref="G195:G258" si="6">IF(C195="", "", DATEDIF(B195, C195, "D"))</f>
        <v>92</v>
      </c>
      <c r="H195" s="10" t="str">
        <f t="shared" ref="H195:H258" si="7">TEXT(B195, "dddd")</f>
        <v>Tuesday</v>
      </c>
    </row>
    <row r="196" spans="1:8">
      <c r="A196" s="9">
        <v>156517374</v>
      </c>
      <c r="B196" s="6">
        <v>44831</v>
      </c>
      <c r="C196" s="6">
        <v>44831</v>
      </c>
      <c r="D196" s="1" t="s">
        <v>7</v>
      </c>
      <c r="E196" s="1">
        <v>39</v>
      </c>
      <c r="F196" s="1" t="s">
        <v>6</v>
      </c>
      <c r="G196" s="44">
        <f t="shared" si="6"/>
        <v>0</v>
      </c>
      <c r="H196" s="10" t="str">
        <f t="shared" si="7"/>
        <v>Tuesday</v>
      </c>
    </row>
    <row r="197" spans="1:8">
      <c r="A197" s="9">
        <v>156032089</v>
      </c>
      <c r="B197" s="6">
        <v>44832</v>
      </c>
      <c r="C197" s="1"/>
      <c r="D197" s="1" t="s">
        <v>7</v>
      </c>
      <c r="E197" s="1">
        <v>39</v>
      </c>
      <c r="F197" s="1" t="s">
        <v>6</v>
      </c>
      <c r="G197" s="44" t="str">
        <f t="shared" si="6"/>
        <v/>
      </c>
      <c r="H197" s="10" t="str">
        <f t="shared" si="7"/>
        <v>Wednesday</v>
      </c>
    </row>
    <row r="198" spans="1:8">
      <c r="A198" s="9">
        <v>154563706</v>
      </c>
      <c r="B198" s="6">
        <v>44832</v>
      </c>
      <c r="C198" s="6">
        <v>45010</v>
      </c>
      <c r="D198" s="1" t="s">
        <v>7</v>
      </c>
      <c r="E198" s="1">
        <v>39</v>
      </c>
      <c r="F198" s="1" t="s">
        <v>6</v>
      </c>
      <c r="G198" s="44">
        <f t="shared" si="6"/>
        <v>178</v>
      </c>
      <c r="H198" s="10" t="str">
        <f t="shared" si="7"/>
        <v>Wednesday</v>
      </c>
    </row>
    <row r="199" spans="1:8">
      <c r="A199" s="9">
        <v>124481723</v>
      </c>
      <c r="B199" s="6">
        <v>44832</v>
      </c>
      <c r="C199" s="6">
        <v>44887</v>
      </c>
      <c r="D199" s="1" t="s">
        <v>7</v>
      </c>
      <c r="E199" s="1">
        <v>39</v>
      </c>
      <c r="F199" s="1" t="s">
        <v>6</v>
      </c>
      <c r="G199" s="44">
        <f t="shared" si="6"/>
        <v>55</v>
      </c>
      <c r="H199" s="10" t="str">
        <f t="shared" si="7"/>
        <v>Wednesday</v>
      </c>
    </row>
    <row r="200" spans="1:8">
      <c r="A200" s="9">
        <v>146861757</v>
      </c>
      <c r="B200" s="6">
        <v>44832</v>
      </c>
      <c r="C200" s="6">
        <v>44917</v>
      </c>
      <c r="D200" s="1" t="s">
        <v>7</v>
      </c>
      <c r="E200" s="1">
        <v>39</v>
      </c>
      <c r="F200" s="1" t="s">
        <v>6</v>
      </c>
      <c r="G200" s="44">
        <f t="shared" si="6"/>
        <v>85</v>
      </c>
      <c r="H200" s="10" t="str">
        <f t="shared" si="7"/>
        <v>Wednesday</v>
      </c>
    </row>
    <row r="201" spans="1:8">
      <c r="A201" s="9">
        <v>152476124</v>
      </c>
      <c r="B201" s="6">
        <v>44832</v>
      </c>
      <c r="C201" s="6">
        <v>44893</v>
      </c>
      <c r="D201" s="1" t="s">
        <v>7</v>
      </c>
      <c r="E201" s="1">
        <v>39</v>
      </c>
      <c r="F201" s="1" t="s">
        <v>6</v>
      </c>
      <c r="G201" s="44">
        <f t="shared" si="6"/>
        <v>61</v>
      </c>
      <c r="H201" s="10" t="str">
        <f t="shared" si="7"/>
        <v>Wednesday</v>
      </c>
    </row>
    <row r="202" spans="1:8">
      <c r="A202" s="9">
        <v>156192628</v>
      </c>
      <c r="B202" s="6">
        <v>44832</v>
      </c>
      <c r="C202" s="6">
        <v>44885</v>
      </c>
      <c r="D202" s="1" t="s">
        <v>7</v>
      </c>
      <c r="E202" s="1">
        <v>39</v>
      </c>
      <c r="F202" s="1" t="s">
        <v>6</v>
      </c>
      <c r="G202" s="44">
        <f t="shared" si="6"/>
        <v>53</v>
      </c>
      <c r="H202" s="10" t="str">
        <f t="shared" si="7"/>
        <v>Wednesday</v>
      </c>
    </row>
    <row r="203" spans="1:8">
      <c r="A203" s="9">
        <v>152109538</v>
      </c>
      <c r="B203" s="6">
        <v>44832</v>
      </c>
      <c r="C203" s="6">
        <v>44853</v>
      </c>
      <c r="D203" s="1" t="s">
        <v>7</v>
      </c>
      <c r="E203" s="1">
        <v>39</v>
      </c>
      <c r="F203" s="1" t="s">
        <v>6</v>
      </c>
      <c r="G203" s="44">
        <f t="shared" si="6"/>
        <v>21</v>
      </c>
      <c r="H203" s="10" t="str">
        <f t="shared" si="7"/>
        <v>Wednesday</v>
      </c>
    </row>
    <row r="204" spans="1:8">
      <c r="A204" s="9">
        <v>156659071</v>
      </c>
      <c r="B204" s="6">
        <v>44832</v>
      </c>
      <c r="C204" s="6">
        <v>44833</v>
      </c>
      <c r="D204" s="1" t="s">
        <v>7</v>
      </c>
      <c r="E204" s="1">
        <v>39</v>
      </c>
      <c r="F204" s="1" t="s">
        <v>6</v>
      </c>
      <c r="G204" s="44">
        <f t="shared" si="6"/>
        <v>1</v>
      </c>
      <c r="H204" s="10" t="str">
        <f t="shared" si="7"/>
        <v>Wednesday</v>
      </c>
    </row>
    <row r="205" spans="1:8">
      <c r="A205" s="9">
        <v>156717075</v>
      </c>
      <c r="B205" s="6">
        <v>44833</v>
      </c>
      <c r="C205" s="6">
        <v>45030</v>
      </c>
      <c r="D205" s="1" t="s">
        <v>7</v>
      </c>
      <c r="E205" s="1">
        <v>39</v>
      </c>
      <c r="F205" s="1" t="s">
        <v>6</v>
      </c>
      <c r="G205" s="44">
        <f t="shared" si="6"/>
        <v>197</v>
      </c>
      <c r="H205" s="10" t="str">
        <f t="shared" si="7"/>
        <v>Thursday</v>
      </c>
    </row>
    <row r="206" spans="1:8">
      <c r="A206" s="9">
        <v>156715443</v>
      </c>
      <c r="B206" s="6">
        <v>44833</v>
      </c>
      <c r="C206" s="6">
        <v>44924</v>
      </c>
      <c r="D206" s="1" t="s">
        <v>7</v>
      </c>
      <c r="E206" s="1">
        <v>39</v>
      </c>
      <c r="F206" s="1" t="s">
        <v>6</v>
      </c>
      <c r="G206" s="44">
        <f t="shared" si="6"/>
        <v>91</v>
      </c>
      <c r="H206" s="10" t="str">
        <f t="shared" si="7"/>
        <v>Thursday</v>
      </c>
    </row>
    <row r="207" spans="1:8">
      <c r="A207" s="9">
        <v>147656952</v>
      </c>
      <c r="B207" s="6">
        <v>44833</v>
      </c>
      <c r="C207" s="6">
        <v>44923</v>
      </c>
      <c r="D207" s="1" t="s">
        <v>7</v>
      </c>
      <c r="E207" s="1">
        <v>39</v>
      </c>
      <c r="F207" s="1" t="s">
        <v>6</v>
      </c>
      <c r="G207" s="44">
        <f t="shared" si="6"/>
        <v>90</v>
      </c>
      <c r="H207" s="10" t="str">
        <f t="shared" si="7"/>
        <v>Thursday</v>
      </c>
    </row>
    <row r="208" spans="1:8">
      <c r="A208" s="9">
        <v>152918862</v>
      </c>
      <c r="B208" s="6">
        <v>44833</v>
      </c>
      <c r="C208" s="6">
        <v>44885</v>
      </c>
      <c r="D208" s="1" t="s">
        <v>7</v>
      </c>
      <c r="E208" s="1">
        <v>39</v>
      </c>
      <c r="F208" s="1" t="s">
        <v>6</v>
      </c>
      <c r="G208" s="44">
        <f t="shared" si="6"/>
        <v>52</v>
      </c>
      <c r="H208" s="10" t="str">
        <f t="shared" si="7"/>
        <v>Thursday</v>
      </c>
    </row>
    <row r="209" spans="1:8">
      <c r="A209" s="9">
        <v>146866890</v>
      </c>
      <c r="B209" s="6">
        <v>44833</v>
      </c>
      <c r="C209" s="6">
        <v>44858</v>
      </c>
      <c r="D209" s="1" t="s">
        <v>7</v>
      </c>
      <c r="E209" s="1">
        <v>39</v>
      </c>
      <c r="F209" s="1" t="s">
        <v>6</v>
      </c>
      <c r="G209" s="44">
        <f t="shared" si="6"/>
        <v>25</v>
      </c>
      <c r="H209" s="10" t="str">
        <f t="shared" si="7"/>
        <v>Thursday</v>
      </c>
    </row>
    <row r="210" spans="1:8">
      <c r="A210" s="9">
        <v>151735444</v>
      </c>
      <c r="B210" s="6">
        <v>44834</v>
      </c>
      <c r="C210" s="1"/>
      <c r="D210" s="1" t="s">
        <v>7</v>
      </c>
      <c r="E210" s="1">
        <v>39</v>
      </c>
      <c r="F210" s="1" t="s">
        <v>6</v>
      </c>
      <c r="G210" s="44" t="str">
        <f t="shared" si="6"/>
        <v/>
      </c>
      <c r="H210" s="10" t="str">
        <f t="shared" si="7"/>
        <v>Friday</v>
      </c>
    </row>
    <row r="211" spans="1:8">
      <c r="A211" s="9">
        <v>155608371</v>
      </c>
      <c r="B211" s="6">
        <v>44834</v>
      </c>
      <c r="C211" s="6">
        <v>44835</v>
      </c>
      <c r="D211" s="1" t="s">
        <v>8</v>
      </c>
      <c r="E211" s="1">
        <v>39</v>
      </c>
      <c r="F211" s="1" t="s">
        <v>6</v>
      </c>
      <c r="G211" s="44">
        <f t="shared" si="6"/>
        <v>1</v>
      </c>
      <c r="H211" s="10" t="str">
        <f t="shared" si="7"/>
        <v>Friday</v>
      </c>
    </row>
    <row r="212" spans="1:8">
      <c r="A212" s="9">
        <v>156809544</v>
      </c>
      <c r="B212" s="6">
        <v>44834</v>
      </c>
      <c r="C212" s="6">
        <v>45013</v>
      </c>
      <c r="D212" s="1" t="s">
        <v>7</v>
      </c>
      <c r="E212" s="1">
        <v>39</v>
      </c>
      <c r="F212" s="1" t="s">
        <v>6</v>
      </c>
      <c r="G212" s="44">
        <f t="shared" si="6"/>
        <v>179</v>
      </c>
      <c r="H212" s="10" t="str">
        <f t="shared" si="7"/>
        <v>Friday</v>
      </c>
    </row>
    <row r="213" spans="1:8">
      <c r="A213" s="9">
        <v>156813288</v>
      </c>
      <c r="B213" s="6">
        <v>44834</v>
      </c>
      <c r="C213" s="6">
        <v>45066</v>
      </c>
      <c r="D213" s="1" t="s">
        <v>7</v>
      </c>
      <c r="E213" s="1">
        <v>39</v>
      </c>
      <c r="F213" s="1" t="s">
        <v>6</v>
      </c>
      <c r="G213" s="44">
        <f t="shared" si="6"/>
        <v>232</v>
      </c>
      <c r="H213" s="10" t="str">
        <f t="shared" si="7"/>
        <v>Friday</v>
      </c>
    </row>
    <row r="214" spans="1:8">
      <c r="A214" s="9">
        <v>156817946</v>
      </c>
      <c r="B214" s="6">
        <v>44834</v>
      </c>
      <c r="C214" s="6">
        <v>45080</v>
      </c>
      <c r="D214" s="1" t="s">
        <v>7</v>
      </c>
      <c r="E214" s="1">
        <v>39</v>
      </c>
      <c r="F214" s="1" t="s">
        <v>6</v>
      </c>
      <c r="G214" s="44">
        <f t="shared" si="6"/>
        <v>246</v>
      </c>
      <c r="H214" s="10" t="str">
        <f t="shared" si="7"/>
        <v>Friday</v>
      </c>
    </row>
    <row r="215" spans="1:8">
      <c r="A215" s="9">
        <v>156194905</v>
      </c>
      <c r="B215" s="6">
        <v>44834</v>
      </c>
      <c r="C215" s="6">
        <v>45022</v>
      </c>
      <c r="D215" s="1" t="s">
        <v>7</v>
      </c>
      <c r="E215" s="1">
        <v>39</v>
      </c>
      <c r="F215" s="1" t="s">
        <v>6</v>
      </c>
      <c r="G215" s="44">
        <f t="shared" si="6"/>
        <v>188</v>
      </c>
      <c r="H215" s="10" t="str">
        <f t="shared" si="7"/>
        <v>Friday</v>
      </c>
    </row>
    <row r="216" spans="1:8">
      <c r="A216" s="9">
        <v>148568942</v>
      </c>
      <c r="B216" s="6">
        <v>44834</v>
      </c>
      <c r="C216" s="6">
        <v>44932</v>
      </c>
      <c r="D216" s="1" t="s">
        <v>7</v>
      </c>
      <c r="E216" s="1">
        <v>39</v>
      </c>
      <c r="F216" s="1" t="s">
        <v>6</v>
      </c>
      <c r="G216" s="44">
        <f t="shared" si="6"/>
        <v>98</v>
      </c>
      <c r="H216" s="10" t="str">
        <f t="shared" si="7"/>
        <v>Friday</v>
      </c>
    </row>
    <row r="217" spans="1:8">
      <c r="A217" s="9">
        <v>151154171</v>
      </c>
      <c r="B217" s="6">
        <v>44834</v>
      </c>
      <c r="C217" s="6">
        <v>44894</v>
      </c>
      <c r="D217" s="1" t="s">
        <v>7</v>
      </c>
      <c r="E217" s="1">
        <v>39</v>
      </c>
      <c r="F217" s="1" t="s">
        <v>6</v>
      </c>
      <c r="G217" s="44">
        <f t="shared" si="6"/>
        <v>60</v>
      </c>
      <c r="H217" s="10" t="str">
        <f t="shared" si="7"/>
        <v>Friday</v>
      </c>
    </row>
    <row r="218" spans="1:8">
      <c r="A218" s="9">
        <v>122921842</v>
      </c>
      <c r="B218" s="6">
        <v>44834</v>
      </c>
      <c r="C218" s="6">
        <v>44871</v>
      </c>
      <c r="D218" s="1" t="s">
        <v>7</v>
      </c>
      <c r="E218" s="1">
        <v>39</v>
      </c>
      <c r="F218" s="1" t="s">
        <v>6</v>
      </c>
      <c r="G218" s="44">
        <f t="shared" si="6"/>
        <v>37</v>
      </c>
      <c r="H218" s="10" t="str">
        <f t="shared" si="7"/>
        <v>Friday</v>
      </c>
    </row>
    <row r="219" spans="1:8">
      <c r="A219" s="9">
        <v>156754286</v>
      </c>
      <c r="B219" s="6">
        <v>44835</v>
      </c>
      <c r="C219" s="1"/>
      <c r="D219" s="1" t="s">
        <v>7</v>
      </c>
      <c r="E219" s="1">
        <v>39</v>
      </c>
      <c r="F219" s="1" t="s">
        <v>6</v>
      </c>
      <c r="G219" s="44" t="str">
        <f t="shared" si="6"/>
        <v/>
      </c>
      <c r="H219" s="10" t="str">
        <f t="shared" si="7"/>
        <v>Saturday</v>
      </c>
    </row>
    <row r="220" spans="1:8">
      <c r="A220" s="9">
        <v>144160302</v>
      </c>
      <c r="B220" s="6">
        <v>44835</v>
      </c>
      <c r="C220" s="6">
        <v>44836</v>
      </c>
      <c r="D220" s="1" t="s">
        <v>7</v>
      </c>
      <c r="E220" s="1">
        <v>39</v>
      </c>
      <c r="F220" s="1" t="s">
        <v>6</v>
      </c>
      <c r="G220" s="44">
        <f t="shared" si="6"/>
        <v>1</v>
      </c>
      <c r="H220" s="10" t="str">
        <f t="shared" si="7"/>
        <v>Saturday</v>
      </c>
    </row>
    <row r="221" spans="1:8">
      <c r="A221" s="9">
        <v>155045053</v>
      </c>
      <c r="B221" s="6">
        <v>44835</v>
      </c>
      <c r="C221" s="6">
        <v>44927</v>
      </c>
      <c r="D221" s="1" t="s">
        <v>7</v>
      </c>
      <c r="E221" s="1">
        <v>39</v>
      </c>
      <c r="F221" s="1" t="s">
        <v>6</v>
      </c>
      <c r="G221" s="44">
        <f t="shared" si="6"/>
        <v>92</v>
      </c>
      <c r="H221" s="10" t="str">
        <f t="shared" si="7"/>
        <v>Saturday</v>
      </c>
    </row>
    <row r="222" spans="1:8">
      <c r="A222" s="9">
        <v>133869989</v>
      </c>
      <c r="B222" s="6">
        <v>44835</v>
      </c>
      <c r="C222" s="6">
        <v>44867</v>
      </c>
      <c r="D222" s="1" t="s">
        <v>7</v>
      </c>
      <c r="E222" s="1">
        <v>39</v>
      </c>
      <c r="F222" s="1" t="s">
        <v>6</v>
      </c>
      <c r="G222" s="44">
        <f t="shared" si="6"/>
        <v>32</v>
      </c>
      <c r="H222" s="10" t="str">
        <f t="shared" si="7"/>
        <v>Saturday</v>
      </c>
    </row>
    <row r="223" spans="1:8">
      <c r="A223" s="9">
        <v>156863940</v>
      </c>
      <c r="B223" s="6">
        <v>44835</v>
      </c>
      <c r="C223" s="6">
        <v>44867</v>
      </c>
      <c r="D223" s="1" t="s">
        <v>7</v>
      </c>
      <c r="E223" s="1">
        <v>39</v>
      </c>
      <c r="F223" s="1" t="s">
        <v>6</v>
      </c>
      <c r="G223" s="44">
        <f t="shared" si="6"/>
        <v>32</v>
      </c>
      <c r="H223" s="10" t="str">
        <f t="shared" si="7"/>
        <v>Saturday</v>
      </c>
    </row>
    <row r="224" spans="1:8">
      <c r="A224" s="9">
        <v>156884323</v>
      </c>
      <c r="B224" s="6">
        <v>44835</v>
      </c>
      <c r="C224" s="6">
        <v>44859</v>
      </c>
      <c r="D224" s="1" t="s">
        <v>7</v>
      </c>
      <c r="E224" s="1">
        <v>39</v>
      </c>
      <c r="F224" s="1" t="s">
        <v>6</v>
      </c>
      <c r="G224" s="44">
        <f t="shared" si="6"/>
        <v>24</v>
      </c>
      <c r="H224" s="10" t="str">
        <f t="shared" si="7"/>
        <v>Saturday</v>
      </c>
    </row>
    <row r="225" spans="1:8">
      <c r="A225" s="9">
        <v>156365410</v>
      </c>
      <c r="B225" s="6">
        <v>44835</v>
      </c>
      <c r="C225" s="6">
        <v>44863</v>
      </c>
      <c r="D225" s="1" t="s">
        <v>7</v>
      </c>
      <c r="E225" s="1">
        <v>39</v>
      </c>
      <c r="F225" s="1" t="s">
        <v>6</v>
      </c>
      <c r="G225" s="44">
        <f t="shared" si="6"/>
        <v>28</v>
      </c>
      <c r="H225" s="10" t="str">
        <f t="shared" si="7"/>
        <v>Saturday</v>
      </c>
    </row>
    <row r="226" spans="1:8">
      <c r="A226" s="9">
        <v>153957162</v>
      </c>
      <c r="B226" s="6">
        <v>44836</v>
      </c>
      <c r="C226" s="1"/>
      <c r="D226" s="1" t="s">
        <v>7</v>
      </c>
      <c r="E226" s="1">
        <v>39</v>
      </c>
      <c r="F226" s="1" t="s">
        <v>6</v>
      </c>
      <c r="G226" s="44" t="str">
        <f t="shared" si="6"/>
        <v/>
      </c>
      <c r="H226" s="10" t="str">
        <f t="shared" si="7"/>
        <v>Sunday</v>
      </c>
    </row>
    <row r="227" spans="1:8">
      <c r="A227" s="9">
        <v>152436949</v>
      </c>
      <c r="B227" s="6">
        <v>44836</v>
      </c>
      <c r="C227" s="6">
        <v>44837</v>
      </c>
      <c r="D227" s="1" t="s">
        <v>8</v>
      </c>
      <c r="E227" s="1">
        <v>39</v>
      </c>
      <c r="F227" s="1" t="s">
        <v>6</v>
      </c>
      <c r="G227" s="44">
        <f t="shared" si="6"/>
        <v>1</v>
      </c>
      <c r="H227" s="10" t="str">
        <f t="shared" si="7"/>
        <v>Sunday</v>
      </c>
    </row>
    <row r="228" spans="1:8">
      <c r="A228" s="9">
        <v>156403612</v>
      </c>
      <c r="B228" s="6">
        <v>44836</v>
      </c>
      <c r="C228" s="6">
        <v>44952</v>
      </c>
      <c r="D228" s="1" t="s">
        <v>7</v>
      </c>
      <c r="E228" s="1">
        <v>39</v>
      </c>
      <c r="F228" s="1" t="s">
        <v>6</v>
      </c>
      <c r="G228" s="44">
        <f t="shared" si="6"/>
        <v>116</v>
      </c>
      <c r="H228" s="10" t="str">
        <f t="shared" si="7"/>
        <v>Sunday</v>
      </c>
    </row>
    <row r="229" spans="1:8">
      <c r="A229" s="9">
        <v>154198756</v>
      </c>
      <c r="B229" s="6">
        <v>44836</v>
      </c>
      <c r="C229" s="6">
        <v>44879</v>
      </c>
      <c r="D229" s="1" t="s">
        <v>7</v>
      </c>
      <c r="E229" s="1">
        <v>39</v>
      </c>
      <c r="F229" s="1" t="s">
        <v>6</v>
      </c>
      <c r="G229" s="44">
        <f t="shared" si="6"/>
        <v>43</v>
      </c>
      <c r="H229" s="10" t="str">
        <f t="shared" si="7"/>
        <v>Sunday</v>
      </c>
    </row>
    <row r="230" spans="1:8">
      <c r="A230" s="9">
        <v>156917754</v>
      </c>
      <c r="B230" s="6">
        <v>44836</v>
      </c>
      <c r="C230" s="6">
        <v>44862</v>
      </c>
      <c r="D230" s="1" t="s">
        <v>7</v>
      </c>
      <c r="E230" s="1">
        <v>39</v>
      </c>
      <c r="F230" s="1" t="s">
        <v>6</v>
      </c>
      <c r="G230" s="44">
        <f t="shared" si="6"/>
        <v>26</v>
      </c>
      <c r="H230" s="10" t="str">
        <f t="shared" si="7"/>
        <v>Sunday</v>
      </c>
    </row>
    <row r="231" spans="1:8">
      <c r="A231" s="9">
        <v>134975906</v>
      </c>
      <c r="B231" s="6">
        <v>44837</v>
      </c>
      <c r="C231" s="6">
        <v>44861</v>
      </c>
      <c r="D231" s="1" t="s">
        <v>7</v>
      </c>
      <c r="E231" s="1">
        <v>39</v>
      </c>
      <c r="F231" s="1" t="s">
        <v>6</v>
      </c>
      <c r="G231" s="44">
        <f t="shared" si="6"/>
        <v>24</v>
      </c>
      <c r="H231" s="10" t="str">
        <f t="shared" si="7"/>
        <v>Monday</v>
      </c>
    </row>
    <row r="232" spans="1:8">
      <c r="A232" s="9">
        <v>156955735</v>
      </c>
      <c r="B232" s="6">
        <v>44837</v>
      </c>
      <c r="C232" s="6">
        <v>45109</v>
      </c>
      <c r="D232" s="1" t="s">
        <v>7</v>
      </c>
      <c r="E232" s="1">
        <v>39</v>
      </c>
      <c r="F232" s="1" t="s">
        <v>6</v>
      </c>
      <c r="G232" s="44">
        <f t="shared" si="6"/>
        <v>272</v>
      </c>
      <c r="H232" s="10" t="str">
        <f t="shared" si="7"/>
        <v>Monday</v>
      </c>
    </row>
    <row r="233" spans="1:8">
      <c r="A233" s="9">
        <v>156982750</v>
      </c>
      <c r="B233" s="6">
        <v>44837</v>
      </c>
      <c r="C233" s="6">
        <v>44963</v>
      </c>
      <c r="D233" s="1" t="s">
        <v>7</v>
      </c>
      <c r="E233" s="1">
        <v>39</v>
      </c>
      <c r="F233" s="1" t="s">
        <v>6</v>
      </c>
      <c r="G233" s="44">
        <f t="shared" si="6"/>
        <v>126</v>
      </c>
      <c r="H233" s="10" t="str">
        <f t="shared" si="7"/>
        <v>Monday</v>
      </c>
    </row>
    <row r="234" spans="1:8">
      <c r="A234" s="9">
        <v>156953312</v>
      </c>
      <c r="B234" s="6">
        <v>44837</v>
      </c>
      <c r="C234" s="6">
        <v>45002</v>
      </c>
      <c r="D234" s="1" t="s">
        <v>7</v>
      </c>
      <c r="E234" s="1">
        <v>39</v>
      </c>
      <c r="F234" s="1" t="s">
        <v>6</v>
      </c>
      <c r="G234" s="44">
        <f t="shared" si="6"/>
        <v>165</v>
      </c>
      <c r="H234" s="10" t="str">
        <f t="shared" si="7"/>
        <v>Monday</v>
      </c>
    </row>
    <row r="235" spans="1:8">
      <c r="A235" s="9">
        <v>124642102</v>
      </c>
      <c r="B235" s="6">
        <v>44837</v>
      </c>
      <c r="C235" s="6">
        <v>44929</v>
      </c>
      <c r="D235" s="1" t="s">
        <v>7</v>
      </c>
      <c r="E235" s="1">
        <v>39</v>
      </c>
      <c r="F235" s="1" t="s">
        <v>6</v>
      </c>
      <c r="G235" s="44">
        <f t="shared" si="6"/>
        <v>92</v>
      </c>
      <c r="H235" s="10" t="str">
        <f t="shared" si="7"/>
        <v>Monday</v>
      </c>
    </row>
    <row r="236" spans="1:8">
      <c r="A236" s="9">
        <v>156940530</v>
      </c>
      <c r="B236" s="6">
        <v>44837</v>
      </c>
      <c r="C236" s="6">
        <v>44936</v>
      </c>
      <c r="D236" s="1" t="s">
        <v>7</v>
      </c>
      <c r="E236" s="1">
        <v>39</v>
      </c>
      <c r="F236" s="1" t="s">
        <v>6</v>
      </c>
      <c r="G236" s="44">
        <f t="shared" si="6"/>
        <v>99</v>
      </c>
      <c r="H236" s="10" t="str">
        <f t="shared" si="7"/>
        <v>Monday</v>
      </c>
    </row>
    <row r="237" spans="1:8">
      <c r="A237" s="9">
        <v>155602780</v>
      </c>
      <c r="B237" s="6">
        <v>44837</v>
      </c>
      <c r="C237" s="6">
        <v>44946</v>
      </c>
      <c r="D237" s="1" t="s">
        <v>7</v>
      </c>
      <c r="E237" s="1">
        <v>39</v>
      </c>
      <c r="F237" s="1" t="s">
        <v>6</v>
      </c>
      <c r="G237" s="44">
        <f t="shared" si="6"/>
        <v>109</v>
      </c>
      <c r="H237" s="10" t="str">
        <f t="shared" si="7"/>
        <v>Monday</v>
      </c>
    </row>
    <row r="238" spans="1:8">
      <c r="A238" s="9">
        <v>149635726</v>
      </c>
      <c r="B238" s="6">
        <v>44837</v>
      </c>
      <c r="C238" s="6">
        <v>44873</v>
      </c>
      <c r="D238" s="1" t="s">
        <v>7</v>
      </c>
      <c r="E238" s="1">
        <v>39</v>
      </c>
      <c r="F238" s="1" t="s">
        <v>6</v>
      </c>
      <c r="G238" s="44">
        <f t="shared" si="6"/>
        <v>36</v>
      </c>
      <c r="H238" s="10" t="str">
        <f t="shared" si="7"/>
        <v>Monday</v>
      </c>
    </row>
    <row r="239" spans="1:8">
      <c r="A239" s="9">
        <v>152660102</v>
      </c>
      <c r="B239" s="6">
        <v>44837</v>
      </c>
      <c r="C239" s="6">
        <v>44893</v>
      </c>
      <c r="D239" s="1" t="s">
        <v>7</v>
      </c>
      <c r="E239" s="1">
        <v>39</v>
      </c>
      <c r="F239" s="1" t="s">
        <v>6</v>
      </c>
      <c r="G239" s="44">
        <f t="shared" si="6"/>
        <v>56</v>
      </c>
      <c r="H239" s="10" t="str">
        <f t="shared" si="7"/>
        <v>Monday</v>
      </c>
    </row>
    <row r="240" spans="1:8">
      <c r="A240" s="9">
        <v>153620734</v>
      </c>
      <c r="B240" s="6">
        <v>44837</v>
      </c>
      <c r="C240" s="6">
        <v>44894</v>
      </c>
      <c r="D240" s="1" t="s">
        <v>7</v>
      </c>
      <c r="E240" s="1">
        <v>39</v>
      </c>
      <c r="F240" s="1" t="s">
        <v>6</v>
      </c>
      <c r="G240" s="44">
        <f t="shared" si="6"/>
        <v>57</v>
      </c>
      <c r="H240" s="10" t="str">
        <f t="shared" si="7"/>
        <v>Monday</v>
      </c>
    </row>
    <row r="241" spans="1:8">
      <c r="A241" s="9">
        <v>156940254</v>
      </c>
      <c r="B241" s="6">
        <v>44837</v>
      </c>
      <c r="C241" s="6">
        <v>44837</v>
      </c>
      <c r="D241" s="1" t="s">
        <v>7</v>
      </c>
      <c r="E241" s="1">
        <v>39</v>
      </c>
      <c r="F241" s="1" t="s">
        <v>6</v>
      </c>
      <c r="G241" s="44">
        <f t="shared" si="6"/>
        <v>0</v>
      </c>
      <c r="H241" s="10" t="str">
        <f t="shared" si="7"/>
        <v>Monday</v>
      </c>
    </row>
    <row r="242" spans="1:8">
      <c r="A242" s="9">
        <v>156940060</v>
      </c>
      <c r="B242" s="6">
        <v>44837</v>
      </c>
      <c r="C242" s="6">
        <v>44844</v>
      </c>
      <c r="D242" s="1" t="s">
        <v>7</v>
      </c>
      <c r="E242" s="1">
        <v>39</v>
      </c>
      <c r="F242" s="1" t="s">
        <v>6</v>
      </c>
      <c r="G242" s="44">
        <f t="shared" si="6"/>
        <v>7</v>
      </c>
      <c r="H242" s="10" t="str">
        <f t="shared" si="7"/>
        <v>Monday</v>
      </c>
    </row>
    <row r="243" spans="1:8">
      <c r="A243" s="9">
        <v>156938938</v>
      </c>
      <c r="B243" s="6">
        <v>44837</v>
      </c>
      <c r="C243" s="6">
        <v>44837</v>
      </c>
      <c r="D243" s="1" t="s">
        <v>7</v>
      </c>
      <c r="E243" s="1">
        <v>39</v>
      </c>
      <c r="F243" s="1" t="s">
        <v>6</v>
      </c>
      <c r="G243" s="44">
        <f t="shared" si="6"/>
        <v>0</v>
      </c>
      <c r="H243" s="10" t="str">
        <f t="shared" si="7"/>
        <v>Monday</v>
      </c>
    </row>
    <row r="244" spans="1:8">
      <c r="A244" s="9">
        <v>156955272</v>
      </c>
      <c r="B244" s="6">
        <v>44838</v>
      </c>
      <c r="C244" s="6">
        <v>45037</v>
      </c>
      <c r="D244" s="1" t="s">
        <v>7</v>
      </c>
      <c r="E244" s="1">
        <v>39</v>
      </c>
      <c r="F244" s="1" t="s">
        <v>6</v>
      </c>
      <c r="G244" s="44">
        <f t="shared" si="6"/>
        <v>199</v>
      </c>
      <c r="H244" s="10" t="str">
        <f t="shared" si="7"/>
        <v>Tuesday</v>
      </c>
    </row>
    <row r="245" spans="1:8">
      <c r="A245" s="9">
        <v>156941638</v>
      </c>
      <c r="B245" s="6">
        <v>44838</v>
      </c>
      <c r="C245" s="6">
        <v>45000</v>
      </c>
      <c r="D245" s="1" t="s">
        <v>7</v>
      </c>
      <c r="E245" s="1">
        <v>39</v>
      </c>
      <c r="F245" s="1" t="s">
        <v>6</v>
      </c>
      <c r="G245" s="44">
        <f t="shared" si="6"/>
        <v>162</v>
      </c>
      <c r="H245" s="10" t="str">
        <f t="shared" si="7"/>
        <v>Tuesday</v>
      </c>
    </row>
    <row r="246" spans="1:8">
      <c r="A246" s="9">
        <v>157154624</v>
      </c>
      <c r="B246" s="6">
        <v>44838</v>
      </c>
      <c r="C246" s="6">
        <v>44956</v>
      </c>
      <c r="D246" s="1" t="s">
        <v>7</v>
      </c>
      <c r="E246" s="1">
        <v>39</v>
      </c>
      <c r="F246" s="1" t="s">
        <v>6</v>
      </c>
      <c r="G246" s="44">
        <f t="shared" si="6"/>
        <v>118</v>
      </c>
      <c r="H246" s="10" t="str">
        <f t="shared" si="7"/>
        <v>Tuesday</v>
      </c>
    </row>
    <row r="247" spans="1:8">
      <c r="A247" s="9">
        <v>151677119</v>
      </c>
      <c r="B247" s="6">
        <v>44838</v>
      </c>
      <c r="C247" s="6">
        <v>44909</v>
      </c>
      <c r="D247" s="1" t="s">
        <v>7</v>
      </c>
      <c r="E247" s="1">
        <v>39</v>
      </c>
      <c r="F247" s="1" t="s">
        <v>6</v>
      </c>
      <c r="G247" s="44">
        <f t="shared" si="6"/>
        <v>71</v>
      </c>
      <c r="H247" s="10" t="str">
        <f t="shared" si="7"/>
        <v>Tuesday</v>
      </c>
    </row>
    <row r="248" spans="1:8">
      <c r="A248" s="9">
        <v>139465940</v>
      </c>
      <c r="B248" s="6">
        <v>44838</v>
      </c>
      <c r="C248" s="6">
        <v>44870</v>
      </c>
      <c r="D248" s="1" t="s">
        <v>7</v>
      </c>
      <c r="E248" s="1">
        <v>39</v>
      </c>
      <c r="F248" s="1" t="s">
        <v>6</v>
      </c>
      <c r="G248" s="44">
        <f t="shared" si="6"/>
        <v>32</v>
      </c>
      <c r="H248" s="10" t="str">
        <f t="shared" si="7"/>
        <v>Tuesday</v>
      </c>
    </row>
    <row r="249" spans="1:8">
      <c r="A249" s="9">
        <v>156895692</v>
      </c>
      <c r="B249" s="6">
        <v>44839</v>
      </c>
      <c r="C249" s="1"/>
      <c r="D249" s="1" t="s">
        <v>7</v>
      </c>
      <c r="E249" s="1">
        <v>39</v>
      </c>
      <c r="F249" s="1" t="s">
        <v>6</v>
      </c>
      <c r="G249" s="44" t="str">
        <f t="shared" si="6"/>
        <v/>
      </c>
      <c r="H249" s="10" t="str">
        <f t="shared" si="7"/>
        <v>Wednesday</v>
      </c>
    </row>
    <row r="250" spans="1:8">
      <c r="A250" s="9">
        <v>153587226</v>
      </c>
      <c r="B250" s="6">
        <v>44839</v>
      </c>
      <c r="C250" s="1"/>
      <c r="D250" s="1" t="s">
        <v>7</v>
      </c>
      <c r="E250" s="1">
        <v>39</v>
      </c>
      <c r="F250" s="1" t="s">
        <v>6</v>
      </c>
      <c r="G250" s="44" t="str">
        <f t="shared" si="6"/>
        <v/>
      </c>
      <c r="H250" s="10" t="str">
        <f t="shared" si="7"/>
        <v>Wednesday</v>
      </c>
    </row>
    <row r="251" spans="1:8">
      <c r="A251" s="9">
        <v>157295262</v>
      </c>
      <c r="B251" s="6">
        <v>44839</v>
      </c>
      <c r="C251" s="6">
        <v>45019</v>
      </c>
      <c r="D251" s="1" t="s">
        <v>7</v>
      </c>
      <c r="E251" s="1">
        <v>39</v>
      </c>
      <c r="F251" s="1" t="s">
        <v>6</v>
      </c>
      <c r="G251" s="44">
        <f t="shared" si="6"/>
        <v>180</v>
      </c>
      <c r="H251" s="10" t="str">
        <f t="shared" si="7"/>
        <v>Wednesday</v>
      </c>
    </row>
    <row r="252" spans="1:8">
      <c r="A252" s="9">
        <v>157284386</v>
      </c>
      <c r="B252" s="6">
        <v>44839</v>
      </c>
      <c r="C252" s="6">
        <v>45018</v>
      </c>
      <c r="D252" s="1" t="s">
        <v>7</v>
      </c>
      <c r="E252" s="1">
        <v>39</v>
      </c>
      <c r="F252" s="1" t="s">
        <v>6</v>
      </c>
      <c r="G252" s="44">
        <f t="shared" si="6"/>
        <v>179</v>
      </c>
      <c r="H252" s="10" t="str">
        <f t="shared" si="7"/>
        <v>Wednesday</v>
      </c>
    </row>
    <row r="253" spans="1:8">
      <c r="A253" s="9">
        <v>148762867</v>
      </c>
      <c r="B253" s="6">
        <v>44839</v>
      </c>
      <c r="C253" s="6">
        <v>45100</v>
      </c>
      <c r="D253" s="1" t="s">
        <v>7</v>
      </c>
      <c r="E253" s="1">
        <v>39</v>
      </c>
      <c r="F253" s="1" t="s">
        <v>6</v>
      </c>
      <c r="G253" s="44">
        <f t="shared" si="6"/>
        <v>261</v>
      </c>
      <c r="H253" s="10" t="str">
        <f t="shared" si="7"/>
        <v>Wednesday</v>
      </c>
    </row>
    <row r="254" spans="1:8">
      <c r="A254" s="9">
        <v>150433978</v>
      </c>
      <c r="B254" s="6">
        <v>44839</v>
      </c>
      <c r="C254" s="6">
        <v>44870</v>
      </c>
      <c r="D254" s="1" t="s">
        <v>7</v>
      </c>
      <c r="E254" s="1">
        <v>39</v>
      </c>
      <c r="F254" s="1" t="s">
        <v>6</v>
      </c>
      <c r="G254" s="44">
        <f t="shared" si="6"/>
        <v>31</v>
      </c>
      <c r="H254" s="10" t="str">
        <f t="shared" si="7"/>
        <v>Wednesday</v>
      </c>
    </row>
    <row r="255" spans="1:8">
      <c r="A255" s="9">
        <v>157272487</v>
      </c>
      <c r="B255" s="6">
        <v>44839</v>
      </c>
      <c r="C255" s="6">
        <v>44902</v>
      </c>
      <c r="D255" s="1" t="s">
        <v>7</v>
      </c>
      <c r="E255" s="1">
        <v>39</v>
      </c>
      <c r="F255" s="1" t="s">
        <v>6</v>
      </c>
      <c r="G255" s="44">
        <f t="shared" si="6"/>
        <v>63</v>
      </c>
      <c r="H255" s="10" t="str">
        <f t="shared" si="7"/>
        <v>Wednesday</v>
      </c>
    </row>
    <row r="256" spans="1:8">
      <c r="A256" s="9">
        <v>153776370</v>
      </c>
      <c r="B256" s="6">
        <v>44840</v>
      </c>
      <c r="C256" s="6">
        <v>44901</v>
      </c>
      <c r="D256" s="1" t="s">
        <v>7</v>
      </c>
      <c r="E256" s="1">
        <v>39</v>
      </c>
      <c r="F256" s="1" t="s">
        <v>6</v>
      </c>
      <c r="G256" s="44">
        <f t="shared" si="6"/>
        <v>61</v>
      </c>
      <c r="H256" s="10" t="str">
        <f t="shared" si="7"/>
        <v>Thursday</v>
      </c>
    </row>
    <row r="257" spans="1:8">
      <c r="A257" s="9">
        <v>157371444</v>
      </c>
      <c r="B257" s="6">
        <v>44840</v>
      </c>
      <c r="C257" s="6">
        <v>44903</v>
      </c>
      <c r="D257" s="1" t="s">
        <v>7</v>
      </c>
      <c r="E257" s="1">
        <v>39</v>
      </c>
      <c r="F257" s="1" t="s">
        <v>6</v>
      </c>
      <c r="G257" s="44">
        <f t="shared" si="6"/>
        <v>63</v>
      </c>
      <c r="H257" s="10" t="str">
        <f t="shared" si="7"/>
        <v>Thursday</v>
      </c>
    </row>
    <row r="258" spans="1:8">
      <c r="A258" s="9">
        <v>157095464</v>
      </c>
      <c r="B258" s="6">
        <v>44840</v>
      </c>
      <c r="C258" s="6">
        <v>45120</v>
      </c>
      <c r="D258" s="1" t="s">
        <v>7</v>
      </c>
      <c r="E258" s="1">
        <v>39</v>
      </c>
      <c r="F258" s="1" t="s">
        <v>6</v>
      </c>
      <c r="G258" s="44">
        <f t="shared" si="6"/>
        <v>280</v>
      </c>
      <c r="H258" s="10" t="str">
        <f t="shared" si="7"/>
        <v>Thursday</v>
      </c>
    </row>
    <row r="259" spans="1:8">
      <c r="A259" s="9">
        <v>153554190</v>
      </c>
      <c r="B259" s="6">
        <v>44841</v>
      </c>
      <c r="C259" s="1"/>
      <c r="D259" s="1" t="s">
        <v>7</v>
      </c>
      <c r="E259" s="1">
        <v>39</v>
      </c>
      <c r="F259" s="1" t="s">
        <v>6</v>
      </c>
      <c r="G259" s="44" t="str">
        <f t="shared" ref="G259:G322" si="8">IF(C259="", "", DATEDIF(B259, C259, "D"))</f>
        <v/>
      </c>
      <c r="H259" s="10" t="str">
        <f t="shared" ref="H259:H322" si="9">TEXT(B259, "dddd")</f>
        <v>Friday</v>
      </c>
    </row>
    <row r="260" spans="1:8">
      <c r="A260" s="9">
        <v>157411994</v>
      </c>
      <c r="B260" s="6">
        <v>44841</v>
      </c>
      <c r="C260" s="1"/>
      <c r="D260" s="1" t="s">
        <v>7</v>
      </c>
      <c r="E260" s="1">
        <v>39</v>
      </c>
      <c r="F260" s="1" t="s">
        <v>6</v>
      </c>
      <c r="G260" s="44" t="str">
        <f t="shared" si="8"/>
        <v/>
      </c>
      <c r="H260" s="10" t="str">
        <f t="shared" si="9"/>
        <v>Friday</v>
      </c>
    </row>
    <row r="261" spans="1:8">
      <c r="A261" s="9">
        <v>157374056</v>
      </c>
      <c r="B261" s="6">
        <v>44841</v>
      </c>
      <c r="C261" s="6">
        <v>44872</v>
      </c>
      <c r="D261" s="1" t="s">
        <v>7</v>
      </c>
      <c r="E261" s="1">
        <v>39</v>
      </c>
      <c r="F261" s="1" t="s">
        <v>6</v>
      </c>
      <c r="G261" s="44">
        <f t="shared" si="8"/>
        <v>31</v>
      </c>
      <c r="H261" s="10" t="str">
        <f t="shared" si="9"/>
        <v>Friday</v>
      </c>
    </row>
    <row r="262" spans="1:8">
      <c r="A262" s="9">
        <v>157397941</v>
      </c>
      <c r="B262" s="6">
        <v>44841</v>
      </c>
      <c r="C262" s="6">
        <v>44868</v>
      </c>
      <c r="D262" s="1" t="s">
        <v>7</v>
      </c>
      <c r="E262" s="1">
        <v>39</v>
      </c>
      <c r="F262" s="1" t="s">
        <v>6</v>
      </c>
      <c r="G262" s="44">
        <f t="shared" si="8"/>
        <v>27</v>
      </c>
      <c r="H262" s="10" t="str">
        <f t="shared" si="9"/>
        <v>Friday</v>
      </c>
    </row>
    <row r="263" spans="1:8">
      <c r="A263" s="9">
        <v>157234944</v>
      </c>
      <c r="B263" s="6">
        <v>44841</v>
      </c>
      <c r="C263" s="6">
        <v>44858</v>
      </c>
      <c r="D263" s="1" t="s">
        <v>7</v>
      </c>
      <c r="E263" s="1">
        <v>39</v>
      </c>
      <c r="F263" s="1" t="s">
        <v>6</v>
      </c>
      <c r="G263" s="44">
        <f t="shared" si="8"/>
        <v>17</v>
      </c>
      <c r="H263" s="10" t="str">
        <f t="shared" si="9"/>
        <v>Friday</v>
      </c>
    </row>
    <row r="264" spans="1:8">
      <c r="A264" s="9">
        <v>157490039</v>
      </c>
      <c r="B264" s="6">
        <v>44842</v>
      </c>
      <c r="C264" s="6">
        <v>45000</v>
      </c>
      <c r="D264" s="1" t="s">
        <v>7</v>
      </c>
      <c r="E264" s="1">
        <v>39</v>
      </c>
      <c r="F264" s="1" t="s">
        <v>6</v>
      </c>
      <c r="G264" s="44">
        <f t="shared" si="8"/>
        <v>158</v>
      </c>
      <c r="H264" s="10" t="str">
        <f t="shared" si="9"/>
        <v>Saturday</v>
      </c>
    </row>
    <row r="265" spans="1:8">
      <c r="A265" s="9">
        <v>157484010</v>
      </c>
      <c r="B265" s="6">
        <v>44842</v>
      </c>
      <c r="C265" s="6">
        <v>45000</v>
      </c>
      <c r="D265" s="1" t="s">
        <v>7</v>
      </c>
      <c r="E265" s="1">
        <v>39</v>
      </c>
      <c r="F265" s="1" t="s">
        <v>6</v>
      </c>
      <c r="G265" s="44">
        <f t="shared" si="8"/>
        <v>158</v>
      </c>
      <c r="H265" s="10" t="str">
        <f t="shared" si="9"/>
        <v>Saturday</v>
      </c>
    </row>
    <row r="266" spans="1:8">
      <c r="A266" s="9">
        <v>125038257</v>
      </c>
      <c r="B266" s="6">
        <v>44842</v>
      </c>
      <c r="C266" s="6">
        <v>44882</v>
      </c>
      <c r="D266" s="1" t="s">
        <v>7</v>
      </c>
      <c r="E266" s="1">
        <v>39</v>
      </c>
      <c r="F266" s="1" t="s">
        <v>6</v>
      </c>
      <c r="G266" s="44">
        <f t="shared" si="8"/>
        <v>40</v>
      </c>
      <c r="H266" s="10" t="str">
        <f t="shared" si="9"/>
        <v>Saturday</v>
      </c>
    </row>
    <row r="267" spans="1:8">
      <c r="A267" s="9">
        <v>157400730</v>
      </c>
      <c r="B267" s="6">
        <v>44842</v>
      </c>
      <c r="C267" s="6">
        <v>44860</v>
      </c>
      <c r="D267" s="1" t="s">
        <v>7</v>
      </c>
      <c r="E267" s="1">
        <v>39</v>
      </c>
      <c r="F267" s="1" t="s">
        <v>6</v>
      </c>
      <c r="G267" s="44">
        <f t="shared" si="8"/>
        <v>18</v>
      </c>
      <c r="H267" s="10" t="str">
        <f t="shared" si="9"/>
        <v>Saturday</v>
      </c>
    </row>
    <row r="268" spans="1:8">
      <c r="A268" s="9">
        <v>157450645</v>
      </c>
      <c r="B268" s="6">
        <v>44842</v>
      </c>
      <c r="C268" s="6">
        <v>44852</v>
      </c>
      <c r="D268" s="1" t="s">
        <v>7</v>
      </c>
      <c r="E268" s="1">
        <v>39</v>
      </c>
      <c r="F268" s="1" t="s">
        <v>6</v>
      </c>
      <c r="G268" s="44">
        <f t="shared" si="8"/>
        <v>10</v>
      </c>
      <c r="H268" s="10" t="str">
        <f t="shared" si="9"/>
        <v>Saturday</v>
      </c>
    </row>
    <row r="269" spans="1:8">
      <c r="A269" s="9">
        <v>156943008</v>
      </c>
      <c r="B269" s="6">
        <v>44843</v>
      </c>
      <c r="C269" s="6">
        <v>44844</v>
      </c>
      <c r="D269" s="1" t="s">
        <v>7</v>
      </c>
      <c r="E269" s="1">
        <v>39</v>
      </c>
      <c r="F269" s="1" t="s">
        <v>6</v>
      </c>
      <c r="G269" s="44">
        <f t="shared" si="8"/>
        <v>1</v>
      </c>
      <c r="H269" s="10" t="str">
        <f t="shared" si="9"/>
        <v>Sunday</v>
      </c>
    </row>
    <row r="270" spans="1:8">
      <c r="A270" s="9">
        <v>127328047</v>
      </c>
      <c r="B270" s="6">
        <v>44843</v>
      </c>
      <c r="C270" s="6">
        <v>44942</v>
      </c>
      <c r="D270" s="1" t="s">
        <v>7</v>
      </c>
      <c r="E270" s="1">
        <v>39</v>
      </c>
      <c r="F270" s="1" t="s">
        <v>6</v>
      </c>
      <c r="G270" s="44">
        <f t="shared" si="8"/>
        <v>99</v>
      </c>
      <c r="H270" s="10" t="str">
        <f t="shared" si="9"/>
        <v>Sunday</v>
      </c>
    </row>
    <row r="271" spans="1:8">
      <c r="A271" s="9">
        <v>157506842</v>
      </c>
      <c r="B271" s="6">
        <v>44843</v>
      </c>
      <c r="C271" s="6">
        <v>44880</v>
      </c>
      <c r="D271" s="1" t="s">
        <v>7</v>
      </c>
      <c r="E271" s="1">
        <v>39</v>
      </c>
      <c r="F271" s="1" t="s">
        <v>6</v>
      </c>
      <c r="G271" s="44">
        <f t="shared" si="8"/>
        <v>37</v>
      </c>
      <c r="H271" s="10" t="str">
        <f t="shared" si="9"/>
        <v>Sunday</v>
      </c>
    </row>
    <row r="272" spans="1:8">
      <c r="A272" s="9">
        <v>150924853</v>
      </c>
      <c r="B272" s="6">
        <v>44843</v>
      </c>
      <c r="C272" s="6">
        <v>44888</v>
      </c>
      <c r="D272" s="1" t="s">
        <v>7</v>
      </c>
      <c r="E272" s="1">
        <v>39</v>
      </c>
      <c r="F272" s="1" t="s">
        <v>6</v>
      </c>
      <c r="G272" s="44">
        <f t="shared" si="8"/>
        <v>45</v>
      </c>
      <c r="H272" s="10" t="str">
        <f t="shared" si="9"/>
        <v>Sunday</v>
      </c>
    </row>
    <row r="273" spans="1:8">
      <c r="A273" s="9">
        <v>156996568</v>
      </c>
      <c r="B273" s="6">
        <v>44844</v>
      </c>
      <c r="C273" s="1"/>
      <c r="D273" s="1" t="s">
        <v>7</v>
      </c>
      <c r="E273" s="1">
        <v>39</v>
      </c>
      <c r="F273" s="1" t="s">
        <v>6</v>
      </c>
      <c r="G273" s="44" t="str">
        <f t="shared" si="8"/>
        <v/>
      </c>
      <c r="H273" s="10" t="str">
        <f t="shared" si="9"/>
        <v>Monday</v>
      </c>
    </row>
    <row r="274" spans="1:8">
      <c r="A274" s="9">
        <v>157627904</v>
      </c>
      <c r="B274" s="6">
        <v>44844</v>
      </c>
      <c r="C274" s="6">
        <v>44937</v>
      </c>
      <c r="D274" s="1" t="s">
        <v>7</v>
      </c>
      <c r="E274" s="1">
        <v>39</v>
      </c>
      <c r="F274" s="1" t="s">
        <v>6</v>
      </c>
      <c r="G274" s="44">
        <f t="shared" si="8"/>
        <v>93</v>
      </c>
      <c r="H274" s="10" t="str">
        <f t="shared" si="9"/>
        <v>Monday</v>
      </c>
    </row>
    <row r="275" spans="1:8">
      <c r="A275" s="9">
        <v>157058101</v>
      </c>
      <c r="B275" s="6">
        <v>44844</v>
      </c>
      <c r="C275" s="6">
        <v>44874</v>
      </c>
      <c r="D275" s="1" t="s">
        <v>7</v>
      </c>
      <c r="E275" s="1">
        <v>39</v>
      </c>
      <c r="F275" s="1" t="s">
        <v>6</v>
      </c>
      <c r="G275" s="44">
        <f t="shared" si="8"/>
        <v>30</v>
      </c>
      <c r="H275" s="10" t="str">
        <f t="shared" si="9"/>
        <v>Monday</v>
      </c>
    </row>
    <row r="276" spans="1:8">
      <c r="A276" s="9">
        <v>157394598</v>
      </c>
      <c r="B276" s="6">
        <v>44845</v>
      </c>
      <c r="C276" s="6">
        <v>44846</v>
      </c>
      <c r="D276" s="1" t="s">
        <v>8</v>
      </c>
      <c r="E276" s="1">
        <v>39</v>
      </c>
      <c r="F276" s="1" t="s">
        <v>6</v>
      </c>
      <c r="G276" s="44">
        <f t="shared" si="8"/>
        <v>1</v>
      </c>
      <c r="H276" s="10" t="str">
        <f t="shared" si="9"/>
        <v>Tuesday</v>
      </c>
    </row>
    <row r="277" spans="1:8">
      <c r="A277" s="9">
        <v>157765918</v>
      </c>
      <c r="B277" s="6">
        <v>44845</v>
      </c>
      <c r="C277" s="6">
        <v>44846</v>
      </c>
      <c r="D277" s="1" t="s">
        <v>8</v>
      </c>
      <c r="E277" s="1">
        <v>39</v>
      </c>
      <c r="F277" s="1" t="s">
        <v>6</v>
      </c>
      <c r="G277" s="44">
        <f t="shared" si="8"/>
        <v>1</v>
      </c>
      <c r="H277" s="10" t="str">
        <f t="shared" si="9"/>
        <v>Tuesday</v>
      </c>
    </row>
    <row r="278" spans="1:8">
      <c r="A278" s="9">
        <v>157746458</v>
      </c>
      <c r="B278" s="6">
        <v>44845</v>
      </c>
      <c r="C278" s="6">
        <v>45041</v>
      </c>
      <c r="D278" s="1" t="s">
        <v>7</v>
      </c>
      <c r="E278" s="1">
        <v>39</v>
      </c>
      <c r="F278" s="1" t="s">
        <v>6</v>
      </c>
      <c r="G278" s="44">
        <f t="shared" si="8"/>
        <v>196</v>
      </c>
      <c r="H278" s="10" t="str">
        <f t="shared" si="9"/>
        <v>Tuesday</v>
      </c>
    </row>
    <row r="279" spans="1:8">
      <c r="A279" s="9">
        <v>157590918</v>
      </c>
      <c r="B279" s="6">
        <v>44845</v>
      </c>
      <c r="C279" s="6">
        <v>44969</v>
      </c>
      <c r="D279" s="1" t="s">
        <v>7</v>
      </c>
      <c r="E279" s="1">
        <v>39</v>
      </c>
      <c r="F279" s="1" t="s">
        <v>6</v>
      </c>
      <c r="G279" s="44">
        <f t="shared" si="8"/>
        <v>124</v>
      </c>
      <c r="H279" s="10" t="str">
        <f t="shared" si="9"/>
        <v>Tuesday</v>
      </c>
    </row>
    <row r="280" spans="1:8">
      <c r="A280" s="9">
        <v>157290992</v>
      </c>
      <c r="B280" s="6">
        <v>44845</v>
      </c>
      <c r="C280" s="6">
        <v>44936</v>
      </c>
      <c r="D280" s="1" t="s">
        <v>7</v>
      </c>
      <c r="E280" s="1">
        <v>39</v>
      </c>
      <c r="F280" s="1" t="s">
        <v>6</v>
      </c>
      <c r="G280" s="44">
        <f t="shared" si="8"/>
        <v>91</v>
      </c>
      <c r="H280" s="10" t="str">
        <f t="shared" si="9"/>
        <v>Tuesday</v>
      </c>
    </row>
    <row r="281" spans="1:8">
      <c r="A281" s="9">
        <v>156895701</v>
      </c>
      <c r="B281" s="6">
        <v>44845</v>
      </c>
      <c r="C281" s="6">
        <v>44913</v>
      </c>
      <c r="D281" s="1" t="s">
        <v>7</v>
      </c>
      <c r="E281" s="1">
        <v>39</v>
      </c>
      <c r="F281" s="1" t="s">
        <v>6</v>
      </c>
      <c r="G281" s="44">
        <f t="shared" si="8"/>
        <v>68</v>
      </c>
      <c r="H281" s="10" t="str">
        <f t="shared" si="9"/>
        <v>Tuesday</v>
      </c>
    </row>
    <row r="282" spans="1:8">
      <c r="A282" s="9">
        <v>155926313</v>
      </c>
      <c r="B282" s="6">
        <v>44845</v>
      </c>
      <c r="C282" s="6">
        <v>44893</v>
      </c>
      <c r="D282" s="1" t="s">
        <v>7</v>
      </c>
      <c r="E282" s="1">
        <v>39</v>
      </c>
      <c r="F282" s="1" t="s">
        <v>6</v>
      </c>
      <c r="G282" s="44">
        <f t="shared" si="8"/>
        <v>48</v>
      </c>
      <c r="H282" s="10" t="str">
        <f t="shared" si="9"/>
        <v>Tuesday</v>
      </c>
    </row>
    <row r="283" spans="1:8">
      <c r="A283" s="9">
        <v>156110000</v>
      </c>
      <c r="B283" s="6">
        <v>44845</v>
      </c>
      <c r="C283" s="6">
        <v>44881</v>
      </c>
      <c r="D283" s="1" t="s">
        <v>7</v>
      </c>
      <c r="E283" s="1">
        <v>39</v>
      </c>
      <c r="F283" s="1" t="s">
        <v>6</v>
      </c>
      <c r="G283" s="44">
        <f t="shared" si="8"/>
        <v>36</v>
      </c>
      <c r="H283" s="10" t="str">
        <f t="shared" si="9"/>
        <v>Tuesday</v>
      </c>
    </row>
    <row r="284" spans="1:8">
      <c r="A284" s="9">
        <v>157851493</v>
      </c>
      <c r="B284" s="6">
        <v>44846</v>
      </c>
      <c r="C284" s="6">
        <v>45020</v>
      </c>
      <c r="D284" s="1" t="s">
        <v>7</v>
      </c>
      <c r="E284" s="1">
        <v>39</v>
      </c>
      <c r="F284" s="1" t="s">
        <v>6</v>
      </c>
      <c r="G284" s="44">
        <f t="shared" si="8"/>
        <v>174</v>
      </c>
      <c r="H284" s="10" t="str">
        <f t="shared" si="9"/>
        <v>Wednesday</v>
      </c>
    </row>
    <row r="285" spans="1:8">
      <c r="A285" s="9">
        <v>157792408</v>
      </c>
      <c r="B285" s="6">
        <v>44846</v>
      </c>
      <c r="C285" s="6">
        <v>45087</v>
      </c>
      <c r="D285" s="1" t="s">
        <v>7</v>
      </c>
      <c r="E285" s="1">
        <v>39</v>
      </c>
      <c r="F285" s="1" t="s">
        <v>6</v>
      </c>
      <c r="G285" s="44">
        <f t="shared" si="8"/>
        <v>241</v>
      </c>
      <c r="H285" s="10" t="str">
        <f t="shared" si="9"/>
        <v>Wednesday</v>
      </c>
    </row>
    <row r="286" spans="1:8">
      <c r="A286" s="9">
        <v>157868778</v>
      </c>
      <c r="B286" s="6">
        <v>44846</v>
      </c>
      <c r="C286" s="6">
        <v>44872</v>
      </c>
      <c r="D286" s="1" t="s">
        <v>7</v>
      </c>
      <c r="E286" s="1">
        <v>39</v>
      </c>
      <c r="F286" s="1" t="s">
        <v>6</v>
      </c>
      <c r="G286" s="44">
        <f t="shared" si="8"/>
        <v>26</v>
      </c>
      <c r="H286" s="10" t="str">
        <f t="shared" si="9"/>
        <v>Wednesday</v>
      </c>
    </row>
    <row r="287" spans="1:8">
      <c r="A287" s="9">
        <v>157833252</v>
      </c>
      <c r="B287" s="6">
        <v>44846</v>
      </c>
      <c r="C287" s="6">
        <v>44857</v>
      </c>
      <c r="D287" s="1" t="s">
        <v>7</v>
      </c>
      <c r="E287" s="1">
        <v>39</v>
      </c>
      <c r="F287" s="1" t="s">
        <v>6</v>
      </c>
      <c r="G287" s="44">
        <f t="shared" si="8"/>
        <v>11</v>
      </c>
      <c r="H287" s="10" t="str">
        <f t="shared" si="9"/>
        <v>Wednesday</v>
      </c>
    </row>
    <row r="288" spans="1:8">
      <c r="A288" s="9">
        <v>149662340</v>
      </c>
      <c r="B288" s="6">
        <v>44847</v>
      </c>
      <c r="C288" s="1"/>
      <c r="D288" s="1" t="s">
        <v>7</v>
      </c>
      <c r="E288" s="1">
        <v>39</v>
      </c>
      <c r="F288" s="1" t="s">
        <v>6</v>
      </c>
      <c r="G288" s="44" t="str">
        <f t="shared" si="8"/>
        <v/>
      </c>
      <c r="H288" s="10" t="str">
        <f t="shared" si="9"/>
        <v>Thursday</v>
      </c>
    </row>
    <row r="289" spans="1:8">
      <c r="A289" s="9">
        <v>126918448</v>
      </c>
      <c r="B289" s="6">
        <v>44847</v>
      </c>
      <c r="C289" s="1"/>
      <c r="D289" s="1" t="s">
        <v>7</v>
      </c>
      <c r="E289" s="1">
        <v>39</v>
      </c>
      <c r="F289" s="1" t="s">
        <v>6</v>
      </c>
      <c r="G289" s="44" t="str">
        <f t="shared" si="8"/>
        <v/>
      </c>
      <c r="H289" s="10" t="str">
        <f t="shared" si="9"/>
        <v>Thursday</v>
      </c>
    </row>
    <row r="290" spans="1:8">
      <c r="A290" s="9">
        <v>136897370</v>
      </c>
      <c r="B290" s="6">
        <v>44847</v>
      </c>
      <c r="C290" s="6">
        <v>44943</v>
      </c>
      <c r="D290" s="1" t="s">
        <v>7</v>
      </c>
      <c r="E290" s="1">
        <v>39</v>
      </c>
      <c r="F290" s="1" t="s">
        <v>6</v>
      </c>
      <c r="G290" s="44">
        <f t="shared" si="8"/>
        <v>96</v>
      </c>
      <c r="H290" s="10" t="str">
        <f t="shared" si="9"/>
        <v>Thursday</v>
      </c>
    </row>
    <row r="291" spans="1:8">
      <c r="A291" s="9">
        <v>157921307</v>
      </c>
      <c r="B291" s="6">
        <v>44847</v>
      </c>
      <c r="C291" s="6">
        <v>45076</v>
      </c>
      <c r="D291" s="1" t="s">
        <v>7</v>
      </c>
      <c r="E291" s="1">
        <v>39</v>
      </c>
      <c r="F291" s="1" t="s">
        <v>6</v>
      </c>
      <c r="G291" s="44">
        <f t="shared" si="8"/>
        <v>229</v>
      </c>
      <c r="H291" s="10" t="str">
        <f t="shared" si="9"/>
        <v>Thursday</v>
      </c>
    </row>
    <row r="292" spans="1:8">
      <c r="A292" s="9">
        <v>157905868</v>
      </c>
      <c r="B292" s="6">
        <v>44847</v>
      </c>
      <c r="C292" s="6">
        <v>44963</v>
      </c>
      <c r="D292" s="1" t="s">
        <v>7</v>
      </c>
      <c r="E292" s="1">
        <v>39</v>
      </c>
      <c r="F292" s="1" t="s">
        <v>6</v>
      </c>
      <c r="G292" s="44">
        <f t="shared" si="8"/>
        <v>116</v>
      </c>
      <c r="H292" s="10" t="str">
        <f t="shared" si="9"/>
        <v>Thursday</v>
      </c>
    </row>
    <row r="293" spans="1:8">
      <c r="A293" s="9">
        <v>152377785</v>
      </c>
      <c r="B293" s="6">
        <v>44847</v>
      </c>
      <c r="C293" s="6">
        <v>44937</v>
      </c>
      <c r="D293" s="1" t="s">
        <v>7</v>
      </c>
      <c r="E293" s="1">
        <v>39</v>
      </c>
      <c r="F293" s="1" t="s">
        <v>6</v>
      </c>
      <c r="G293" s="44">
        <f t="shared" si="8"/>
        <v>90</v>
      </c>
      <c r="H293" s="10" t="str">
        <f t="shared" si="9"/>
        <v>Thursday</v>
      </c>
    </row>
    <row r="294" spans="1:8">
      <c r="A294" s="9">
        <v>157567612</v>
      </c>
      <c r="B294" s="6">
        <v>44847</v>
      </c>
      <c r="C294" s="6">
        <v>44868</v>
      </c>
      <c r="D294" s="1" t="s">
        <v>7</v>
      </c>
      <c r="E294" s="1">
        <v>39</v>
      </c>
      <c r="F294" s="1" t="s">
        <v>6</v>
      </c>
      <c r="G294" s="44">
        <f t="shared" si="8"/>
        <v>21</v>
      </c>
      <c r="H294" s="10" t="str">
        <f t="shared" si="9"/>
        <v>Thursday</v>
      </c>
    </row>
    <row r="295" spans="1:8">
      <c r="A295" s="9">
        <v>157993772</v>
      </c>
      <c r="B295" s="6">
        <v>44849</v>
      </c>
      <c r="C295" s="6">
        <v>44849</v>
      </c>
      <c r="D295" s="1" t="s">
        <v>8</v>
      </c>
      <c r="E295" s="1">
        <v>39</v>
      </c>
      <c r="F295" s="1" t="s">
        <v>6</v>
      </c>
      <c r="G295" s="44">
        <f t="shared" si="8"/>
        <v>0</v>
      </c>
      <c r="H295" s="10" t="str">
        <f t="shared" si="9"/>
        <v>Saturday</v>
      </c>
    </row>
    <row r="296" spans="1:8">
      <c r="A296" s="9">
        <v>148769034</v>
      </c>
      <c r="B296" s="6">
        <v>44849</v>
      </c>
      <c r="C296" s="6">
        <v>44998</v>
      </c>
      <c r="D296" s="1" t="s">
        <v>7</v>
      </c>
      <c r="E296" s="1">
        <v>39</v>
      </c>
      <c r="F296" s="1" t="s">
        <v>6</v>
      </c>
      <c r="G296" s="44">
        <f t="shared" si="8"/>
        <v>149</v>
      </c>
      <c r="H296" s="10" t="str">
        <f t="shared" si="9"/>
        <v>Saturday</v>
      </c>
    </row>
    <row r="297" spans="1:8">
      <c r="A297" s="9">
        <v>158050283</v>
      </c>
      <c r="B297" s="6">
        <v>44849</v>
      </c>
      <c r="C297" s="6">
        <v>45114</v>
      </c>
      <c r="D297" s="1" t="s">
        <v>7</v>
      </c>
      <c r="E297" s="1">
        <v>39</v>
      </c>
      <c r="F297" s="1" t="s">
        <v>6</v>
      </c>
      <c r="G297" s="44">
        <f t="shared" si="8"/>
        <v>265</v>
      </c>
      <c r="H297" s="10" t="str">
        <f t="shared" si="9"/>
        <v>Saturday</v>
      </c>
    </row>
    <row r="298" spans="1:8">
      <c r="A298" s="9">
        <v>157436507</v>
      </c>
      <c r="B298" s="6">
        <v>44850</v>
      </c>
      <c r="C298" s="1"/>
      <c r="D298" s="1" t="s">
        <v>7</v>
      </c>
      <c r="E298" s="1">
        <v>39</v>
      </c>
      <c r="F298" s="1" t="s">
        <v>6</v>
      </c>
      <c r="G298" s="44" t="str">
        <f t="shared" si="8"/>
        <v/>
      </c>
      <c r="H298" s="10" t="str">
        <f t="shared" si="9"/>
        <v>Sunday</v>
      </c>
    </row>
    <row r="299" spans="1:8">
      <c r="A299" s="9">
        <v>123808301</v>
      </c>
      <c r="B299" s="6">
        <v>44850</v>
      </c>
      <c r="C299" s="6">
        <v>44861</v>
      </c>
      <c r="D299" s="1" t="s">
        <v>7</v>
      </c>
      <c r="E299" s="1">
        <v>39</v>
      </c>
      <c r="F299" s="1" t="s">
        <v>6</v>
      </c>
      <c r="G299" s="44">
        <f t="shared" si="8"/>
        <v>11</v>
      </c>
      <c r="H299" s="10" t="str">
        <f t="shared" si="9"/>
        <v>Sunday</v>
      </c>
    </row>
    <row r="300" spans="1:8">
      <c r="A300" s="9">
        <v>158033452</v>
      </c>
      <c r="B300" s="6">
        <v>44850</v>
      </c>
      <c r="C300" s="6">
        <v>44987</v>
      </c>
      <c r="D300" s="1" t="s">
        <v>7</v>
      </c>
      <c r="E300" s="1">
        <v>39</v>
      </c>
      <c r="F300" s="1" t="s">
        <v>6</v>
      </c>
      <c r="G300" s="44">
        <f t="shared" si="8"/>
        <v>137</v>
      </c>
      <c r="H300" s="10" t="str">
        <f t="shared" si="9"/>
        <v>Sunday</v>
      </c>
    </row>
    <row r="301" spans="1:8">
      <c r="A301" s="9">
        <v>156796659</v>
      </c>
      <c r="B301" s="6">
        <v>44850</v>
      </c>
      <c r="C301" s="6">
        <v>44994</v>
      </c>
      <c r="D301" s="1" t="s">
        <v>7</v>
      </c>
      <c r="E301" s="1">
        <v>39</v>
      </c>
      <c r="F301" s="1" t="s">
        <v>6</v>
      </c>
      <c r="G301" s="44">
        <f t="shared" si="8"/>
        <v>144</v>
      </c>
      <c r="H301" s="10" t="str">
        <f t="shared" si="9"/>
        <v>Sunday</v>
      </c>
    </row>
    <row r="302" spans="1:8">
      <c r="A302" s="9">
        <v>158093021</v>
      </c>
      <c r="B302" s="6">
        <v>44850</v>
      </c>
      <c r="C302" s="6">
        <v>44922</v>
      </c>
      <c r="D302" s="1" t="s">
        <v>7</v>
      </c>
      <c r="E302" s="1">
        <v>39</v>
      </c>
      <c r="F302" s="1" t="s">
        <v>6</v>
      </c>
      <c r="G302" s="44">
        <f t="shared" si="8"/>
        <v>72</v>
      </c>
      <c r="H302" s="10" t="str">
        <f t="shared" si="9"/>
        <v>Sunday</v>
      </c>
    </row>
    <row r="303" spans="1:8">
      <c r="A303" s="9">
        <v>157900412</v>
      </c>
      <c r="B303" s="6">
        <v>44850</v>
      </c>
      <c r="C303" s="6">
        <v>44874</v>
      </c>
      <c r="D303" s="1" t="s">
        <v>7</v>
      </c>
      <c r="E303" s="1">
        <v>39</v>
      </c>
      <c r="F303" s="1" t="s">
        <v>6</v>
      </c>
      <c r="G303" s="44">
        <f t="shared" si="8"/>
        <v>24</v>
      </c>
      <c r="H303" s="10" t="str">
        <f t="shared" si="9"/>
        <v>Sunday</v>
      </c>
    </row>
    <row r="304" spans="1:8">
      <c r="A304" s="9">
        <v>152892719</v>
      </c>
      <c r="B304" s="6">
        <v>44850</v>
      </c>
      <c r="C304" s="6">
        <v>44850</v>
      </c>
      <c r="D304" s="1" t="s">
        <v>7</v>
      </c>
      <c r="E304" s="1">
        <v>39</v>
      </c>
      <c r="F304" s="1" t="s">
        <v>6</v>
      </c>
      <c r="G304" s="44">
        <f t="shared" si="8"/>
        <v>0</v>
      </c>
      <c r="H304" s="10" t="str">
        <f t="shared" si="9"/>
        <v>Sunday</v>
      </c>
    </row>
    <row r="305" spans="1:8">
      <c r="A305" s="9">
        <v>158009130</v>
      </c>
      <c r="B305" s="6">
        <v>44851</v>
      </c>
      <c r="C305" s="1"/>
      <c r="D305" s="1" t="s">
        <v>7</v>
      </c>
      <c r="E305" s="1">
        <v>39</v>
      </c>
      <c r="F305" s="1" t="s">
        <v>6</v>
      </c>
      <c r="G305" s="44" t="str">
        <f t="shared" si="8"/>
        <v/>
      </c>
      <c r="H305" s="10" t="str">
        <f t="shared" si="9"/>
        <v>Monday</v>
      </c>
    </row>
    <row r="306" spans="1:8">
      <c r="A306" s="9">
        <v>157904656</v>
      </c>
      <c r="B306" s="6">
        <v>44851</v>
      </c>
      <c r="C306" s="6">
        <v>44910</v>
      </c>
      <c r="D306" s="1" t="s">
        <v>7</v>
      </c>
      <c r="E306" s="1">
        <v>39</v>
      </c>
      <c r="F306" s="1" t="s">
        <v>6</v>
      </c>
      <c r="G306" s="44">
        <f t="shared" si="8"/>
        <v>59</v>
      </c>
      <c r="H306" s="10" t="str">
        <f t="shared" si="9"/>
        <v>Monday</v>
      </c>
    </row>
    <row r="307" spans="1:8">
      <c r="A307" s="9">
        <v>157838980</v>
      </c>
      <c r="B307" s="6">
        <v>44851</v>
      </c>
      <c r="C307" s="6">
        <v>44973</v>
      </c>
      <c r="D307" s="1" t="s">
        <v>7</v>
      </c>
      <c r="E307" s="1">
        <v>39</v>
      </c>
      <c r="F307" s="1" t="s">
        <v>6</v>
      </c>
      <c r="G307" s="44">
        <f t="shared" si="8"/>
        <v>122</v>
      </c>
      <c r="H307" s="10" t="str">
        <f t="shared" si="9"/>
        <v>Monday</v>
      </c>
    </row>
    <row r="308" spans="1:8">
      <c r="A308" s="9">
        <v>123402996</v>
      </c>
      <c r="B308" s="6">
        <v>44851</v>
      </c>
      <c r="C308" s="6">
        <v>44930</v>
      </c>
      <c r="D308" s="1" t="s">
        <v>7</v>
      </c>
      <c r="E308" s="1">
        <v>39</v>
      </c>
      <c r="F308" s="1" t="s">
        <v>6</v>
      </c>
      <c r="G308" s="44">
        <f t="shared" si="8"/>
        <v>79</v>
      </c>
      <c r="H308" s="10" t="str">
        <f t="shared" si="9"/>
        <v>Monday</v>
      </c>
    </row>
    <row r="309" spans="1:8">
      <c r="A309" s="9">
        <v>158112356</v>
      </c>
      <c r="B309" s="6">
        <v>44851</v>
      </c>
      <c r="C309" s="6">
        <v>44925</v>
      </c>
      <c r="D309" s="1" t="s">
        <v>7</v>
      </c>
      <c r="E309" s="1">
        <v>39</v>
      </c>
      <c r="F309" s="1" t="s">
        <v>6</v>
      </c>
      <c r="G309" s="44">
        <f t="shared" si="8"/>
        <v>74</v>
      </c>
      <c r="H309" s="10" t="str">
        <f t="shared" si="9"/>
        <v>Monday</v>
      </c>
    </row>
    <row r="310" spans="1:8">
      <c r="A310" s="9">
        <v>152410420</v>
      </c>
      <c r="B310" s="6">
        <v>44851</v>
      </c>
      <c r="C310" s="6">
        <v>44883</v>
      </c>
      <c r="D310" s="1" t="s">
        <v>7</v>
      </c>
      <c r="E310" s="1">
        <v>39</v>
      </c>
      <c r="F310" s="1" t="s">
        <v>6</v>
      </c>
      <c r="G310" s="44">
        <f t="shared" si="8"/>
        <v>32</v>
      </c>
      <c r="H310" s="10" t="str">
        <f t="shared" si="9"/>
        <v>Monday</v>
      </c>
    </row>
    <row r="311" spans="1:8">
      <c r="A311" s="9">
        <v>158164441</v>
      </c>
      <c r="B311" s="6">
        <v>44851</v>
      </c>
      <c r="C311" s="6">
        <v>44882</v>
      </c>
      <c r="D311" s="1" t="s">
        <v>7</v>
      </c>
      <c r="E311" s="1">
        <v>39</v>
      </c>
      <c r="F311" s="1" t="s">
        <v>6</v>
      </c>
      <c r="G311" s="44">
        <f t="shared" si="8"/>
        <v>31</v>
      </c>
      <c r="H311" s="10" t="str">
        <f t="shared" si="9"/>
        <v>Monday</v>
      </c>
    </row>
    <row r="312" spans="1:8">
      <c r="A312" s="9">
        <v>153956466</v>
      </c>
      <c r="B312" s="6">
        <v>44851</v>
      </c>
      <c r="C312" s="6">
        <v>44882</v>
      </c>
      <c r="D312" s="1" t="s">
        <v>7</v>
      </c>
      <c r="E312" s="1">
        <v>39</v>
      </c>
      <c r="F312" s="1" t="s">
        <v>6</v>
      </c>
      <c r="G312" s="44">
        <f t="shared" si="8"/>
        <v>31</v>
      </c>
      <c r="H312" s="10" t="str">
        <f t="shared" si="9"/>
        <v>Monday</v>
      </c>
    </row>
    <row r="313" spans="1:8">
      <c r="A313" s="9">
        <v>158100990</v>
      </c>
      <c r="B313" s="6">
        <v>44851</v>
      </c>
      <c r="C313" s="6">
        <v>44879</v>
      </c>
      <c r="D313" s="1" t="s">
        <v>7</v>
      </c>
      <c r="E313" s="1">
        <v>39</v>
      </c>
      <c r="F313" s="1" t="s">
        <v>6</v>
      </c>
      <c r="G313" s="44">
        <f t="shared" si="8"/>
        <v>28</v>
      </c>
      <c r="H313" s="10" t="str">
        <f t="shared" si="9"/>
        <v>Monday</v>
      </c>
    </row>
    <row r="314" spans="1:8">
      <c r="A314" s="9">
        <v>158096894</v>
      </c>
      <c r="B314" s="6">
        <v>44851</v>
      </c>
      <c r="C314" s="6">
        <v>44879</v>
      </c>
      <c r="D314" s="1" t="s">
        <v>7</v>
      </c>
      <c r="E314" s="1">
        <v>39</v>
      </c>
      <c r="F314" s="1" t="s">
        <v>6</v>
      </c>
      <c r="G314" s="44">
        <f t="shared" si="8"/>
        <v>28</v>
      </c>
      <c r="H314" s="10" t="str">
        <f t="shared" si="9"/>
        <v>Monday</v>
      </c>
    </row>
    <row r="315" spans="1:8">
      <c r="A315" s="9">
        <v>158066376</v>
      </c>
      <c r="B315" s="6">
        <v>44851</v>
      </c>
      <c r="C315" s="6">
        <v>44873</v>
      </c>
      <c r="D315" s="1" t="s">
        <v>7</v>
      </c>
      <c r="E315" s="1">
        <v>39</v>
      </c>
      <c r="F315" s="1" t="s">
        <v>6</v>
      </c>
      <c r="G315" s="44">
        <f t="shared" si="8"/>
        <v>22</v>
      </c>
      <c r="H315" s="10" t="str">
        <f t="shared" si="9"/>
        <v>Monday</v>
      </c>
    </row>
    <row r="316" spans="1:8">
      <c r="A316" s="9">
        <v>158220808</v>
      </c>
      <c r="B316" s="6">
        <v>44852</v>
      </c>
      <c r="C316" s="1"/>
      <c r="D316" s="1" t="s">
        <v>8</v>
      </c>
      <c r="E316" s="1">
        <v>39</v>
      </c>
      <c r="F316" s="1" t="s">
        <v>6</v>
      </c>
      <c r="G316" s="44" t="str">
        <f t="shared" si="8"/>
        <v/>
      </c>
      <c r="H316" s="10" t="str">
        <f t="shared" si="9"/>
        <v>Tuesday</v>
      </c>
    </row>
    <row r="317" spans="1:8">
      <c r="A317" s="9">
        <v>131779624</v>
      </c>
      <c r="B317" s="6">
        <v>44852</v>
      </c>
      <c r="C317" s="6">
        <v>44890</v>
      </c>
      <c r="D317" s="1" t="s">
        <v>7</v>
      </c>
      <c r="E317" s="1">
        <v>39</v>
      </c>
      <c r="F317" s="1" t="s">
        <v>6</v>
      </c>
      <c r="G317" s="44">
        <f t="shared" si="8"/>
        <v>38</v>
      </c>
      <c r="H317" s="10" t="str">
        <f t="shared" si="9"/>
        <v>Tuesday</v>
      </c>
    </row>
    <row r="318" spans="1:8">
      <c r="A318" s="9">
        <v>158267390</v>
      </c>
      <c r="B318" s="6">
        <v>44852</v>
      </c>
      <c r="C318" s="6">
        <v>44920</v>
      </c>
      <c r="D318" s="1" t="s">
        <v>7</v>
      </c>
      <c r="E318" s="1">
        <v>39</v>
      </c>
      <c r="F318" s="1" t="s">
        <v>6</v>
      </c>
      <c r="G318" s="44">
        <f t="shared" si="8"/>
        <v>68</v>
      </c>
      <c r="H318" s="10" t="str">
        <f t="shared" si="9"/>
        <v>Tuesday</v>
      </c>
    </row>
    <row r="319" spans="1:8">
      <c r="A319" s="9">
        <v>152354478</v>
      </c>
      <c r="B319" s="6">
        <v>44852</v>
      </c>
      <c r="C319" s="6">
        <v>44959</v>
      </c>
      <c r="D319" s="1" t="s">
        <v>7</v>
      </c>
      <c r="E319" s="1">
        <v>39</v>
      </c>
      <c r="F319" s="1" t="s">
        <v>6</v>
      </c>
      <c r="G319" s="44">
        <f t="shared" si="8"/>
        <v>107</v>
      </c>
      <c r="H319" s="10" t="str">
        <f t="shared" si="9"/>
        <v>Tuesday</v>
      </c>
    </row>
    <row r="320" spans="1:8">
      <c r="A320" s="9">
        <v>146376235</v>
      </c>
      <c r="B320" s="6">
        <v>44852</v>
      </c>
      <c r="C320" s="6">
        <v>44902</v>
      </c>
      <c r="D320" s="1" t="s">
        <v>7</v>
      </c>
      <c r="E320" s="1">
        <v>39</v>
      </c>
      <c r="F320" s="1" t="s">
        <v>6</v>
      </c>
      <c r="G320" s="44">
        <f t="shared" si="8"/>
        <v>50</v>
      </c>
      <c r="H320" s="10" t="str">
        <f t="shared" si="9"/>
        <v>Tuesday</v>
      </c>
    </row>
    <row r="321" spans="1:8">
      <c r="A321" s="9">
        <v>153953296</v>
      </c>
      <c r="B321" s="6">
        <v>44852</v>
      </c>
      <c r="C321" s="6">
        <v>44867</v>
      </c>
      <c r="D321" s="1" t="s">
        <v>7</v>
      </c>
      <c r="E321" s="1">
        <v>39</v>
      </c>
      <c r="F321" s="1" t="s">
        <v>6</v>
      </c>
      <c r="G321" s="44">
        <f t="shared" si="8"/>
        <v>15</v>
      </c>
      <c r="H321" s="10" t="str">
        <f t="shared" si="9"/>
        <v>Tuesday</v>
      </c>
    </row>
    <row r="322" spans="1:8">
      <c r="A322" s="9">
        <v>154659594</v>
      </c>
      <c r="B322" s="6">
        <v>44852</v>
      </c>
      <c r="C322" s="6">
        <v>44879</v>
      </c>
      <c r="D322" s="1" t="s">
        <v>7</v>
      </c>
      <c r="E322" s="1">
        <v>39</v>
      </c>
      <c r="F322" s="1" t="s">
        <v>6</v>
      </c>
      <c r="G322" s="44">
        <f t="shared" si="8"/>
        <v>27</v>
      </c>
      <c r="H322" s="10" t="str">
        <f t="shared" si="9"/>
        <v>Tuesday</v>
      </c>
    </row>
    <row r="323" spans="1:8">
      <c r="A323" s="9">
        <v>157998778</v>
      </c>
      <c r="B323" s="6">
        <v>44852</v>
      </c>
      <c r="C323" s="6">
        <v>44890</v>
      </c>
      <c r="D323" s="1" t="s">
        <v>7</v>
      </c>
      <c r="E323" s="1">
        <v>39</v>
      </c>
      <c r="F323" s="1" t="s">
        <v>6</v>
      </c>
      <c r="G323" s="44">
        <f t="shared" ref="G323:G386" si="10">IF(C323="", "", DATEDIF(B323, C323, "D"))</f>
        <v>38</v>
      </c>
      <c r="H323" s="10" t="str">
        <f t="shared" ref="H323:H386" si="11">TEXT(B323, "dddd")</f>
        <v>Tuesday</v>
      </c>
    </row>
    <row r="324" spans="1:8">
      <c r="A324" s="9">
        <v>150668840</v>
      </c>
      <c r="B324" s="6">
        <v>44852</v>
      </c>
      <c r="C324" s="6">
        <v>44866</v>
      </c>
      <c r="D324" s="1" t="s">
        <v>7</v>
      </c>
      <c r="E324" s="1">
        <v>39</v>
      </c>
      <c r="F324" s="1" t="s">
        <v>6</v>
      </c>
      <c r="G324" s="44">
        <f t="shared" si="10"/>
        <v>14</v>
      </c>
      <c r="H324" s="10" t="str">
        <f t="shared" si="11"/>
        <v>Tuesday</v>
      </c>
    </row>
    <row r="325" spans="1:8">
      <c r="A325" s="9">
        <v>158184958</v>
      </c>
      <c r="B325" s="6">
        <v>44852</v>
      </c>
      <c r="C325" s="6">
        <v>44867</v>
      </c>
      <c r="D325" s="1" t="s">
        <v>7</v>
      </c>
      <c r="E325" s="1">
        <v>39</v>
      </c>
      <c r="F325" s="1" t="s">
        <v>6</v>
      </c>
      <c r="G325" s="44">
        <f t="shared" si="10"/>
        <v>15</v>
      </c>
      <c r="H325" s="10" t="str">
        <f t="shared" si="11"/>
        <v>Tuesday</v>
      </c>
    </row>
    <row r="326" spans="1:8">
      <c r="A326" s="9">
        <v>158362440</v>
      </c>
      <c r="B326" s="6">
        <v>44853</v>
      </c>
      <c r="C326" s="6">
        <v>45065</v>
      </c>
      <c r="D326" s="1" t="s">
        <v>7</v>
      </c>
      <c r="E326" s="1">
        <v>39</v>
      </c>
      <c r="F326" s="1" t="s">
        <v>6</v>
      </c>
      <c r="G326" s="44">
        <f t="shared" si="10"/>
        <v>212</v>
      </c>
      <c r="H326" s="10" t="str">
        <f t="shared" si="11"/>
        <v>Wednesday</v>
      </c>
    </row>
    <row r="327" spans="1:8">
      <c r="A327" s="9">
        <v>158477370</v>
      </c>
      <c r="B327" s="6">
        <v>44853</v>
      </c>
      <c r="C327" s="6">
        <v>44978</v>
      </c>
      <c r="D327" s="1" t="s">
        <v>7</v>
      </c>
      <c r="E327" s="1">
        <v>39</v>
      </c>
      <c r="F327" s="1" t="s">
        <v>6</v>
      </c>
      <c r="G327" s="44">
        <f t="shared" si="10"/>
        <v>125</v>
      </c>
      <c r="H327" s="10" t="str">
        <f t="shared" si="11"/>
        <v>Wednesday</v>
      </c>
    </row>
    <row r="328" spans="1:8">
      <c r="A328" s="9">
        <v>158047538</v>
      </c>
      <c r="B328" s="6">
        <v>44853</v>
      </c>
      <c r="C328" s="6">
        <v>44948</v>
      </c>
      <c r="D328" s="1" t="s">
        <v>7</v>
      </c>
      <c r="E328" s="1">
        <v>39</v>
      </c>
      <c r="F328" s="1" t="s">
        <v>6</v>
      </c>
      <c r="G328" s="44">
        <f t="shared" si="10"/>
        <v>95</v>
      </c>
      <c r="H328" s="10" t="str">
        <f t="shared" si="11"/>
        <v>Wednesday</v>
      </c>
    </row>
    <row r="329" spans="1:8">
      <c r="A329" s="9">
        <v>157910445</v>
      </c>
      <c r="B329" s="6">
        <v>44853</v>
      </c>
      <c r="C329" s="6">
        <v>44941</v>
      </c>
      <c r="D329" s="1" t="s">
        <v>7</v>
      </c>
      <c r="E329" s="1">
        <v>39</v>
      </c>
      <c r="F329" s="1" t="s">
        <v>6</v>
      </c>
      <c r="G329" s="44">
        <f t="shared" si="10"/>
        <v>88</v>
      </c>
      <c r="H329" s="10" t="str">
        <f t="shared" si="11"/>
        <v>Wednesday</v>
      </c>
    </row>
    <row r="330" spans="1:8">
      <c r="A330" s="9">
        <v>154091460</v>
      </c>
      <c r="B330" s="6">
        <v>44853</v>
      </c>
      <c r="C330" s="6">
        <v>45098</v>
      </c>
      <c r="D330" s="1" t="s">
        <v>7</v>
      </c>
      <c r="E330" s="1">
        <v>39</v>
      </c>
      <c r="F330" s="1" t="s">
        <v>6</v>
      </c>
      <c r="G330" s="44">
        <f t="shared" si="10"/>
        <v>245</v>
      </c>
      <c r="H330" s="10" t="str">
        <f t="shared" si="11"/>
        <v>Wednesday</v>
      </c>
    </row>
    <row r="331" spans="1:8">
      <c r="A331" s="9">
        <v>158532103</v>
      </c>
      <c r="B331" s="6">
        <v>44854</v>
      </c>
      <c r="C331" s="6">
        <v>45059</v>
      </c>
      <c r="D331" s="1" t="s">
        <v>7</v>
      </c>
      <c r="E331" s="1">
        <v>39</v>
      </c>
      <c r="F331" s="1" t="s">
        <v>6</v>
      </c>
      <c r="G331" s="44">
        <f t="shared" si="10"/>
        <v>205</v>
      </c>
      <c r="H331" s="10" t="str">
        <f t="shared" si="11"/>
        <v>Thursday</v>
      </c>
    </row>
    <row r="332" spans="1:8">
      <c r="A332" s="9">
        <v>158591698</v>
      </c>
      <c r="B332" s="6">
        <v>44854</v>
      </c>
      <c r="C332" s="6">
        <v>45002</v>
      </c>
      <c r="D332" s="1" t="s">
        <v>7</v>
      </c>
      <c r="E332" s="1">
        <v>39</v>
      </c>
      <c r="F332" s="1" t="s">
        <v>6</v>
      </c>
      <c r="G332" s="44">
        <f t="shared" si="10"/>
        <v>148</v>
      </c>
      <c r="H332" s="10" t="str">
        <f t="shared" si="11"/>
        <v>Thursday</v>
      </c>
    </row>
    <row r="333" spans="1:8">
      <c r="A333" s="9">
        <v>158533909</v>
      </c>
      <c r="B333" s="6">
        <v>44854</v>
      </c>
      <c r="C333" s="6">
        <v>44953</v>
      </c>
      <c r="D333" s="1" t="s">
        <v>7</v>
      </c>
      <c r="E333" s="1">
        <v>39</v>
      </c>
      <c r="F333" s="1" t="s">
        <v>6</v>
      </c>
      <c r="G333" s="44">
        <f t="shared" si="10"/>
        <v>99</v>
      </c>
      <c r="H333" s="10" t="str">
        <f t="shared" si="11"/>
        <v>Thursday</v>
      </c>
    </row>
    <row r="334" spans="1:8">
      <c r="A334" s="9">
        <v>156372496</v>
      </c>
      <c r="B334" s="6">
        <v>44854</v>
      </c>
      <c r="C334" s="6">
        <v>44910</v>
      </c>
      <c r="D334" s="1" t="s">
        <v>7</v>
      </c>
      <c r="E334" s="1">
        <v>39</v>
      </c>
      <c r="F334" s="1" t="s">
        <v>6</v>
      </c>
      <c r="G334" s="44">
        <f t="shared" si="10"/>
        <v>56</v>
      </c>
      <c r="H334" s="10" t="str">
        <f t="shared" si="11"/>
        <v>Thursday</v>
      </c>
    </row>
    <row r="335" spans="1:8">
      <c r="A335" s="9">
        <v>158620475</v>
      </c>
      <c r="B335" s="6">
        <v>44854</v>
      </c>
      <c r="C335" s="6">
        <v>45135</v>
      </c>
      <c r="D335" s="1" t="s">
        <v>7</v>
      </c>
      <c r="E335" s="1">
        <v>39</v>
      </c>
      <c r="F335" s="1" t="s">
        <v>6</v>
      </c>
      <c r="G335" s="44">
        <f t="shared" si="10"/>
        <v>281</v>
      </c>
      <c r="H335" s="10" t="str">
        <f t="shared" si="11"/>
        <v>Thursday</v>
      </c>
    </row>
    <row r="336" spans="1:8">
      <c r="A336" s="9">
        <v>158539824</v>
      </c>
      <c r="B336" s="6">
        <v>44854</v>
      </c>
      <c r="C336" s="6">
        <v>45097</v>
      </c>
      <c r="D336" s="1" t="s">
        <v>7</v>
      </c>
      <c r="E336" s="1">
        <v>39</v>
      </c>
      <c r="F336" s="1" t="s">
        <v>6</v>
      </c>
      <c r="G336" s="44">
        <f t="shared" si="10"/>
        <v>243</v>
      </c>
      <c r="H336" s="10" t="str">
        <f t="shared" si="11"/>
        <v>Thursday</v>
      </c>
    </row>
    <row r="337" spans="1:8">
      <c r="A337" s="9">
        <v>158499042</v>
      </c>
      <c r="B337" s="6">
        <v>44855</v>
      </c>
      <c r="C337" s="1"/>
      <c r="D337" s="1" t="s">
        <v>7</v>
      </c>
      <c r="E337" s="1">
        <v>39</v>
      </c>
      <c r="F337" s="1" t="s">
        <v>6</v>
      </c>
      <c r="G337" s="44" t="str">
        <f t="shared" si="10"/>
        <v/>
      </c>
      <c r="H337" s="10" t="str">
        <f t="shared" si="11"/>
        <v>Friday</v>
      </c>
    </row>
    <row r="338" spans="1:8">
      <c r="A338" s="9">
        <v>158755464</v>
      </c>
      <c r="B338" s="6">
        <v>44855</v>
      </c>
      <c r="C338" s="6">
        <v>44893</v>
      </c>
      <c r="D338" s="1" t="s">
        <v>7</v>
      </c>
      <c r="E338" s="1">
        <v>39</v>
      </c>
      <c r="F338" s="1" t="s">
        <v>6</v>
      </c>
      <c r="G338" s="44">
        <f t="shared" si="10"/>
        <v>38</v>
      </c>
      <c r="H338" s="10" t="str">
        <f t="shared" si="11"/>
        <v>Friday</v>
      </c>
    </row>
    <row r="339" spans="1:8">
      <c r="A339" s="9">
        <v>149112756</v>
      </c>
      <c r="B339" s="6">
        <v>44855</v>
      </c>
      <c r="C339" s="6">
        <v>45074</v>
      </c>
      <c r="D339" s="1" t="s">
        <v>7</v>
      </c>
      <c r="E339" s="1">
        <v>39</v>
      </c>
      <c r="F339" s="1" t="s">
        <v>6</v>
      </c>
      <c r="G339" s="44">
        <f t="shared" si="10"/>
        <v>219</v>
      </c>
      <c r="H339" s="10" t="str">
        <f t="shared" si="11"/>
        <v>Friday</v>
      </c>
    </row>
    <row r="340" spans="1:8">
      <c r="A340" s="9">
        <v>149065622</v>
      </c>
      <c r="B340" s="6">
        <v>44855</v>
      </c>
      <c r="C340" s="6">
        <v>44923</v>
      </c>
      <c r="D340" s="1" t="s">
        <v>7</v>
      </c>
      <c r="E340" s="1">
        <v>39</v>
      </c>
      <c r="F340" s="1" t="s">
        <v>6</v>
      </c>
      <c r="G340" s="44">
        <f t="shared" si="10"/>
        <v>68</v>
      </c>
      <c r="H340" s="10" t="str">
        <f t="shared" si="11"/>
        <v>Friday</v>
      </c>
    </row>
    <row r="341" spans="1:8">
      <c r="A341" s="9">
        <v>158656065</v>
      </c>
      <c r="B341" s="6">
        <v>44855</v>
      </c>
      <c r="C341" s="6">
        <v>44925</v>
      </c>
      <c r="D341" s="1" t="s">
        <v>7</v>
      </c>
      <c r="E341" s="1">
        <v>39</v>
      </c>
      <c r="F341" s="1" t="s">
        <v>6</v>
      </c>
      <c r="G341" s="44">
        <f t="shared" si="10"/>
        <v>70</v>
      </c>
      <c r="H341" s="10" t="str">
        <f t="shared" si="11"/>
        <v>Friday</v>
      </c>
    </row>
    <row r="342" spans="1:8">
      <c r="A342" s="9">
        <v>158756090</v>
      </c>
      <c r="B342" s="6">
        <v>44855</v>
      </c>
      <c r="C342" s="6">
        <v>44867</v>
      </c>
      <c r="D342" s="1" t="s">
        <v>7</v>
      </c>
      <c r="E342" s="1">
        <v>39</v>
      </c>
      <c r="F342" s="1" t="s">
        <v>6</v>
      </c>
      <c r="G342" s="44">
        <f t="shared" si="10"/>
        <v>12</v>
      </c>
      <c r="H342" s="10" t="str">
        <f t="shared" si="11"/>
        <v>Friday</v>
      </c>
    </row>
    <row r="343" spans="1:8">
      <c r="A343" s="9">
        <v>158447710</v>
      </c>
      <c r="B343" s="6">
        <v>44855</v>
      </c>
      <c r="C343" s="6">
        <v>44883</v>
      </c>
      <c r="D343" s="1" t="s">
        <v>7</v>
      </c>
      <c r="E343" s="1">
        <v>39</v>
      </c>
      <c r="F343" s="1" t="s">
        <v>6</v>
      </c>
      <c r="G343" s="44">
        <f t="shared" si="10"/>
        <v>28</v>
      </c>
      <c r="H343" s="10" t="str">
        <f t="shared" si="11"/>
        <v>Friday</v>
      </c>
    </row>
    <row r="344" spans="1:8">
      <c r="A344" s="9">
        <v>157568391</v>
      </c>
      <c r="B344" s="6">
        <v>44855</v>
      </c>
      <c r="C344" s="6">
        <v>44886</v>
      </c>
      <c r="D344" s="1" t="s">
        <v>7</v>
      </c>
      <c r="E344" s="1">
        <v>39</v>
      </c>
      <c r="F344" s="1" t="s">
        <v>6</v>
      </c>
      <c r="G344" s="44">
        <f t="shared" si="10"/>
        <v>31</v>
      </c>
      <c r="H344" s="10" t="str">
        <f t="shared" si="11"/>
        <v>Friday</v>
      </c>
    </row>
    <row r="345" spans="1:8">
      <c r="A345" s="9">
        <v>157505106</v>
      </c>
      <c r="B345" s="6">
        <v>44856</v>
      </c>
      <c r="C345" s="1"/>
      <c r="D345" s="1" t="s">
        <v>7</v>
      </c>
      <c r="E345" s="1">
        <v>39</v>
      </c>
      <c r="F345" s="1" t="s">
        <v>6</v>
      </c>
      <c r="G345" s="44" t="str">
        <f t="shared" si="10"/>
        <v/>
      </c>
      <c r="H345" s="10" t="str">
        <f t="shared" si="11"/>
        <v>Saturday</v>
      </c>
    </row>
    <row r="346" spans="1:8">
      <c r="A346" s="9">
        <v>158761363</v>
      </c>
      <c r="B346" s="6">
        <v>44856</v>
      </c>
      <c r="C346" s="6">
        <v>44983</v>
      </c>
      <c r="D346" s="1" t="s">
        <v>7</v>
      </c>
      <c r="E346" s="1">
        <v>39</v>
      </c>
      <c r="F346" s="1" t="s">
        <v>6</v>
      </c>
      <c r="G346" s="44">
        <f t="shared" si="10"/>
        <v>127</v>
      </c>
      <c r="H346" s="10" t="str">
        <f t="shared" si="11"/>
        <v>Saturday</v>
      </c>
    </row>
    <row r="347" spans="1:8">
      <c r="A347" s="9">
        <v>144858980</v>
      </c>
      <c r="B347" s="6">
        <v>44856</v>
      </c>
      <c r="C347" s="6">
        <v>44917</v>
      </c>
      <c r="D347" s="1" t="s">
        <v>7</v>
      </c>
      <c r="E347" s="1">
        <v>39</v>
      </c>
      <c r="F347" s="1" t="s">
        <v>6</v>
      </c>
      <c r="G347" s="44">
        <f t="shared" si="10"/>
        <v>61</v>
      </c>
      <c r="H347" s="10" t="str">
        <f t="shared" si="11"/>
        <v>Saturday</v>
      </c>
    </row>
    <row r="348" spans="1:8">
      <c r="A348" s="9">
        <v>151000288</v>
      </c>
      <c r="B348" s="6">
        <v>44856</v>
      </c>
      <c r="C348" s="6">
        <v>44917</v>
      </c>
      <c r="D348" s="1" t="s">
        <v>7</v>
      </c>
      <c r="E348" s="1">
        <v>39</v>
      </c>
      <c r="F348" s="1" t="s">
        <v>6</v>
      </c>
      <c r="G348" s="44">
        <f t="shared" si="10"/>
        <v>61</v>
      </c>
      <c r="H348" s="10" t="str">
        <f t="shared" si="11"/>
        <v>Saturday</v>
      </c>
    </row>
    <row r="349" spans="1:8">
      <c r="A349" s="9">
        <v>136276852</v>
      </c>
      <c r="B349" s="6">
        <v>44856</v>
      </c>
      <c r="C349" s="6">
        <v>44887</v>
      </c>
      <c r="D349" s="1" t="s">
        <v>7</v>
      </c>
      <c r="E349" s="1">
        <v>39</v>
      </c>
      <c r="F349" s="1" t="s">
        <v>6</v>
      </c>
      <c r="G349" s="44">
        <f t="shared" si="10"/>
        <v>31</v>
      </c>
      <c r="H349" s="10" t="str">
        <f t="shared" si="11"/>
        <v>Saturday</v>
      </c>
    </row>
    <row r="350" spans="1:8">
      <c r="A350" s="9">
        <v>158767852</v>
      </c>
      <c r="B350" s="6">
        <v>44856</v>
      </c>
      <c r="C350" s="6">
        <v>44894</v>
      </c>
      <c r="D350" s="1" t="s">
        <v>7</v>
      </c>
      <c r="E350" s="1">
        <v>39</v>
      </c>
      <c r="F350" s="1" t="s">
        <v>6</v>
      </c>
      <c r="G350" s="44">
        <f t="shared" si="10"/>
        <v>38</v>
      </c>
      <c r="H350" s="10" t="str">
        <f t="shared" si="11"/>
        <v>Saturday</v>
      </c>
    </row>
    <row r="351" spans="1:8">
      <c r="A351" s="9">
        <v>158849640</v>
      </c>
      <c r="B351" s="6">
        <v>44857</v>
      </c>
      <c r="C351" s="1"/>
      <c r="D351" s="1" t="s">
        <v>7</v>
      </c>
      <c r="E351" s="1">
        <v>39</v>
      </c>
      <c r="F351" s="1" t="s">
        <v>6</v>
      </c>
      <c r="G351" s="44" t="str">
        <f t="shared" si="10"/>
        <v/>
      </c>
      <c r="H351" s="10" t="str">
        <f t="shared" si="11"/>
        <v>Sunday</v>
      </c>
    </row>
    <row r="352" spans="1:8">
      <c r="A352" s="9">
        <v>151491892</v>
      </c>
      <c r="B352" s="6">
        <v>44857</v>
      </c>
      <c r="C352" s="6">
        <v>44858</v>
      </c>
      <c r="D352" s="1" t="s">
        <v>7</v>
      </c>
      <c r="E352" s="1">
        <v>39</v>
      </c>
      <c r="F352" s="1" t="s">
        <v>6</v>
      </c>
      <c r="G352" s="44">
        <f t="shared" si="10"/>
        <v>1</v>
      </c>
      <c r="H352" s="10" t="str">
        <f t="shared" si="11"/>
        <v>Sunday</v>
      </c>
    </row>
    <row r="353" spans="1:8">
      <c r="A353" s="9">
        <v>157474087</v>
      </c>
      <c r="B353" s="6">
        <v>44857</v>
      </c>
      <c r="C353" s="6">
        <v>44925</v>
      </c>
      <c r="D353" s="1" t="s">
        <v>7</v>
      </c>
      <c r="E353" s="1">
        <v>39</v>
      </c>
      <c r="F353" s="1" t="s">
        <v>6</v>
      </c>
      <c r="G353" s="44">
        <f t="shared" si="10"/>
        <v>68</v>
      </c>
      <c r="H353" s="10" t="str">
        <f t="shared" si="11"/>
        <v>Sunday</v>
      </c>
    </row>
    <row r="354" spans="1:8">
      <c r="A354" s="9">
        <v>157997679</v>
      </c>
      <c r="B354" s="6">
        <v>44857</v>
      </c>
      <c r="C354" s="6">
        <v>45095</v>
      </c>
      <c r="D354" s="1" t="s">
        <v>7</v>
      </c>
      <c r="E354" s="1">
        <v>39</v>
      </c>
      <c r="F354" s="1" t="s">
        <v>6</v>
      </c>
      <c r="G354" s="44">
        <f t="shared" si="10"/>
        <v>238</v>
      </c>
      <c r="H354" s="10" t="str">
        <f t="shared" si="11"/>
        <v>Sunday</v>
      </c>
    </row>
    <row r="355" spans="1:8">
      <c r="A355" s="9">
        <v>158566772</v>
      </c>
      <c r="B355" s="6">
        <v>44857</v>
      </c>
      <c r="C355" s="6">
        <v>44978</v>
      </c>
      <c r="D355" s="1" t="s">
        <v>7</v>
      </c>
      <c r="E355" s="1">
        <v>39</v>
      </c>
      <c r="F355" s="1" t="s">
        <v>6</v>
      </c>
      <c r="G355" s="44">
        <f t="shared" si="10"/>
        <v>121</v>
      </c>
      <c r="H355" s="10" t="str">
        <f t="shared" si="11"/>
        <v>Sunday</v>
      </c>
    </row>
    <row r="356" spans="1:8">
      <c r="A356" s="9">
        <v>157788656</v>
      </c>
      <c r="B356" s="6">
        <v>44857</v>
      </c>
      <c r="C356" s="6">
        <v>44915</v>
      </c>
      <c r="D356" s="1" t="s">
        <v>7</v>
      </c>
      <c r="E356" s="1">
        <v>39</v>
      </c>
      <c r="F356" s="1" t="s">
        <v>6</v>
      </c>
      <c r="G356" s="44">
        <f t="shared" si="10"/>
        <v>58</v>
      </c>
      <c r="H356" s="10" t="str">
        <f t="shared" si="11"/>
        <v>Sunday</v>
      </c>
    </row>
    <row r="357" spans="1:8">
      <c r="A357" s="9">
        <v>158832658</v>
      </c>
      <c r="B357" s="6">
        <v>44857</v>
      </c>
      <c r="C357" s="6">
        <v>44867</v>
      </c>
      <c r="D357" s="1" t="s">
        <v>7</v>
      </c>
      <c r="E357" s="1">
        <v>39</v>
      </c>
      <c r="F357" s="1" t="s">
        <v>6</v>
      </c>
      <c r="G357" s="44">
        <f t="shared" si="10"/>
        <v>10</v>
      </c>
      <c r="H357" s="10" t="str">
        <f t="shared" si="11"/>
        <v>Sunday</v>
      </c>
    </row>
    <row r="358" spans="1:8">
      <c r="A358" s="9">
        <v>130837976</v>
      </c>
      <c r="B358" s="6">
        <v>44857</v>
      </c>
      <c r="C358" s="6">
        <v>44888</v>
      </c>
      <c r="D358" s="1" t="s">
        <v>7</v>
      </c>
      <c r="E358" s="1">
        <v>39</v>
      </c>
      <c r="F358" s="1" t="s">
        <v>6</v>
      </c>
      <c r="G358" s="44">
        <f t="shared" si="10"/>
        <v>31</v>
      </c>
      <c r="H358" s="10" t="str">
        <f t="shared" si="11"/>
        <v>Sunday</v>
      </c>
    </row>
    <row r="359" spans="1:8">
      <c r="A359" s="9">
        <v>159095030</v>
      </c>
      <c r="B359" s="6">
        <v>44858</v>
      </c>
      <c r="C359" s="6">
        <v>44973</v>
      </c>
      <c r="D359" s="1" t="s">
        <v>7</v>
      </c>
      <c r="E359" s="1">
        <v>39</v>
      </c>
      <c r="F359" s="1" t="s">
        <v>6</v>
      </c>
      <c r="G359" s="44">
        <f t="shared" si="10"/>
        <v>115</v>
      </c>
      <c r="H359" s="10" t="str">
        <f t="shared" si="11"/>
        <v>Monday</v>
      </c>
    </row>
    <row r="360" spans="1:8">
      <c r="A360" s="9">
        <v>159028041</v>
      </c>
      <c r="B360" s="6">
        <v>44858</v>
      </c>
      <c r="C360" s="6">
        <v>44896</v>
      </c>
      <c r="D360" s="1" t="s">
        <v>7</v>
      </c>
      <c r="E360" s="1">
        <v>39</v>
      </c>
      <c r="F360" s="1" t="s">
        <v>6</v>
      </c>
      <c r="G360" s="44">
        <f t="shared" si="10"/>
        <v>38</v>
      </c>
      <c r="H360" s="10" t="str">
        <f t="shared" si="11"/>
        <v>Monday</v>
      </c>
    </row>
    <row r="361" spans="1:8">
      <c r="A361" s="9">
        <v>159018168</v>
      </c>
      <c r="B361" s="6">
        <v>44858</v>
      </c>
      <c r="C361" s="6">
        <v>44896</v>
      </c>
      <c r="D361" s="1" t="s">
        <v>7</v>
      </c>
      <c r="E361" s="1">
        <v>39</v>
      </c>
      <c r="F361" s="1" t="s">
        <v>6</v>
      </c>
      <c r="G361" s="44">
        <f t="shared" si="10"/>
        <v>38</v>
      </c>
      <c r="H361" s="10" t="str">
        <f t="shared" si="11"/>
        <v>Monday</v>
      </c>
    </row>
    <row r="362" spans="1:8">
      <c r="A362" s="9">
        <v>157981870</v>
      </c>
      <c r="B362" s="6">
        <v>44858</v>
      </c>
      <c r="C362" s="6">
        <v>44872</v>
      </c>
      <c r="D362" s="1" t="s">
        <v>7</v>
      </c>
      <c r="E362" s="1">
        <v>39</v>
      </c>
      <c r="F362" s="1" t="s">
        <v>6</v>
      </c>
      <c r="G362" s="44">
        <f t="shared" si="10"/>
        <v>14</v>
      </c>
      <c r="H362" s="10" t="str">
        <f t="shared" si="11"/>
        <v>Monday</v>
      </c>
    </row>
    <row r="363" spans="1:8">
      <c r="A363" s="9">
        <v>153061698</v>
      </c>
      <c r="B363" s="6">
        <v>44858</v>
      </c>
      <c r="C363" s="6">
        <v>44889</v>
      </c>
      <c r="D363" s="1" t="s">
        <v>7</v>
      </c>
      <c r="E363" s="1">
        <v>39</v>
      </c>
      <c r="F363" s="1" t="s">
        <v>6</v>
      </c>
      <c r="G363" s="44">
        <f t="shared" si="10"/>
        <v>31</v>
      </c>
      <c r="H363" s="10" t="str">
        <f t="shared" si="11"/>
        <v>Monday</v>
      </c>
    </row>
    <row r="364" spans="1:8">
      <c r="A364" s="9">
        <v>159204523</v>
      </c>
      <c r="B364" s="6">
        <v>44859</v>
      </c>
      <c r="C364" s="1"/>
      <c r="D364" s="1" t="s">
        <v>7</v>
      </c>
      <c r="E364" s="1">
        <v>39</v>
      </c>
      <c r="F364" s="1" t="s">
        <v>6</v>
      </c>
      <c r="G364" s="44" t="str">
        <f t="shared" si="10"/>
        <v/>
      </c>
      <c r="H364" s="10" t="str">
        <f t="shared" si="11"/>
        <v>Tuesday</v>
      </c>
    </row>
    <row r="365" spans="1:8">
      <c r="A365" s="9">
        <v>159236268</v>
      </c>
      <c r="B365" s="6">
        <v>44859</v>
      </c>
      <c r="C365" s="1"/>
      <c r="D365" s="1" t="s">
        <v>8</v>
      </c>
      <c r="E365" s="1">
        <v>39</v>
      </c>
      <c r="F365" s="1" t="s">
        <v>6</v>
      </c>
      <c r="G365" s="44" t="str">
        <f t="shared" si="10"/>
        <v/>
      </c>
      <c r="H365" s="10" t="str">
        <f t="shared" si="11"/>
        <v>Tuesday</v>
      </c>
    </row>
    <row r="366" spans="1:8">
      <c r="A366" s="9">
        <v>159256553</v>
      </c>
      <c r="B366" s="6">
        <v>44859</v>
      </c>
      <c r="C366" s="6">
        <v>44936</v>
      </c>
      <c r="D366" s="1" t="s">
        <v>7</v>
      </c>
      <c r="E366" s="1">
        <v>39</v>
      </c>
      <c r="F366" s="1" t="s">
        <v>6</v>
      </c>
      <c r="G366" s="44">
        <f t="shared" si="10"/>
        <v>77</v>
      </c>
      <c r="H366" s="10" t="str">
        <f t="shared" si="11"/>
        <v>Tuesday</v>
      </c>
    </row>
    <row r="367" spans="1:8">
      <c r="A367" s="9">
        <v>159211568</v>
      </c>
      <c r="B367" s="6">
        <v>44859</v>
      </c>
      <c r="C367" s="6">
        <v>44928</v>
      </c>
      <c r="D367" s="1" t="s">
        <v>7</v>
      </c>
      <c r="E367" s="1">
        <v>39</v>
      </c>
      <c r="F367" s="1" t="s">
        <v>6</v>
      </c>
      <c r="G367" s="44">
        <f t="shared" si="10"/>
        <v>69</v>
      </c>
      <c r="H367" s="10" t="str">
        <f t="shared" si="11"/>
        <v>Tuesday</v>
      </c>
    </row>
    <row r="368" spans="1:8">
      <c r="A368" s="9">
        <v>154778395</v>
      </c>
      <c r="B368" s="6">
        <v>44859</v>
      </c>
      <c r="C368" s="6">
        <v>44893</v>
      </c>
      <c r="D368" s="1" t="s">
        <v>7</v>
      </c>
      <c r="E368" s="1">
        <v>39</v>
      </c>
      <c r="F368" s="1" t="s">
        <v>6</v>
      </c>
      <c r="G368" s="44">
        <f t="shared" si="10"/>
        <v>34</v>
      </c>
      <c r="H368" s="10" t="str">
        <f t="shared" si="11"/>
        <v>Tuesday</v>
      </c>
    </row>
    <row r="369" spans="1:8">
      <c r="A369" s="9">
        <v>157961180</v>
      </c>
      <c r="B369" s="6">
        <v>44859</v>
      </c>
      <c r="C369" s="6">
        <v>44889</v>
      </c>
      <c r="D369" s="1" t="s">
        <v>7</v>
      </c>
      <c r="E369" s="1">
        <v>39</v>
      </c>
      <c r="F369" s="1" t="s">
        <v>6</v>
      </c>
      <c r="G369" s="44">
        <f t="shared" si="10"/>
        <v>30</v>
      </c>
      <c r="H369" s="10" t="str">
        <f t="shared" si="11"/>
        <v>Tuesday</v>
      </c>
    </row>
    <row r="370" spans="1:8">
      <c r="A370" s="9">
        <v>159281338</v>
      </c>
      <c r="B370" s="6">
        <v>44860</v>
      </c>
      <c r="C370" s="1"/>
      <c r="D370" s="1" t="s">
        <v>7</v>
      </c>
      <c r="E370" s="1">
        <v>39</v>
      </c>
      <c r="F370" s="1" t="s">
        <v>6</v>
      </c>
      <c r="G370" s="44" t="str">
        <f t="shared" si="10"/>
        <v/>
      </c>
      <c r="H370" s="10" t="str">
        <f t="shared" si="11"/>
        <v>Wednesday</v>
      </c>
    </row>
    <row r="371" spans="1:8">
      <c r="A371" s="9">
        <v>159364232</v>
      </c>
      <c r="B371" s="6">
        <v>44860</v>
      </c>
      <c r="C371" s="1"/>
      <c r="D371" s="1" t="s">
        <v>7</v>
      </c>
      <c r="E371" s="1">
        <v>39</v>
      </c>
      <c r="F371" s="1" t="s">
        <v>6</v>
      </c>
      <c r="G371" s="44" t="str">
        <f t="shared" si="10"/>
        <v/>
      </c>
      <c r="H371" s="10" t="str">
        <f t="shared" si="11"/>
        <v>Wednesday</v>
      </c>
    </row>
    <row r="372" spans="1:8">
      <c r="A372" s="9">
        <v>159276280</v>
      </c>
      <c r="B372" s="6">
        <v>44860</v>
      </c>
      <c r="C372" s="1"/>
      <c r="D372" s="1" t="s">
        <v>7</v>
      </c>
      <c r="E372" s="1">
        <v>39</v>
      </c>
      <c r="F372" s="1" t="s">
        <v>6</v>
      </c>
      <c r="G372" s="44" t="str">
        <f t="shared" si="10"/>
        <v/>
      </c>
      <c r="H372" s="10" t="str">
        <f t="shared" si="11"/>
        <v>Wednesday</v>
      </c>
    </row>
    <row r="373" spans="1:8">
      <c r="A373" s="9">
        <v>159326830</v>
      </c>
      <c r="B373" s="6">
        <v>44860</v>
      </c>
      <c r="C373" s="6">
        <v>44861</v>
      </c>
      <c r="D373" s="1" t="s">
        <v>7</v>
      </c>
      <c r="E373" s="1">
        <v>39</v>
      </c>
      <c r="F373" s="1" t="s">
        <v>6</v>
      </c>
      <c r="G373" s="44">
        <f t="shared" si="10"/>
        <v>1</v>
      </c>
      <c r="H373" s="10" t="str">
        <f t="shared" si="11"/>
        <v>Wednesday</v>
      </c>
    </row>
    <row r="374" spans="1:8">
      <c r="A374" s="9">
        <v>158144924</v>
      </c>
      <c r="B374" s="6">
        <v>44860</v>
      </c>
      <c r="C374" s="6">
        <v>44980</v>
      </c>
      <c r="D374" s="1" t="s">
        <v>7</v>
      </c>
      <c r="E374" s="1">
        <v>39</v>
      </c>
      <c r="F374" s="1" t="s">
        <v>6</v>
      </c>
      <c r="G374" s="44">
        <f t="shared" si="10"/>
        <v>120</v>
      </c>
      <c r="H374" s="10" t="str">
        <f t="shared" si="11"/>
        <v>Wednesday</v>
      </c>
    </row>
    <row r="375" spans="1:8">
      <c r="A375" s="9">
        <v>159239867</v>
      </c>
      <c r="B375" s="6">
        <v>44860</v>
      </c>
      <c r="C375" s="6">
        <v>44910</v>
      </c>
      <c r="D375" s="1" t="s">
        <v>7</v>
      </c>
      <c r="E375" s="1">
        <v>39</v>
      </c>
      <c r="F375" s="1" t="s">
        <v>6</v>
      </c>
      <c r="G375" s="44">
        <f t="shared" si="10"/>
        <v>50</v>
      </c>
      <c r="H375" s="10" t="str">
        <f t="shared" si="11"/>
        <v>Wednesday</v>
      </c>
    </row>
    <row r="376" spans="1:8">
      <c r="A376" s="9">
        <v>159108970</v>
      </c>
      <c r="B376" s="6">
        <v>44860</v>
      </c>
      <c r="C376" s="6">
        <v>44915</v>
      </c>
      <c r="D376" s="1" t="s">
        <v>7</v>
      </c>
      <c r="E376" s="1">
        <v>39</v>
      </c>
      <c r="F376" s="1" t="s">
        <v>6</v>
      </c>
      <c r="G376" s="44">
        <f t="shared" si="10"/>
        <v>55</v>
      </c>
      <c r="H376" s="10" t="str">
        <f t="shared" si="11"/>
        <v>Wednesday</v>
      </c>
    </row>
    <row r="377" spans="1:8">
      <c r="A377" s="9">
        <v>158644133</v>
      </c>
      <c r="B377" s="6">
        <v>44860</v>
      </c>
      <c r="C377" s="6">
        <v>44891</v>
      </c>
      <c r="D377" s="1" t="s">
        <v>7</v>
      </c>
      <c r="E377" s="1">
        <v>39</v>
      </c>
      <c r="F377" s="1" t="s">
        <v>6</v>
      </c>
      <c r="G377" s="44">
        <f t="shared" si="10"/>
        <v>31</v>
      </c>
      <c r="H377" s="10" t="str">
        <f t="shared" si="11"/>
        <v>Wednesday</v>
      </c>
    </row>
    <row r="378" spans="1:8">
      <c r="A378" s="9">
        <v>153830193</v>
      </c>
      <c r="B378" s="6">
        <v>44860</v>
      </c>
      <c r="C378" s="6">
        <v>44861</v>
      </c>
      <c r="D378" s="1" t="s">
        <v>7</v>
      </c>
      <c r="E378" s="1">
        <v>39</v>
      </c>
      <c r="F378" s="1" t="s">
        <v>6</v>
      </c>
      <c r="G378" s="44">
        <f t="shared" si="10"/>
        <v>1</v>
      </c>
      <c r="H378" s="10" t="str">
        <f t="shared" si="11"/>
        <v>Wednesday</v>
      </c>
    </row>
    <row r="379" spans="1:8">
      <c r="A379" s="9">
        <v>159664292</v>
      </c>
      <c r="B379" s="6">
        <v>44861</v>
      </c>
      <c r="C379" s="1"/>
      <c r="D379" s="1" t="s">
        <v>7</v>
      </c>
      <c r="E379" s="1">
        <v>39</v>
      </c>
      <c r="F379" s="1" t="s">
        <v>6</v>
      </c>
      <c r="G379" s="44" t="str">
        <f t="shared" si="10"/>
        <v/>
      </c>
      <c r="H379" s="10" t="str">
        <f t="shared" si="11"/>
        <v>Thursday</v>
      </c>
    </row>
    <row r="380" spans="1:8">
      <c r="A380" s="9">
        <v>152937944</v>
      </c>
      <c r="B380" s="6">
        <v>44861</v>
      </c>
      <c r="C380" s="6">
        <v>44862</v>
      </c>
      <c r="D380" s="1" t="s">
        <v>8</v>
      </c>
      <c r="E380" s="1">
        <v>39</v>
      </c>
      <c r="F380" s="1" t="s">
        <v>6</v>
      </c>
      <c r="G380" s="44">
        <f t="shared" si="10"/>
        <v>1</v>
      </c>
      <c r="H380" s="10" t="str">
        <f t="shared" si="11"/>
        <v>Thursday</v>
      </c>
    </row>
    <row r="381" spans="1:8">
      <c r="A381" s="9">
        <v>159446393</v>
      </c>
      <c r="B381" s="6">
        <v>44861</v>
      </c>
      <c r="C381" s="6">
        <v>45035</v>
      </c>
      <c r="D381" s="1" t="s">
        <v>7</v>
      </c>
      <c r="E381" s="1">
        <v>39</v>
      </c>
      <c r="F381" s="1" t="s">
        <v>6</v>
      </c>
      <c r="G381" s="44">
        <f t="shared" si="10"/>
        <v>174</v>
      </c>
      <c r="H381" s="10" t="str">
        <f t="shared" si="11"/>
        <v>Thursday</v>
      </c>
    </row>
    <row r="382" spans="1:8">
      <c r="A382" s="9">
        <v>156837717</v>
      </c>
      <c r="B382" s="6">
        <v>44861</v>
      </c>
      <c r="C382" s="6">
        <v>45088</v>
      </c>
      <c r="D382" s="1" t="s">
        <v>7</v>
      </c>
      <c r="E382" s="1">
        <v>39</v>
      </c>
      <c r="F382" s="1" t="s">
        <v>6</v>
      </c>
      <c r="G382" s="44">
        <f t="shared" si="10"/>
        <v>227</v>
      </c>
      <c r="H382" s="10" t="str">
        <f t="shared" si="11"/>
        <v>Thursday</v>
      </c>
    </row>
    <row r="383" spans="1:8">
      <c r="A383" s="9">
        <v>149000400</v>
      </c>
      <c r="B383" s="6">
        <v>44861</v>
      </c>
      <c r="C383" s="6">
        <v>44983</v>
      </c>
      <c r="D383" s="1" t="s">
        <v>7</v>
      </c>
      <c r="E383" s="1">
        <v>39</v>
      </c>
      <c r="F383" s="1" t="s">
        <v>6</v>
      </c>
      <c r="G383" s="44">
        <f t="shared" si="10"/>
        <v>122</v>
      </c>
      <c r="H383" s="10" t="str">
        <f t="shared" si="11"/>
        <v>Thursday</v>
      </c>
    </row>
    <row r="384" spans="1:8">
      <c r="A384" s="9">
        <v>157923615</v>
      </c>
      <c r="B384" s="6">
        <v>44861</v>
      </c>
      <c r="C384" s="6">
        <v>44929</v>
      </c>
      <c r="D384" s="1" t="s">
        <v>7</v>
      </c>
      <c r="E384" s="1">
        <v>39</v>
      </c>
      <c r="F384" s="1" t="s">
        <v>6</v>
      </c>
      <c r="G384" s="44">
        <f t="shared" si="10"/>
        <v>68</v>
      </c>
      <c r="H384" s="10" t="str">
        <f t="shared" si="11"/>
        <v>Thursday</v>
      </c>
    </row>
    <row r="385" spans="1:8">
      <c r="A385" s="9">
        <v>159699736</v>
      </c>
      <c r="B385" s="6">
        <v>44861</v>
      </c>
      <c r="C385" s="6">
        <v>44890</v>
      </c>
      <c r="D385" s="1" t="s">
        <v>7</v>
      </c>
      <c r="E385" s="1">
        <v>39</v>
      </c>
      <c r="F385" s="1" t="s">
        <v>6</v>
      </c>
      <c r="G385" s="44">
        <f t="shared" si="10"/>
        <v>29</v>
      </c>
      <c r="H385" s="10" t="str">
        <f t="shared" si="11"/>
        <v>Thursday</v>
      </c>
    </row>
    <row r="386" spans="1:8">
      <c r="A386" s="9">
        <v>150816815</v>
      </c>
      <c r="B386" s="6">
        <v>44861</v>
      </c>
      <c r="C386" s="6">
        <v>44881</v>
      </c>
      <c r="D386" s="1" t="s">
        <v>7</v>
      </c>
      <c r="E386" s="1">
        <v>39</v>
      </c>
      <c r="F386" s="1" t="s">
        <v>6</v>
      </c>
      <c r="G386" s="44">
        <f t="shared" si="10"/>
        <v>20</v>
      </c>
      <c r="H386" s="10" t="str">
        <f t="shared" si="11"/>
        <v>Thursday</v>
      </c>
    </row>
    <row r="387" spans="1:8">
      <c r="A387" s="9">
        <v>159634168</v>
      </c>
      <c r="B387" s="6">
        <v>44861</v>
      </c>
      <c r="C387" s="6">
        <v>45107</v>
      </c>
      <c r="D387" s="1" t="s">
        <v>7</v>
      </c>
      <c r="E387" s="1">
        <v>39</v>
      </c>
      <c r="F387" s="1" t="s">
        <v>6</v>
      </c>
      <c r="G387" s="44">
        <f t="shared" ref="G387:G450" si="12">IF(C387="", "", DATEDIF(B387, C387, "D"))</f>
        <v>246</v>
      </c>
      <c r="H387" s="10" t="str">
        <f t="shared" ref="H387:H450" si="13">TEXT(B387, "dddd")</f>
        <v>Thursday</v>
      </c>
    </row>
    <row r="388" spans="1:8">
      <c r="A388" s="9">
        <v>158114418</v>
      </c>
      <c r="B388" s="6">
        <v>44862</v>
      </c>
      <c r="C388" s="1"/>
      <c r="D388" s="1" t="s">
        <v>7</v>
      </c>
      <c r="E388" s="1">
        <v>39</v>
      </c>
      <c r="F388" s="1" t="s">
        <v>6</v>
      </c>
      <c r="G388" s="44" t="str">
        <f t="shared" si="12"/>
        <v/>
      </c>
      <c r="H388" s="10" t="str">
        <f t="shared" si="13"/>
        <v>Friday</v>
      </c>
    </row>
    <row r="389" spans="1:8">
      <c r="A389" s="9">
        <v>159706104</v>
      </c>
      <c r="B389" s="6">
        <v>44862</v>
      </c>
      <c r="C389" s="1"/>
      <c r="D389" s="1" t="s">
        <v>7</v>
      </c>
      <c r="E389" s="1">
        <v>39</v>
      </c>
      <c r="F389" s="1" t="s">
        <v>6</v>
      </c>
      <c r="G389" s="44" t="str">
        <f t="shared" si="12"/>
        <v/>
      </c>
      <c r="H389" s="10" t="str">
        <f t="shared" si="13"/>
        <v>Friday</v>
      </c>
    </row>
    <row r="390" spans="1:8">
      <c r="A390" s="9">
        <v>150704581</v>
      </c>
      <c r="B390" s="6">
        <v>44862</v>
      </c>
      <c r="C390" s="6">
        <v>45056</v>
      </c>
      <c r="D390" s="1" t="s">
        <v>7</v>
      </c>
      <c r="E390" s="1">
        <v>39</v>
      </c>
      <c r="F390" s="1" t="s">
        <v>6</v>
      </c>
      <c r="G390" s="44">
        <f t="shared" si="12"/>
        <v>194</v>
      </c>
      <c r="H390" s="10" t="str">
        <f t="shared" si="13"/>
        <v>Friday</v>
      </c>
    </row>
    <row r="391" spans="1:8">
      <c r="A391" s="9">
        <v>159733207</v>
      </c>
      <c r="B391" s="6">
        <v>44862</v>
      </c>
      <c r="C391" s="6">
        <v>44984</v>
      </c>
      <c r="D391" s="1" t="s">
        <v>7</v>
      </c>
      <c r="E391" s="1">
        <v>39</v>
      </c>
      <c r="F391" s="1" t="s">
        <v>6</v>
      </c>
      <c r="G391" s="44">
        <f t="shared" si="12"/>
        <v>122</v>
      </c>
      <c r="H391" s="10" t="str">
        <f t="shared" si="13"/>
        <v>Friday</v>
      </c>
    </row>
    <row r="392" spans="1:8">
      <c r="A392" s="9">
        <v>159775056</v>
      </c>
      <c r="B392" s="6">
        <v>44862</v>
      </c>
      <c r="C392" s="6">
        <v>45016</v>
      </c>
      <c r="D392" s="1" t="s">
        <v>7</v>
      </c>
      <c r="E392" s="1">
        <v>39</v>
      </c>
      <c r="F392" s="1" t="s">
        <v>6</v>
      </c>
      <c r="G392" s="44">
        <f t="shared" si="12"/>
        <v>154</v>
      </c>
      <c r="H392" s="10" t="str">
        <f t="shared" si="13"/>
        <v>Friday</v>
      </c>
    </row>
    <row r="393" spans="1:8">
      <c r="A393" s="9">
        <v>144328609</v>
      </c>
      <c r="B393" s="6">
        <v>44862</v>
      </c>
      <c r="C393" s="6">
        <v>44920</v>
      </c>
      <c r="D393" s="1" t="s">
        <v>7</v>
      </c>
      <c r="E393" s="1">
        <v>39</v>
      </c>
      <c r="F393" s="1" t="s">
        <v>6</v>
      </c>
      <c r="G393" s="44">
        <f t="shared" si="12"/>
        <v>58</v>
      </c>
      <c r="H393" s="10" t="str">
        <f t="shared" si="13"/>
        <v>Friday</v>
      </c>
    </row>
    <row r="394" spans="1:8">
      <c r="A394" s="9">
        <v>153172687</v>
      </c>
      <c r="B394" s="6">
        <v>44862</v>
      </c>
      <c r="C394" s="6">
        <v>45159</v>
      </c>
      <c r="D394" s="1" t="s">
        <v>7</v>
      </c>
      <c r="E394" s="1">
        <v>39</v>
      </c>
      <c r="F394" s="1" t="s">
        <v>6</v>
      </c>
      <c r="G394" s="44">
        <f t="shared" si="12"/>
        <v>297</v>
      </c>
      <c r="H394" s="10" t="str">
        <f t="shared" si="13"/>
        <v>Friday</v>
      </c>
    </row>
    <row r="395" spans="1:8">
      <c r="A395" s="9">
        <v>159861170</v>
      </c>
      <c r="B395" s="6">
        <v>44863</v>
      </c>
      <c r="C395" s="1"/>
      <c r="D395" s="1" t="s">
        <v>7</v>
      </c>
      <c r="E395" s="1">
        <v>39</v>
      </c>
      <c r="F395" s="1" t="s">
        <v>6</v>
      </c>
      <c r="G395" s="44" t="str">
        <f t="shared" si="12"/>
        <v/>
      </c>
      <c r="H395" s="10" t="str">
        <f t="shared" si="13"/>
        <v>Saturday</v>
      </c>
    </row>
    <row r="396" spans="1:8">
      <c r="A396" s="9">
        <v>133474642</v>
      </c>
      <c r="B396" s="6">
        <v>44863</v>
      </c>
      <c r="C396" s="6">
        <v>44915</v>
      </c>
      <c r="D396" s="1" t="s">
        <v>7</v>
      </c>
      <c r="E396" s="1">
        <v>39</v>
      </c>
      <c r="F396" s="1" t="s">
        <v>6</v>
      </c>
      <c r="G396" s="44">
        <f t="shared" si="12"/>
        <v>52</v>
      </c>
      <c r="H396" s="10" t="str">
        <f t="shared" si="13"/>
        <v>Saturday</v>
      </c>
    </row>
    <row r="397" spans="1:8">
      <c r="A397" s="9">
        <v>159817608</v>
      </c>
      <c r="B397" s="6">
        <v>44863</v>
      </c>
      <c r="C397" s="6">
        <v>45008</v>
      </c>
      <c r="D397" s="1" t="s">
        <v>7</v>
      </c>
      <c r="E397" s="1">
        <v>39</v>
      </c>
      <c r="F397" s="1" t="s">
        <v>6</v>
      </c>
      <c r="G397" s="44">
        <f t="shared" si="12"/>
        <v>145</v>
      </c>
      <c r="H397" s="10" t="str">
        <f t="shared" si="13"/>
        <v>Saturday</v>
      </c>
    </row>
    <row r="398" spans="1:8">
      <c r="A398" s="9">
        <v>159867686</v>
      </c>
      <c r="B398" s="6">
        <v>44863</v>
      </c>
      <c r="C398" s="6">
        <v>44931</v>
      </c>
      <c r="D398" s="1" t="s">
        <v>7</v>
      </c>
      <c r="E398" s="1">
        <v>39</v>
      </c>
      <c r="F398" s="1" t="s">
        <v>6</v>
      </c>
      <c r="G398" s="44">
        <f t="shared" si="12"/>
        <v>68</v>
      </c>
      <c r="H398" s="10" t="str">
        <f t="shared" si="13"/>
        <v>Saturday</v>
      </c>
    </row>
    <row r="399" spans="1:8">
      <c r="A399" s="9">
        <v>158484064</v>
      </c>
      <c r="B399" s="6">
        <v>44863</v>
      </c>
      <c r="C399" s="6">
        <v>44931</v>
      </c>
      <c r="D399" s="1" t="s">
        <v>7</v>
      </c>
      <c r="E399" s="1">
        <v>39</v>
      </c>
      <c r="F399" s="1" t="s">
        <v>6</v>
      </c>
      <c r="G399" s="44">
        <f t="shared" si="12"/>
        <v>68</v>
      </c>
      <c r="H399" s="10" t="str">
        <f t="shared" si="13"/>
        <v>Saturday</v>
      </c>
    </row>
    <row r="400" spans="1:8">
      <c r="A400" s="9">
        <v>159829834</v>
      </c>
      <c r="B400" s="6">
        <v>44864</v>
      </c>
      <c r="C400" s="1"/>
      <c r="D400" s="1" t="s">
        <v>7</v>
      </c>
      <c r="E400" s="1">
        <v>39</v>
      </c>
      <c r="F400" s="1" t="s">
        <v>6</v>
      </c>
      <c r="G400" s="44" t="str">
        <f t="shared" si="12"/>
        <v/>
      </c>
      <c r="H400" s="10" t="str">
        <f t="shared" si="13"/>
        <v>Sunday</v>
      </c>
    </row>
    <row r="401" spans="1:8">
      <c r="A401" s="9">
        <v>159875790</v>
      </c>
      <c r="B401" s="6">
        <v>44864</v>
      </c>
      <c r="C401" s="6">
        <v>44992</v>
      </c>
      <c r="D401" s="1" t="s">
        <v>7</v>
      </c>
      <c r="E401" s="1">
        <v>39</v>
      </c>
      <c r="F401" s="1" t="s">
        <v>6</v>
      </c>
      <c r="G401" s="44">
        <f t="shared" si="12"/>
        <v>128</v>
      </c>
      <c r="H401" s="10" t="str">
        <f t="shared" si="13"/>
        <v>Sunday</v>
      </c>
    </row>
    <row r="402" spans="1:8">
      <c r="A402" s="9">
        <v>155520280</v>
      </c>
      <c r="B402" s="6">
        <v>44864</v>
      </c>
      <c r="C402" s="6">
        <v>44902</v>
      </c>
      <c r="D402" s="1" t="s">
        <v>7</v>
      </c>
      <c r="E402" s="1">
        <v>39</v>
      </c>
      <c r="F402" s="1" t="s">
        <v>6</v>
      </c>
      <c r="G402" s="44">
        <f t="shared" si="12"/>
        <v>38</v>
      </c>
      <c r="H402" s="10" t="str">
        <f t="shared" si="13"/>
        <v>Sunday</v>
      </c>
    </row>
    <row r="403" spans="1:8">
      <c r="A403" s="9">
        <v>159783942</v>
      </c>
      <c r="B403" s="6">
        <v>44864</v>
      </c>
      <c r="C403" s="6">
        <v>44923</v>
      </c>
      <c r="D403" s="1" t="s">
        <v>7</v>
      </c>
      <c r="E403" s="1">
        <v>39</v>
      </c>
      <c r="F403" s="1" t="s">
        <v>6</v>
      </c>
      <c r="G403" s="44">
        <f t="shared" si="12"/>
        <v>59</v>
      </c>
      <c r="H403" s="10" t="str">
        <f t="shared" si="13"/>
        <v>Sunday</v>
      </c>
    </row>
    <row r="404" spans="1:8">
      <c r="A404" s="9">
        <v>149696432</v>
      </c>
      <c r="B404" s="6">
        <v>44864</v>
      </c>
      <c r="C404" s="6">
        <v>44891</v>
      </c>
      <c r="D404" s="1" t="s">
        <v>7</v>
      </c>
      <c r="E404" s="1">
        <v>39</v>
      </c>
      <c r="F404" s="1" t="s">
        <v>6</v>
      </c>
      <c r="G404" s="44">
        <f t="shared" si="12"/>
        <v>27</v>
      </c>
      <c r="H404" s="10" t="str">
        <f t="shared" si="13"/>
        <v>Sunday</v>
      </c>
    </row>
    <row r="405" spans="1:8">
      <c r="A405" s="9">
        <v>159979372</v>
      </c>
      <c r="B405" s="6">
        <v>44865</v>
      </c>
      <c r="C405" s="1"/>
      <c r="D405" s="1" t="s">
        <v>7</v>
      </c>
      <c r="E405" s="1">
        <v>39</v>
      </c>
      <c r="F405" s="1" t="s">
        <v>6</v>
      </c>
      <c r="G405" s="44" t="str">
        <f t="shared" si="12"/>
        <v/>
      </c>
      <c r="H405" s="10" t="str">
        <f t="shared" si="13"/>
        <v>Monday</v>
      </c>
    </row>
    <row r="406" spans="1:8">
      <c r="A406" s="9">
        <v>153814649</v>
      </c>
      <c r="B406" s="6">
        <v>44865</v>
      </c>
      <c r="C406" s="1"/>
      <c r="D406" s="1" t="s">
        <v>7</v>
      </c>
      <c r="E406" s="1">
        <v>39</v>
      </c>
      <c r="F406" s="1" t="s">
        <v>6</v>
      </c>
      <c r="G406" s="44" t="str">
        <f t="shared" si="12"/>
        <v/>
      </c>
      <c r="H406" s="10" t="str">
        <f t="shared" si="13"/>
        <v>Monday</v>
      </c>
    </row>
    <row r="407" spans="1:8">
      <c r="A407" s="9">
        <v>159931469</v>
      </c>
      <c r="B407" s="6">
        <v>44865</v>
      </c>
      <c r="C407" s="1"/>
      <c r="D407" s="1" t="s">
        <v>7</v>
      </c>
      <c r="E407" s="1">
        <v>39</v>
      </c>
      <c r="F407" s="1" t="s">
        <v>6</v>
      </c>
      <c r="G407" s="44" t="str">
        <f t="shared" si="12"/>
        <v/>
      </c>
      <c r="H407" s="10" t="str">
        <f t="shared" si="13"/>
        <v>Monday</v>
      </c>
    </row>
    <row r="408" spans="1:8">
      <c r="A408" s="9">
        <v>138061210</v>
      </c>
      <c r="B408" s="6">
        <v>44865</v>
      </c>
      <c r="C408" s="6">
        <v>44865</v>
      </c>
      <c r="D408" s="1" t="s">
        <v>7</v>
      </c>
      <c r="E408" s="1">
        <v>39</v>
      </c>
      <c r="F408" s="1" t="s">
        <v>6</v>
      </c>
      <c r="G408" s="44">
        <f t="shared" si="12"/>
        <v>0</v>
      </c>
      <c r="H408" s="10" t="str">
        <f t="shared" si="13"/>
        <v>Monday</v>
      </c>
    </row>
    <row r="409" spans="1:8">
      <c r="A409" s="9">
        <v>141403460</v>
      </c>
      <c r="B409" s="6">
        <v>44865</v>
      </c>
      <c r="C409" s="6">
        <v>44942</v>
      </c>
      <c r="D409" s="1" t="s">
        <v>7</v>
      </c>
      <c r="E409" s="1">
        <v>39</v>
      </c>
      <c r="F409" s="1" t="s">
        <v>6</v>
      </c>
      <c r="G409" s="44">
        <f t="shared" si="12"/>
        <v>77</v>
      </c>
      <c r="H409" s="10" t="str">
        <f t="shared" si="13"/>
        <v>Monday</v>
      </c>
    </row>
    <row r="410" spans="1:8">
      <c r="A410" s="9">
        <v>159991922</v>
      </c>
      <c r="B410" s="6">
        <v>44865</v>
      </c>
      <c r="C410" s="6">
        <v>44912</v>
      </c>
      <c r="D410" s="1" t="s">
        <v>7</v>
      </c>
      <c r="E410" s="1">
        <v>39</v>
      </c>
      <c r="F410" s="1" t="s">
        <v>6</v>
      </c>
      <c r="G410" s="44">
        <f t="shared" si="12"/>
        <v>47</v>
      </c>
      <c r="H410" s="10" t="str">
        <f t="shared" si="13"/>
        <v>Monday</v>
      </c>
    </row>
    <row r="411" spans="1:8">
      <c r="A411" s="9">
        <v>159241648</v>
      </c>
      <c r="B411" s="6">
        <v>44865</v>
      </c>
      <c r="C411" s="6">
        <v>44909</v>
      </c>
      <c r="D411" s="1" t="s">
        <v>7</v>
      </c>
      <c r="E411" s="1">
        <v>39</v>
      </c>
      <c r="F411" s="1" t="s">
        <v>6</v>
      </c>
      <c r="G411" s="44">
        <f t="shared" si="12"/>
        <v>44</v>
      </c>
      <c r="H411" s="10" t="str">
        <f t="shared" si="13"/>
        <v>Monday</v>
      </c>
    </row>
    <row r="412" spans="1:8">
      <c r="A412" s="9">
        <v>150703411</v>
      </c>
      <c r="B412" s="6">
        <v>44865</v>
      </c>
      <c r="C412" s="6">
        <v>44896</v>
      </c>
      <c r="D412" s="1" t="s">
        <v>7</v>
      </c>
      <c r="E412" s="1">
        <v>39</v>
      </c>
      <c r="F412" s="1" t="s">
        <v>6</v>
      </c>
      <c r="G412" s="44">
        <f t="shared" si="12"/>
        <v>31</v>
      </c>
      <c r="H412" s="10" t="str">
        <f t="shared" si="13"/>
        <v>Monday</v>
      </c>
    </row>
    <row r="413" spans="1:8">
      <c r="A413" s="9">
        <v>159773641</v>
      </c>
      <c r="B413" s="6">
        <v>44865</v>
      </c>
      <c r="C413" s="6">
        <v>44880</v>
      </c>
      <c r="D413" s="1" t="s">
        <v>7</v>
      </c>
      <c r="E413" s="1">
        <v>39</v>
      </c>
      <c r="F413" s="1" t="s">
        <v>6</v>
      </c>
      <c r="G413" s="44">
        <f t="shared" si="12"/>
        <v>15</v>
      </c>
      <c r="H413" s="10" t="str">
        <f t="shared" si="13"/>
        <v>Monday</v>
      </c>
    </row>
    <row r="414" spans="1:8">
      <c r="A414" s="9">
        <v>128002797</v>
      </c>
      <c r="B414" s="6">
        <v>44865</v>
      </c>
      <c r="C414" s="6">
        <v>44895</v>
      </c>
      <c r="D414" s="1" t="s">
        <v>7</v>
      </c>
      <c r="E414" s="1">
        <v>39</v>
      </c>
      <c r="F414" s="1" t="s">
        <v>6</v>
      </c>
      <c r="G414" s="44">
        <f t="shared" si="12"/>
        <v>30</v>
      </c>
      <c r="H414" s="10" t="str">
        <f t="shared" si="13"/>
        <v>Monday</v>
      </c>
    </row>
    <row r="415" spans="1:8">
      <c r="A415" s="9">
        <v>155807489</v>
      </c>
      <c r="B415" s="6">
        <v>44866</v>
      </c>
      <c r="C415" s="6">
        <v>44867</v>
      </c>
      <c r="D415" s="1" t="s">
        <v>8</v>
      </c>
      <c r="E415" s="1">
        <v>39</v>
      </c>
      <c r="F415" s="1" t="s">
        <v>6</v>
      </c>
      <c r="G415" s="44">
        <f t="shared" si="12"/>
        <v>1</v>
      </c>
      <c r="H415" s="10" t="str">
        <f t="shared" si="13"/>
        <v>Tuesday</v>
      </c>
    </row>
    <row r="416" spans="1:8">
      <c r="A416" s="9">
        <v>143077712</v>
      </c>
      <c r="B416" s="6">
        <v>44866</v>
      </c>
      <c r="C416" s="6">
        <v>44867</v>
      </c>
      <c r="D416" s="1" t="s">
        <v>8</v>
      </c>
      <c r="E416" s="1">
        <v>39</v>
      </c>
      <c r="F416" s="1" t="s">
        <v>6</v>
      </c>
      <c r="G416" s="44">
        <f t="shared" si="12"/>
        <v>1</v>
      </c>
      <c r="H416" s="10" t="str">
        <f t="shared" si="13"/>
        <v>Tuesday</v>
      </c>
    </row>
    <row r="417" spans="1:8">
      <c r="A417" s="9">
        <v>159745646</v>
      </c>
      <c r="B417" s="6">
        <v>44866</v>
      </c>
      <c r="C417" s="6">
        <v>45030</v>
      </c>
      <c r="D417" s="1" t="s">
        <v>7</v>
      </c>
      <c r="E417" s="1">
        <v>39</v>
      </c>
      <c r="F417" s="1" t="s">
        <v>6</v>
      </c>
      <c r="G417" s="44">
        <f t="shared" si="12"/>
        <v>164</v>
      </c>
      <c r="H417" s="10" t="str">
        <f t="shared" si="13"/>
        <v>Tuesday</v>
      </c>
    </row>
    <row r="418" spans="1:8">
      <c r="A418" s="9">
        <v>139004918</v>
      </c>
      <c r="B418" s="6">
        <v>44866</v>
      </c>
      <c r="C418" s="6">
        <v>44896</v>
      </c>
      <c r="D418" s="1" t="s">
        <v>7</v>
      </c>
      <c r="E418" s="1">
        <v>39</v>
      </c>
      <c r="F418" s="1" t="s">
        <v>6</v>
      </c>
      <c r="G418" s="44">
        <f t="shared" si="12"/>
        <v>30</v>
      </c>
      <c r="H418" s="10" t="str">
        <f t="shared" si="13"/>
        <v>Tuesday</v>
      </c>
    </row>
    <row r="419" spans="1:8">
      <c r="A419" s="9">
        <v>153255183</v>
      </c>
      <c r="B419" s="6">
        <v>44866</v>
      </c>
      <c r="C419" s="6">
        <v>44973</v>
      </c>
      <c r="D419" s="1" t="s">
        <v>7</v>
      </c>
      <c r="E419" s="1">
        <v>39</v>
      </c>
      <c r="F419" s="1" t="s">
        <v>6</v>
      </c>
      <c r="G419" s="44">
        <f t="shared" si="12"/>
        <v>107</v>
      </c>
      <c r="H419" s="10" t="str">
        <f t="shared" si="13"/>
        <v>Tuesday</v>
      </c>
    </row>
    <row r="420" spans="1:8">
      <c r="A420" s="9">
        <v>157708746</v>
      </c>
      <c r="B420" s="6">
        <v>44866</v>
      </c>
      <c r="C420" s="6">
        <v>44957</v>
      </c>
      <c r="D420" s="1" t="s">
        <v>7</v>
      </c>
      <c r="E420" s="1">
        <v>39</v>
      </c>
      <c r="F420" s="1" t="s">
        <v>6</v>
      </c>
      <c r="G420" s="44">
        <f t="shared" si="12"/>
        <v>91</v>
      </c>
      <c r="H420" s="10" t="str">
        <f t="shared" si="13"/>
        <v>Tuesday</v>
      </c>
    </row>
    <row r="421" spans="1:8">
      <c r="A421" s="9">
        <v>155652993</v>
      </c>
      <c r="B421" s="6">
        <v>44866</v>
      </c>
      <c r="C421" s="6">
        <v>44934</v>
      </c>
      <c r="D421" s="1" t="s">
        <v>7</v>
      </c>
      <c r="E421" s="1">
        <v>39</v>
      </c>
      <c r="F421" s="1" t="s">
        <v>6</v>
      </c>
      <c r="G421" s="44">
        <f t="shared" si="12"/>
        <v>68</v>
      </c>
      <c r="H421" s="10" t="str">
        <f t="shared" si="13"/>
        <v>Tuesday</v>
      </c>
    </row>
    <row r="422" spans="1:8">
      <c r="A422" s="9">
        <v>159977918</v>
      </c>
      <c r="B422" s="6">
        <v>44866</v>
      </c>
      <c r="C422" s="6">
        <v>44950</v>
      </c>
      <c r="D422" s="1" t="s">
        <v>7</v>
      </c>
      <c r="E422" s="1">
        <v>39</v>
      </c>
      <c r="F422" s="1" t="s">
        <v>6</v>
      </c>
      <c r="G422" s="44">
        <f t="shared" si="12"/>
        <v>84</v>
      </c>
      <c r="H422" s="10" t="str">
        <f t="shared" si="13"/>
        <v>Tuesday</v>
      </c>
    </row>
    <row r="423" spans="1:8">
      <c r="A423" s="9">
        <v>160108159</v>
      </c>
      <c r="B423" s="6">
        <v>44866</v>
      </c>
      <c r="C423" s="6">
        <v>44899</v>
      </c>
      <c r="D423" s="1" t="s">
        <v>7</v>
      </c>
      <c r="E423" s="1">
        <v>39</v>
      </c>
      <c r="F423" s="1" t="s">
        <v>6</v>
      </c>
      <c r="G423" s="44">
        <f t="shared" si="12"/>
        <v>33</v>
      </c>
      <c r="H423" s="10" t="str">
        <f t="shared" si="13"/>
        <v>Tuesday</v>
      </c>
    </row>
    <row r="424" spans="1:8">
      <c r="A424" s="9">
        <v>160051910</v>
      </c>
      <c r="B424" s="6">
        <v>44866</v>
      </c>
      <c r="C424" s="6">
        <v>44874</v>
      </c>
      <c r="D424" s="1" t="s">
        <v>7</v>
      </c>
      <c r="E424" s="1">
        <v>39</v>
      </c>
      <c r="F424" s="1" t="s">
        <v>6</v>
      </c>
      <c r="G424" s="44">
        <f t="shared" si="12"/>
        <v>8</v>
      </c>
      <c r="H424" s="10" t="str">
        <f t="shared" si="13"/>
        <v>Tuesday</v>
      </c>
    </row>
    <row r="425" spans="1:8">
      <c r="A425" s="9">
        <v>146169043</v>
      </c>
      <c r="B425" s="6">
        <v>44866</v>
      </c>
      <c r="C425" s="6">
        <v>45148</v>
      </c>
      <c r="D425" s="1" t="s">
        <v>7</v>
      </c>
      <c r="E425" s="1">
        <v>39</v>
      </c>
      <c r="F425" s="1" t="s">
        <v>6</v>
      </c>
      <c r="G425" s="44">
        <f t="shared" si="12"/>
        <v>282</v>
      </c>
      <c r="H425" s="10" t="str">
        <f t="shared" si="13"/>
        <v>Tuesday</v>
      </c>
    </row>
    <row r="426" spans="1:8">
      <c r="A426" s="9">
        <v>159927090</v>
      </c>
      <c r="B426" s="6">
        <v>44867</v>
      </c>
      <c r="C426" s="1"/>
      <c r="D426" s="1" t="s">
        <v>7</v>
      </c>
      <c r="E426" s="1">
        <v>39</v>
      </c>
      <c r="F426" s="1" t="s">
        <v>6</v>
      </c>
      <c r="G426" s="44" t="str">
        <f t="shared" si="12"/>
        <v/>
      </c>
      <c r="H426" s="10" t="str">
        <f t="shared" si="13"/>
        <v>Wednesday</v>
      </c>
    </row>
    <row r="427" spans="1:8">
      <c r="A427" s="9">
        <v>149188028</v>
      </c>
      <c r="B427" s="6">
        <v>44867</v>
      </c>
      <c r="C427" s="1"/>
      <c r="D427" s="1" t="s">
        <v>7</v>
      </c>
      <c r="E427" s="1">
        <v>39</v>
      </c>
      <c r="F427" s="1" t="s">
        <v>6</v>
      </c>
      <c r="G427" s="44" t="str">
        <f t="shared" si="12"/>
        <v/>
      </c>
      <c r="H427" s="10" t="str">
        <f t="shared" si="13"/>
        <v>Wednesday</v>
      </c>
    </row>
    <row r="428" spans="1:8">
      <c r="A428" s="9">
        <v>138535334</v>
      </c>
      <c r="B428" s="6">
        <v>44867</v>
      </c>
      <c r="C428" s="6">
        <v>44910</v>
      </c>
      <c r="D428" s="1" t="s">
        <v>7</v>
      </c>
      <c r="E428" s="1">
        <v>39</v>
      </c>
      <c r="F428" s="1" t="s">
        <v>6</v>
      </c>
      <c r="G428" s="44">
        <f t="shared" si="12"/>
        <v>43</v>
      </c>
      <c r="H428" s="10" t="str">
        <f t="shared" si="13"/>
        <v>Wednesday</v>
      </c>
    </row>
    <row r="429" spans="1:8">
      <c r="A429" s="9">
        <v>159901871</v>
      </c>
      <c r="B429" s="6">
        <v>44867</v>
      </c>
      <c r="C429" s="6">
        <v>44904</v>
      </c>
      <c r="D429" s="1" t="s">
        <v>7</v>
      </c>
      <c r="E429" s="1">
        <v>39</v>
      </c>
      <c r="F429" s="1" t="s">
        <v>6</v>
      </c>
      <c r="G429" s="44">
        <f t="shared" si="12"/>
        <v>37</v>
      </c>
      <c r="H429" s="10" t="str">
        <f t="shared" si="13"/>
        <v>Wednesday</v>
      </c>
    </row>
    <row r="430" spans="1:8">
      <c r="A430" s="9">
        <v>159620660</v>
      </c>
      <c r="B430" s="6">
        <v>44867</v>
      </c>
      <c r="C430" s="6">
        <v>44907</v>
      </c>
      <c r="D430" s="1" t="s">
        <v>7</v>
      </c>
      <c r="E430" s="1">
        <v>39</v>
      </c>
      <c r="F430" s="1" t="s">
        <v>6</v>
      </c>
      <c r="G430" s="44">
        <f t="shared" si="12"/>
        <v>40</v>
      </c>
      <c r="H430" s="10" t="str">
        <f t="shared" si="13"/>
        <v>Wednesday</v>
      </c>
    </row>
    <row r="431" spans="1:8">
      <c r="A431" s="9">
        <v>160199525</v>
      </c>
      <c r="B431" s="6">
        <v>44867</v>
      </c>
      <c r="C431" s="6">
        <v>44888</v>
      </c>
      <c r="D431" s="1" t="s">
        <v>7</v>
      </c>
      <c r="E431" s="1">
        <v>39</v>
      </c>
      <c r="F431" s="1" t="s">
        <v>6</v>
      </c>
      <c r="G431" s="44">
        <f t="shared" si="12"/>
        <v>21</v>
      </c>
      <c r="H431" s="10" t="str">
        <f t="shared" si="13"/>
        <v>Wednesday</v>
      </c>
    </row>
    <row r="432" spans="1:8">
      <c r="A432" s="9">
        <v>160183686</v>
      </c>
      <c r="B432" s="6">
        <v>44868</v>
      </c>
      <c r="C432" s="6">
        <v>44869</v>
      </c>
      <c r="D432" s="1" t="s">
        <v>8</v>
      </c>
      <c r="E432" s="1">
        <v>39</v>
      </c>
      <c r="F432" s="1" t="s">
        <v>6</v>
      </c>
      <c r="G432" s="44">
        <f t="shared" si="12"/>
        <v>1</v>
      </c>
      <c r="H432" s="10" t="str">
        <f t="shared" si="13"/>
        <v>Thursday</v>
      </c>
    </row>
    <row r="433" spans="1:8">
      <c r="A433" s="9">
        <v>152504354</v>
      </c>
      <c r="B433" s="6">
        <v>44868</v>
      </c>
      <c r="C433" s="6">
        <v>44988</v>
      </c>
      <c r="D433" s="1" t="s">
        <v>7</v>
      </c>
      <c r="E433" s="1">
        <v>39</v>
      </c>
      <c r="F433" s="1" t="s">
        <v>6</v>
      </c>
      <c r="G433" s="44">
        <f t="shared" si="12"/>
        <v>120</v>
      </c>
      <c r="H433" s="10" t="str">
        <f t="shared" si="13"/>
        <v>Thursday</v>
      </c>
    </row>
    <row r="434" spans="1:8">
      <c r="A434" s="9">
        <v>143164854</v>
      </c>
      <c r="B434" s="6">
        <v>44868</v>
      </c>
      <c r="C434" s="6">
        <v>44975</v>
      </c>
      <c r="D434" s="1" t="s">
        <v>7</v>
      </c>
      <c r="E434" s="1">
        <v>39</v>
      </c>
      <c r="F434" s="1" t="s">
        <v>6</v>
      </c>
      <c r="G434" s="44">
        <f t="shared" si="12"/>
        <v>107</v>
      </c>
      <c r="H434" s="10" t="str">
        <f t="shared" si="13"/>
        <v>Thursday</v>
      </c>
    </row>
    <row r="435" spans="1:8">
      <c r="A435" s="9">
        <v>160366020</v>
      </c>
      <c r="B435" s="6">
        <v>44868</v>
      </c>
      <c r="C435" s="6">
        <v>44898</v>
      </c>
      <c r="D435" s="1" t="s">
        <v>7</v>
      </c>
      <c r="E435" s="1">
        <v>39</v>
      </c>
      <c r="F435" s="1" t="s">
        <v>6</v>
      </c>
      <c r="G435" s="44">
        <f t="shared" si="12"/>
        <v>30</v>
      </c>
      <c r="H435" s="10" t="str">
        <f t="shared" si="13"/>
        <v>Thursday</v>
      </c>
    </row>
    <row r="436" spans="1:8">
      <c r="A436" s="9">
        <v>160298168</v>
      </c>
      <c r="B436" s="6">
        <v>44868</v>
      </c>
      <c r="C436" s="6">
        <v>44897</v>
      </c>
      <c r="D436" s="1" t="s">
        <v>7</v>
      </c>
      <c r="E436" s="1">
        <v>39</v>
      </c>
      <c r="F436" s="1" t="s">
        <v>6</v>
      </c>
      <c r="G436" s="44">
        <f t="shared" si="12"/>
        <v>29</v>
      </c>
      <c r="H436" s="10" t="str">
        <f t="shared" si="13"/>
        <v>Thursday</v>
      </c>
    </row>
    <row r="437" spans="1:8">
      <c r="A437" s="9">
        <v>160243008</v>
      </c>
      <c r="B437" s="6">
        <v>44868</v>
      </c>
      <c r="C437" s="6">
        <v>44924</v>
      </c>
      <c r="D437" s="1" t="s">
        <v>7</v>
      </c>
      <c r="E437" s="1">
        <v>39</v>
      </c>
      <c r="F437" s="1" t="s">
        <v>6</v>
      </c>
      <c r="G437" s="44">
        <f t="shared" si="12"/>
        <v>56</v>
      </c>
      <c r="H437" s="10" t="str">
        <f t="shared" si="13"/>
        <v>Thursday</v>
      </c>
    </row>
    <row r="438" spans="1:8">
      <c r="A438" s="9">
        <v>150878120</v>
      </c>
      <c r="B438" s="6">
        <v>44868</v>
      </c>
      <c r="C438" s="6">
        <v>44905</v>
      </c>
      <c r="D438" s="1" t="s">
        <v>7</v>
      </c>
      <c r="E438" s="1">
        <v>39</v>
      </c>
      <c r="F438" s="1" t="s">
        <v>6</v>
      </c>
      <c r="G438" s="44">
        <f t="shared" si="12"/>
        <v>37</v>
      </c>
      <c r="H438" s="10" t="str">
        <f t="shared" si="13"/>
        <v>Thursday</v>
      </c>
    </row>
    <row r="439" spans="1:8">
      <c r="A439" s="9">
        <v>160208723</v>
      </c>
      <c r="B439" s="6">
        <v>44869</v>
      </c>
      <c r="C439" s="1"/>
      <c r="D439" s="1" t="s">
        <v>7</v>
      </c>
      <c r="E439" s="1">
        <v>39</v>
      </c>
      <c r="F439" s="1" t="s">
        <v>6</v>
      </c>
      <c r="G439" s="44" t="str">
        <f t="shared" si="12"/>
        <v/>
      </c>
      <c r="H439" s="10" t="str">
        <f t="shared" si="13"/>
        <v>Friday</v>
      </c>
    </row>
    <row r="440" spans="1:8">
      <c r="A440" s="9">
        <v>153539322</v>
      </c>
      <c r="B440" s="6">
        <v>44869</v>
      </c>
      <c r="C440" s="6">
        <v>44964</v>
      </c>
      <c r="D440" s="1" t="s">
        <v>7</v>
      </c>
      <c r="E440" s="1">
        <v>39</v>
      </c>
      <c r="F440" s="1" t="s">
        <v>6</v>
      </c>
      <c r="G440" s="44">
        <f t="shared" si="12"/>
        <v>95</v>
      </c>
      <c r="H440" s="10" t="str">
        <f t="shared" si="13"/>
        <v>Friday</v>
      </c>
    </row>
    <row r="441" spans="1:8">
      <c r="A441" s="9">
        <v>160164472</v>
      </c>
      <c r="B441" s="6">
        <v>44869</v>
      </c>
      <c r="C441" s="6">
        <v>44981</v>
      </c>
      <c r="D441" s="1" t="s">
        <v>7</v>
      </c>
      <c r="E441" s="1">
        <v>39</v>
      </c>
      <c r="F441" s="1" t="s">
        <v>6</v>
      </c>
      <c r="G441" s="44">
        <f t="shared" si="12"/>
        <v>112</v>
      </c>
      <c r="H441" s="10" t="str">
        <f t="shared" si="13"/>
        <v>Friday</v>
      </c>
    </row>
    <row r="442" spans="1:8">
      <c r="A442" s="9">
        <v>160193644</v>
      </c>
      <c r="B442" s="6">
        <v>44869</v>
      </c>
      <c r="C442" s="6">
        <v>44937</v>
      </c>
      <c r="D442" s="1" t="s">
        <v>7</v>
      </c>
      <c r="E442" s="1">
        <v>39</v>
      </c>
      <c r="F442" s="1" t="s">
        <v>6</v>
      </c>
      <c r="G442" s="44">
        <f t="shared" si="12"/>
        <v>68</v>
      </c>
      <c r="H442" s="10" t="str">
        <f t="shared" si="13"/>
        <v>Friday</v>
      </c>
    </row>
    <row r="443" spans="1:8">
      <c r="A443" s="9">
        <v>156294098</v>
      </c>
      <c r="B443" s="6">
        <v>44869</v>
      </c>
      <c r="C443" s="6">
        <v>44898</v>
      </c>
      <c r="D443" s="1" t="s">
        <v>7</v>
      </c>
      <c r="E443" s="1">
        <v>39</v>
      </c>
      <c r="F443" s="1" t="s">
        <v>6</v>
      </c>
      <c r="G443" s="44">
        <f t="shared" si="12"/>
        <v>29</v>
      </c>
      <c r="H443" s="10" t="str">
        <f t="shared" si="13"/>
        <v>Friday</v>
      </c>
    </row>
    <row r="444" spans="1:8">
      <c r="A444" s="9">
        <v>146625866</v>
      </c>
      <c r="B444" s="6">
        <v>44869</v>
      </c>
      <c r="C444" s="6">
        <v>44884</v>
      </c>
      <c r="D444" s="1" t="s">
        <v>7</v>
      </c>
      <c r="E444" s="1">
        <v>39</v>
      </c>
      <c r="F444" s="1" t="s">
        <v>6</v>
      </c>
      <c r="G444" s="44">
        <f t="shared" si="12"/>
        <v>15</v>
      </c>
      <c r="H444" s="10" t="str">
        <f t="shared" si="13"/>
        <v>Friday</v>
      </c>
    </row>
    <row r="445" spans="1:8">
      <c r="A445" s="9">
        <v>157663870</v>
      </c>
      <c r="B445" s="6">
        <v>44870</v>
      </c>
      <c r="C445" s="6">
        <v>44871</v>
      </c>
      <c r="D445" s="1" t="s">
        <v>7</v>
      </c>
      <c r="E445" s="1">
        <v>39</v>
      </c>
      <c r="F445" s="1" t="s">
        <v>6</v>
      </c>
      <c r="G445" s="44">
        <f t="shared" si="12"/>
        <v>1</v>
      </c>
      <c r="H445" s="10" t="str">
        <f t="shared" si="13"/>
        <v>Saturday</v>
      </c>
    </row>
    <row r="446" spans="1:8">
      <c r="A446" s="9">
        <v>159679042</v>
      </c>
      <c r="B446" s="6">
        <v>44870</v>
      </c>
      <c r="C446" s="6">
        <v>44871</v>
      </c>
      <c r="D446" s="1" t="s">
        <v>8</v>
      </c>
      <c r="E446" s="1">
        <v>39</v>
      </c>
      <c r="F446" s="1" t="s">
        <v>6</v>
      </c>
      <c r="G446" s="44">
        <f t="shared" si="12"/>
        <v>1</v>
      </c>
      <c r="H446" s="10" t="str">
        <f t="shared" si="13"/>
        <v>Saturday</v>
      </c>
    </row>
    <row r="447" spans="1:8">
      <c r="A447" s="9">
        <v>160558904</v>
      </c>
      <c r="B447" s="6">
        <v>44870</v>
      </c>
      <c r="C447" s="6">
        <v>44950</v>
      </c>
      <c r="D447" s="1" t="s">
        <v>7</v>
      </c>
      <c r="E447" s="1">
        <v>39</v>
      </c>
      <c r="F447" s="1" t="s">
        <v>6</v>
      </c>
      <c r="G447" s="44">
        <f t="shared" si="12"/>
        <v>80</v>
      </c>
      <c r="H447" s="10" t="str">
        <f t="shared" si="13"/>
        <v>Saturday</v>
      </c>
    </row>
    <row r="448" spans="1:8">
      <c r="A448" s="9">
        <v>127836197</v>
      </c>
      <c r="B448" s="6">
        <v>44870</v>
      </c>
      <c r="C448" s="6">
        <v>44870</v>
      </c>
      <c r="D448" s="1" t="s">
        <v>7</v>
      </c>
      <c r="E448" s="1">
        <v>39</v>
      </c>
      <c r="F448" s="1" t="s">
        <v>6</v>
      </c>
      <c r="G448" s="44">
        <f t="shared" si="12"/>
        <v>0</v>
      </c>
      <c r="H448" s="10" t="str">
        <f t="shared" si="13"/>
        <v>Saturday</v>
      </c>
    </row>
    <row r="449" spans="1:8">
      <c r="A449" s="9">
        <v>155334332</v>
      </c>
      <c r="B449" s="6">
        <v>44870</v>
      </c>
      <c r="C449" s="6">
        <v>44899</v>
      </c>
      <c r="D449" s="1" t="s">
        <v>7</v>
      </c>
      <c r="E449" s="1">
        <v>39</v>
      </c>
      <c r="F449" s="1" t="s">
        <v>6</v>
      </c>
      <c r="G449" s="44">
        <f t="shared" si="12"/>
        <v>29</v>
      </c>
      <c r="H449" s="10" t="str">
        <f t="shared" si="13"/>
        <v>Saturday</v>
      </c>
    </row>
    <row r="450" spans="1:8">
      <c r="A450" s="9">
        <v>160523170</v>
      </c>
      <c r="B450" s="6">
        <v>44870</v>
      </c>
      <c r="C450" s="6">
        <v>44907</v>
      </c>
      <c r="D450" s="1" t="s">
        <v>7</v>
      </c>
      <c r="E450" s="1">
        <v>39</v>
      </c>
      <c r="F450" s="1" t="s">
        <v>6</v>
      </c>
      <c r="G450" s="44">
        <f t="shared" si="12"/>
        <v>37</v>
      </c>
      <c r="H450" s="10" t="str">
        <f t="shared" si="13"/>
        <v>Saturday</v>
      </c>
    </row>
    <row r="451" spans="1:8">
      <c r="A451" s="9">
        <v>156907890</v>
      </c>
      <c r="B451" s="6">
        <v>44870</v>
      </c>
      <c r="C451" s="6">
        <v>44870</v>
      </c>
      <c r="D451" s="1" t="s">
        <v>7</v>
      </c>
      <c r="E451" s="1">
        <v>39</v>
      </c>
      <c r="F451" s="1" t="s">
        <v>6</v>
      </c>
      <c r="G451" s="44">
        <f t="shared" ref="G451:G514" si="14">IF(C451="", "", DATEDIF(B451, C451, "D"))</f>
        <v>0</v>
      </c>
      <c r="H451" s="10" t="str">
        <f t="shared" ref="H451:H514" si="15">TEXT(B451, "dddd")</f>
        <v>Saturday</v>
      </c>
    </row>
    <row r="452" spans="1:8">
      <c r="A452" s="9">
        <v>160608516</v>
      </c>
      <c r="B452" s="6">
        <v>44870</v>
      </c>
      <c r="C452" s="6">
        <v>45141</v>
      </c>
      <c r="D452" s="1" t="s">
        <v>7</v>
      </c>
      <c r="E452" s="1">
        <v>39</v>
      </c>
      <c r="F452" s="1" t="s">
        <v>6</v>
      </c>
      <c r="G452" s="44">
        <f t="shared" si="14"/>
        <v>271</v>
      </c>
      <c r="H452" s="10" t="str">
        <f t="shared" si="15"/>
        <v>Saturday</v>
      </c>
    </row>
    <row r="453" spans="1:8">
      <c r="A453" s="9">
        <v>113181220</v>
      </c>
      <c r="B453" s="6">
        <v>44870</v>
      </c>
      <c r="C453" s="6">
        <v>45130</v>
      </c>
      <c r="D453" s="1" t="s">
        <v>7</v>
      </c>
      <c r="E453" s="1">
        <v>39</v>
      </c>
      <c r="F453" s="1" t="s">
        <v>6</v>
      </c>
      <c r="G453" s="44">
        <f t="shared" si="14"/>
        <v>260</v>
      </c>
      <c r="H453" s="10" t="str">
        <f t="shared" si="15"/>
        <v>Saturday</v>
      </c>
    </row>
    <row r="454" spans="1:8">
      <c r="A454" s="9">
        <v>159790393</v>
      </c>
      <c r="B454" s="6">
        <v>44871</v>
      </c>
      <c r="C454" s="6">
        <v>44970</v>
      </c>
      <c r="D454" s="1" t="s">
        <v>7</v>
      </c>
      <c r="E454" s="1">
        <v>39</v>
      </c>
      <c r="F454" s="1" t="s">
        <v>6</v>
      </c>
      <c r="G454" s="44">
        <f t="shared" si="14"/>
        <v>99</v>
      </c>
      <c r="H454" s="10" t="str">
        <f t="shared" si="15"/>
        <v>Sunday</v>
      </c>
    </row>
    <row r="455" spans="1:8">
      <c r="A455" s="9">
        <v>147813476</v>
      </c>
      <c r="B455" s="6">
        <v>44871</v>
      </c>
      <c r="C455" s="6">
        <v>44953</v>
      </c>
      <c r="D455" s="1" t="s">
        <v>7</v>
      </c>
      <c r="E455" s="1">
        <v>39</v>
      </c>
      <c r="F455" s="1" t="s">
        <v>6</v>
      </c>
      <c r="G455" s="44">
        <f t="shared" si="14"/>
        <v>82</v>
      </c>
      <c r="H455" s="10" t="str">
        <f t="shared" si="15"/>
        <v>Sunday</v>
      </c>
    </row>
    <row r="456" spans="1:8">
      <c r="A456" s="9">
        <v>156078158</v>
      </c>
      <c r="B456" s="6">
        <v>44871</v>
      </c>
      <c r="C456" s="6">
        <v>44951</v>
      </c>
      <c r="D456" s="1" t="s">
        <v>7</v>
      </c>
      <c r="E456" s="1">
        <v>39</v>
      </c>
      <c r="F456" s="1" t="s">
        <v>6</v>
      </c>
      <c r="G456" s="44">
        <f t="shared" si="14"/>
        <v>80</v>
      </c>
      <c r="H456" s="10" t="str">
        <f t="shared" si="15"/>
        <v>Sunday</v>
      </c>
    </row>
    <row r="457" spans="1:8">
      <c r="A457" s="9">
        <v>154879898</v>
      </c>
      <c r="B457" s="6">
        <v>44871</v>
      </c>
      <c r="C457" s="6">
        <v>44882</v>
      </c>
      <c r="D457" s="1" t="s">
        <v>7</v>
      </c>
      <c r="E457" s="1">
        <v>39</v>
      </c>
      <c r="F457" s="1" t="s">
        <v>6</v>
      </c>
      <c r="G457" s="44">
        <f t="shared" si="14"/>
        <v>11</v>
      </c>
      <c r="H457" s="10" t="str">
        <f t="shared" si="15"/>
        <v>Sunday</v>
      </c>
    </row>
    <row r="458" spans="1:8">
      <c r="A458" s="9">
        <v>136157937</v>
      </c>
      <c r="B458" s="6">
        <v>44871</v>
      </c>
      <c r="C458" s="6">
        <v>44908</v>
      </c>
      <c r="D458" s="1" t="s">
        <v>7</v>
      </c>
      <c r="E458" s="1">
        <v>39</v>
      </c>
      <c r="F458" s="1" t="s">
        <v>6</v>
      </c>
      <c r="G458" s="44">
        <f t="shared" si="14"/>
        <v>37</v>
      </c>
      <c r="H458" s="10" t="str">
        <f t="shared" si="15"/>
        <v>Sunday</v>
      </c>
    </row>
    <row r="459" spans="1:8">
      <c r="A459" s="9">
        <v>160176868</v>
      </c>
      <c r="B459" s="6">
        <v>44871</v>
      </c>
      <c r="C459" s="6">
        <v>44896</v>
      </c>
      <c r="D459" s="1" t="s">
        <v>7</v>
      </c>
      <c r="E459" s="1">
        <v>39</v>
      </c>
      <c r="F459" s="1" t="s">
        <v>6</v>
      </c>
      <c r="G459" s="44">
        <f t="shared" si="14"/>
        <v>25</v>
      </c>
      <c r="H459" s="10" t="str">
        <f t="shared" si="15"/>
        <v>Sunday</v>
      </c>
    </row>
    <row r="460" spans="1:8">
      <c r="A460" s="9">
        <v>160622888</v>
      </c>
      <c r="B460" s="6">
        <v>44871</v>
      </c>
      <c r="C460" s="6">
        <v>44871</v>
      </c>
      <c r="D460" s="1" t="s">
        <v>7</v>
      </c>
      <c r="E460" s="1">
        <v>39</v>
      </c>
      <c r="F460" s="1" t="s">
        <v>6</v>
      </c>
      <c r="G460" s="44">
        <f t="shared" si="14"/>
        <v>0</v>
      </c>
      <c r="H460" s="10" t="str">
        <f t="shared" si="15"/>
        <v>Sunday</v>
      </c>
    </row>
    <row r="461" spans="1:8">
      <c r="A461" s="9">
        <v>158736659</v>
      </c>
      <c r="B461" s="6">
        <v>44872</v>
      </c>
      <c r="C461" s="1"/>
      <c r="D461" s="1" t="s">
        <v>7</v>
      </c>
      <c r="E461" s="1">
        <v>39</v>
      </c>
      <c r="F461" s="1" t="s">
        <v>6</v>
      </c>
      <c r="G461" s="44" t="str">
        <f t="shared" si="14"/>
        <v/>
      </c>
      <c r="H461" s="10" t="str">
        <f t="shared" si="15"/>
        <v>Monday</v>
      </c>
    </row>
    <row r="462" spans="1:8">
      <c r="A462" s="9">
        <v>160813660</v>
      </c>
      <c r="B462" s="6">
        <v>44872</v>
      </c>
      <c r="C462" s="1"/>
      <c r="D462" s="1" t="s">
        <v>7</v>
      </c>
      <c r="E462" s="1">
        <v>39</v>
      </c>
      <c r="F462" s="1" t="s">
        <v>6</v>
      </c>
      <c r="G462" s="44" t="str">
        <f t="shared" si="14"/>
        <v/>
      </c>
      <c r="H462" s="10" t="str">
        <f t="shared" si="15"/>
        <v>Monday</v>
      </c>
    </row>
    <row r="463" spans="1:8">
      <c r="A463" s="9">
        <v>158524240</v>
      </c>
      <c r="B463" s="6">
        <v>44872</v>
      </c>
      <c r="C463" s="1"/>
      <c r="D463" s="1" t="s">
        <v>7</v>
      </c>
      <c r="E463" s="1">
        <v>39</v>
      </c>
      <c r="F463" s="1" t="s">
        <v>6</v>
      </c>
      <c r="G463" s="44" t="str">
        <f t="shared" si="14"/>
        <v/>
      </c>
      <c r="H463" s="10" t="str">
        <f t="shared" si="15"/>
        <v>Monday</v>
      </c>
    </row>
    <row r="464" spans="1:8">
      <c r="A464" s="9">
        <v>160702738</v>
      </c>
      <c r="B464" s="6">
        <v>44872</v>
      </c>
      <c r="C464" s="1"/>
      <c r="D464" s="1" t="s">
        <v>7</v>
      </c>
      <c r="E464" s="1">
        <v>39</v>
      </c>
      <c r="F464" s="1" t="s">
        <v>6</v>
      </c>
      <c r="G464" s="44" t="str">
        <f t="shared" si="14"/>
        <v/>
      </c>
      <c r="H464" s="10" t="str">
        <f t="shared" si="15"/>
        <v>Monday</v>
      </c>
    </row>
    <row r="465" spans="1:8">
      <c r="A465" s="9">
        <v>138919619</v>
      </c>
      <c r="B465" s="6">
        <v>44872</v>
      </c>
      <c r="C465" s="6">
        <v>44901</v>
      </c>
      <c r="D465" s="1" t="s">
        <v>7</v>
      </c>
      <c r="E465" s="1">
        <v>39</v>
      </c>
      <c r="F465" s="1" t="s">
        <v>6</v>
      </c>
      <c r="G465" s="44">
        <f t="shared" si="14"/>
        <v>29</v>
      </c>
      <c r="H465" s="10" t="str">
        <f t="shared" si="15"/>
        <v>Monday</v>
      </c>
    </row>
    <row r="466" spans="1:8">
      <c r="A466" s="9">
        <v>121571816</v>
      </c>
      <c r="B466" s="6">
        <v>44872</v>
      </c>
      <c r="C466" s="6">
        <v>45011</v>
      </c>
      <c r="D466" s="1" t="s">
        <v>7</v>
      </c>
      <c r="E466" s="1">
        <v>39</v>
      </c>
      <c r="F466" s="1" t="s">
        <v>6</v>
      </c>
      <c r="G466" s="44">
        <f t="shared" si="14"/>
        <v>139</v>
      </c>
      <c r="H466" s="10" t="str">
        <f t="shared" si="15"/>
        <v>Monday</v>
      </c>
    </row>
    <row r="467" spans="1:8">
      <c r="A467" s="9">
        <v>160623955</v>
      </c>
      <c r="B467" s="6">
        <v>44872</v>
      </c>
      <c r="C467" s="6">
        <v>45112</v>
      </c>
      <c r="D467" s="1" t="s">
        <v>7</v>
      </c>
      <c r="E467" s="1">
        <v>39</v>
      </c>
      <c r="F467" s="1" t="s">
        <v>6</v>
      </c>
      <c r="G467" s="44">
        <f t="shared" si="14"/>
        <v>240</v>
      </c>
      <c r="H467" s="10" t="str">
        <f t="shared" si="15"/>
        <v>Monday</v>
      </c>
    </row>
    <row r="468" spans="1:8">
      <c r="A468" s="9">
        <v>160010850</v>
      </c>
      <c r="B468" s="6">
        <v>44872</v>
      </c>
      <c r="C468" s="6">
        <v>44994</v>
      </c>
      <c r="D468" s="1" t="s">
        <v>7</v>
      </c>
      <c r="E468" s="1">
        <v>39</v>
      </c>
      <c r="F468" s="1" t="s">
        <v>6</v>
      </c>
      <c r="G468" s="44">
        <f t="shared" si="14"/>
        <v>122</v>
      </c>
      <c r="H468" s="10" t="str">
        <f t="shared" si="15"/>
        <v>Monday</v>
      </c>
    </row>
    <row r="469" spans="1:8">
      <c r="A469" s="9">
        <v>160823268</v>
      </c>
      <c r="B469" s="6">
        <v>44872</v>
      </c>
      <c r="C469" s="6">
        <v>44963</v>
      </c>
      <c r="D469" s="1" t="s">
        <v>7</v>
      </c>
      <c r="E469" s="1">
        <v>39</v>
      </c>
      <c r="F469" s="1" t="s">
        <v>6</v>
      </c>
      <c r="G469" s="44">
        <f t="shared" si="14"/>
        <v>91</v>
      </c>
      <c r="H469" s="10" t="str">
        <f t="shared" si="15"/>
        <v>Monday</v>
      </c>
    </row>
    <row r="470" spans="1:8">
      <c r="A470" s="9">
        <v>158992873</v>
      </c>
      <c r="B470" s="6">
        <v>44872</v>
      </c>
      <c r="C470" s="6">
        <v>44971</v>
      </c>
      <c r="D470" s="1" t="s">
        <v>7</v>
      </c>
      <c r="E470" s="1">
        <v>39</v>
      </c>
      <c r="F470" s="1" t="s">
        <v>6</v>
      </c>
      <c r="G470" s="44">
        <f t="shared" si="14"/>
        <v>99</v>
      </c>
      <c r="H470" s="10" t="str">
        <f t="shared" si="15"/>
        <v>Monday</v>
      </c>
    </row>
    <row r="471" spans="1:8">
      <c r="A471" s="9">
        <v>159878556</v>
      </c>
      <c r="B471" s="6">
        <v>44872</v>
      </c>
      <c r="C471" s="6">
        <v>44902</v>
      </c>
      <c r="D471" s="1" t="s">
        <v>7</v>
      </c>
      <c r="E471" s="1">
        <v>39</v>
      </c>
      <c r="F471" s="1" t="s">
        <v>6</v>
      </c>
      <c r="G471" s="44">
        <f t="shared" si="14"/>
        <v>30</v>
      </c>
      <c r="H471" s="10" t="str">
        <f t="shared" si="15"/>
        <v>Monday</v>
      </c>
    </row>
    <row r="472" spans="1:8">
      <c r="A472" s="9">
        <v>160833652</v>
      </c>
      <c r="B472" s="6">
        <v>44872</v>
      </c>
      <c r="C472" s="6">
        <v>44909</v>
      </c>
      <c r="D472" s="1" t="s">
        <v>7</v>
      </c>
      <c r="E472" s="1">
        <v>39</v>
      </c>
      <c r="F472" s="1" t="s">
        <v>6</v>
      </c>
      <c r="G472" s="44">
        <f t="shared" si="14"/>
        <v>37</v>
      </c>
      <c r="H472" s="10" t="str">
        <f t="shared" si="15"/>
        <v>Monday</v>
      </c>
    </row>
    <row r="473" spans="1:8">
      <c r="A473" s="9">
        <v>157663870</v>
      </c>
      <c r="B473" s="6">
        <v>44872</v>
      </c>
      <c r="C473" s="6">
        <v>44903</v>
      </c>
      <c r="D473" s="1" t="s">
        <v>7</v>
      </c>
      <c r="E473" s="1">
        <v>39</v>
      </c>
      <c r="F473" s="1" t="s">
        <v>6</v>
      </c>
      <c r="G473" s="44">
        <f t="shared" si="14"/>
        <v>31</v>
      </c>
      <c r="H473" s="10" t="str">
        <f t="shared" si="15"/>
        <v>Monday</v>
      </c>
    </row>
    <row r="474" spans="1:8">
      <c r="A474" s="9">
        <v>160615413</v>
      </c>
      <c r="B474" s="6">
        <v>44872</v>
      </c>
      <c r="C474" s="6">
        <v>44920</v>
      </c>
      <c r="D474" s="1" t="s">
        <v>7</v>
      </c>
      <c r="E474" s="1">
        <v>39</v>
      </c>
      <c r="F474" s="1" t="s">
        <v>6</v>
      </c>
      <c r="G474" s="44">
        <f t="shared" si="14"/>
        <v>48</v>
      </c>
      <c r="H474" s="10" t="str">
        <f t="shared" si="15"/>
        <v>Monday</v>
      </c>
    </row>
    <row r="475" spans="1:8">
      <c r="A475" s="9">
        <v>156207052</v>
      </c>
      <c r="B475" s="6">
        <v>44872</v>
      </c>
      <c r="C475" s="6">
        <v>44899</v>
      </c>
      <c r="D475" s="1" t="s">
        <v>7</v>
      </c>
      <c r="E475" s="1">
        <v>39</v>
      </c>
      <c r="F475" s="1" t="s">
        <v>6</v>
      </c>
      <c r="G475" s="44">
        <f t="shared" si="14"/>
        <v>27</v>
      </c>
      <c r="H475" s="10" t="str">
        <f t="shared" si="15"/>
        <v>Monday</v>
      </c>
    </row>
    <row r="476" spans="1:8">
      <c r="A476" s="9">
        <v>160103792</v>
      </c>
      <c r="B476" s="6">
        <v>44872</v>
      </c>
      <c r="C476" s="6">
        <v>44872</v>
      </c>
      <c r="D476" s="1" t="s">
        <v>7</v>
      </c>
      <c r="E476" s="1">
        <v>39</v>
      </c>
      <c r="F476" s="1" t="s">
        <v>6</v>
      </c>
      <c r="G476" s="44">
        <f t="shared" si="14"/>
        <v>0</v>
      </c>
      <c r="H476" s="10" t="str">
        <f t="shared" si="15"/>
        <v>Monday</v>
      </c>
    </row>
    <row r="477" spans="1:8">
      <c r="A477" s="9">
        <v>160969302</v>
      </c>
      <c r="B477" s="6">
        <v>44874</v>
      </c>
      <c r="C477" s="6">
        <v>45168</v>
      </c>
      <c r="D477" s="1" t="s">
        <v>7</v>
      </c>
      <c r="E477" s="1">
        <v>39</v>
      </c>
      <c r="F477" s="1" t="s">
        <v>6</v>
      </c>
      <c r="G477" s="44">
        <f t="shared" si="14"/>
        <v>294</v>
      </c>
      <c r="H477" s="10" t="str">
        <f t="shared" si="15"/>
        <v>Wednesday</v>
      </c>
    </row>
    <row r="478" spans="1:8">
      <c r="A478" s="9">
        <v>149648746</v>
      </c>
      <c r="B478" s="6">
        <v>44874</v>
      </c>
      <c r="C478" s="6">
        <v>45079</v>
      </c>
      <c r="D478" s="1" t="s">
        <v>7</v>
      </c>
      <c r="E478" s="1">
        <v>39</v>
      </c>
      <c r="F478" s="1" t="s">
        <v>6</v>
      </c>
      <c r="G478" s="44">
        <f t="shared" si="14"/>
        <v>205</v>
      </c>
      <c r="H478" s="10" t="str">
        <f t="shared" si="15"/>
        <v>Wednesday</v>
      </c>
    </row>
    <row r="479" spans="1:8">
      <c r="A479" s="9">
        <v>155643390</v>
      </c>
      <c r="B479" s="6">
        <v>44874</v>
      </c>
      <c r="C479" s="6">
        <v>45016</v>
      </c>
      <c r="D479" s="1" t="s">
        <v>7</v>
      </c>
      <c r="E479" s="1">
        <v>39</v>
      </c>
      <c r="F479" s="1" t="s">
        <v>6</v>
      </c>
      <c r="G479" s="44">
        <f t="shared" si="14"/>
        <v>142</v>
      </c>
      <c r="H479" s="10" t="str">
        <f t="shared" si="15"/>
        <v>Wednesday</v>
      </c>
    </row>
    <row r="480" spans="1:8">
      <c r="A480" s="9">
        <v>119294384</v>
      </c>
      <c r="B480" s="6">
        <v>44874</v>
      </c>
      <c r="C480" s="6">
        <v>44987</v>
      </c>
      <c r="D480" s="1" t="s">
        <v>7</v>
      </c>
      <c r="E480" s="1">
        <v>39</v>
      </c>
      <c r="F480" s="1" t="s">
        <v>6</v>
      </c>
      <c r="G480" s="44">
        <f t="shared" si="14"/>
        <v>113</v>
      </c>
      <c r="H480" s="10" t="str">
        <f t="shared" si="15"/>
        <v>Wednesday</v>
      </c>
    </row>
    <row r="481" spans="1:8">
      <c r="A481" s="9">
        <v>160171541</v>
      </c>
      <c r="B481" s="6">
        <v>44874</v>
      </c>
      <c r="C481" s="6">
        <v>44929</v>
      </c>
      <c r="D481" s="1" t="s">
        <v>7</v>
      </c>
      <c r="E481" s="1">
        <v>39</v>
      </c>
      <c r="F481" s="1" t="s">
        <v>6</v>
      </c>
      <c r="G481" s="44">
        <f t="shared" si="14"/>
        <v>55</v>
      </c>
      <c r="H481" s="10" t="str">
        <f t="shared" si="15"/>
        <v>Wednesday</v>
      </c>
    </row>
    <row r="482" spans="1:8">
      <c r="A482" s="9">
        <v>150569213</v>
      </c>
      <c r="B482" s="6">
        <v>44874</v>
      </c>
      <c r="C482" s="6">
        <v>44911</v>
      </c>
      <c r="D482" s="1" t="s">
        <v>7</v>
      </c>
      <c r="E482" s="1">
        <v>39</v>
      </c>
      <c r="F482" s="1" t="s">
        <v>6</v>
      </c>
      <c r="G482" s="44">
        <f t="shared" si="14"/>
        <v>37</v>
      </c>
      <c r="H482" s="10" t="str">
        <f t="shared" si="15"/>
        <v>Wednesday</v>
      </c>
    </row>
    <row r="483" spans="1:8">
      <c r="A483" s="9">
        <v>156710028</v>
      </c>
      <c r="B483" s="6">
        <v>44875</v>
      </c>
      <c r="C483" s="6">
        <v>44992</v>
      </c>
      <c r="D483" s="1" t="s">
        <v>7</v>
      </c>
      <c r="E483" s="1">
        <v>39</v>
      </c>
      <c r="F483" s="1" t="s">
        <v>6</v>
      </c>
      <c r="G483" s="44">
        <f t="shared" si="14"/>
        <v>117</v>
      </c>
      <c r="H483" s="10" t="str">
        <f t="shared" si="15"/>
        <v>Thursday</v>
      </c>
    </row>
    <row r="484" spans="1:8">
      <c r="A484" s="9">
        <v>157670310</v>
      </c>
      <c r="B484" s="6">
        <v>44875</v>
      </c>
      <c r="C484" s="6">
        <v>44958</v>
      </c>
      <c r="D484" s="1" t="s">
        <v>7</v>
      </c>
      <c r="E484" s="1">
        <v>39</v>
      </c>
      <c r="F484" s="1" t="s">
        <v>6</v>
      </c>
      <c r="G484" s="44">
        <f t="shared" si="14"/>
        <v>83</v>
      </c>
      <c r="H484" s="10" t="str">
        <f t="shared" si="15"/>
        <v>Thursday</v>
      </c>
    </row>
    <row r="485" spans="1:8">
      <c r="A485" s="9">
        <v>157091067</v>
      </c>
      <c r="B485" s="6">
        <v>44875</v>
      </c>
      <c r="C485" s="6">
        <v>44969</v>
      </c>
      <c r="D485" s="1" t="s">
        <v>7</v>
      </c>
      <c r="E485" s="1">
        <v>39</v>
      </c>
      <c r="F485" s="1" t="s">
        <v>6</v>
      </c>
      <c r="G485" s="44">
        <f t="shared" si="14"/>
        <v>94</v>
      </c>
      <c r="H485" s="10" t="str">
        <f t="shared" si="15"/>
        <v>Thursday</v>
      </c>
    </row>
    <row r="486" spans="1:8">
      <c r="A486" s="9">
        <v>159639128</v>
      </c>
      <c r="B486" s="6">
        <v>44875</v>
      </c>
      <c r="C486" s="6">
        <v>44875</v>
      </c>
      <c r="D486" s="1" t="s">
        <v>7</v>
      </c>
      <c r="E486" s="1">
        <v>39</v>
      </c>
      <c r="F486" s="1" t="s">
        <v>6</v>
      </c>
      <c r="G486" s="44">
        <f t="shared" si="14"/>
        <v>0</v>
      </c>
      <c r="H486" s="10" t="str">
        <f t="shared" si="15"/>
        <v>Thursday</v>
      </c>
    </row>
    <row r="487" spans="1:8">
      <c r="A487" s="9">
        <v>149728468</v>
      </c>
      <c r="B487" s="6">
        <v>44876</v>
      </c>
      <c r="C487" s="6">
        <v>44877</v>
      </c>
      <c r="D487" s="1" t="s">
        <v>7</v>
      </c>
      <c r="E487" s="1">
        <v>39</v>
      </c>
      <c r="F487" s="1" t="s">
        <v>6</v>
      </c>
      <c r="G487" s="44">
        <f t="shared" si="14"/>
        <v>1</v>
      </c>
      <c r="H487" s="10" t="str">
        <f t="shared" si="15"/>
        <v>Friday</v>
      </c>
    </row>
    <row r="488" spans="1:8">
      <c r="A488" s="9">
        <v>160714172</v>
      </c>
      <c r="B488" s="6">
        <v>44876</v>
      </c>
      <c r="C488" s="6">
        <v>44926</v>
      </c>
      <c r="D488" s="1" t="s">
        <v>7</v>
      </c>
      <c r="E488" s="1">
        <v>39</v>
      </c>
      <c r="F488" s="1" t="s">
        <v>6</v>
      </c>
      <c r="G488" s="44">
        <f t="shared" si="14"/>
        <v>50</v>
      </c>
      <c r="H488" s="10" t="str">
        <f t="shared" si="15"/>
        <v>Friday</v>
      </c>
    </row>
    <row r="489" spans="1:8">
      <c r="A489" s="9">
        <v>161464205</v>
      </c>
      <c r="B489" s="6">
        <v>44876</v>
      </c>
      <c r="C489" s="6">
        <v>44911</v>
      </c>
      <c r="D489" s="1" t="s">
        <v>7</v>
      </c>
      <c r="E489" s="1">
        <v>39</v>
      </c>
      <c r="F489" s="1" t="s">
        <v>6</v>
      </c>
      <c r="G489" s="44">
        <f t="shared" si="14"/>
        <v>35</v>
      </c>
      <c r="H489" s="10" t="str">
        <f t="shared" si="15"/>
        <v>Friday</v>
      </c>
    </row>
    <row r="490" spans="1:8">
      <c r="A490" s="9">
        <v>141084753</v>
      </c>
      <c r="B490" s="6">
        <v>44877</v>
      </c>
      <c r="C490" s="6">
        <v>45035</v>
      </c>
      <c r="D490" s="1" t="s">
        <v>7</v>
      </c>
      <c r="E490" s="1">
        <v>39</v>
      </c>
      <c r="F490" s="1" t="s">
        <v>6</v>
      </c>
      <c r="G490" s="44">
        <f t="shared" si="14"/>
        <v>158</v>
      </c>
      <c r="H490" s="10" t="str">
        <f t="shared" si="15"/>
        <v>Saturday</v>
      </c>
    </row>
    <row r="491" spans="1:8">
      <c r="A491" s="9">
        <v>161768948</v>
      </c>
      <c r="B491" s="6">
        <v>44877</v>
      </c>
      <c r="C491" s="6">
        <v>45021</v>
      </c>
      <c r="D491" s="1" t="s">
        <v>7</v>
      </c>
      <c r="E491" s="1">
        <v>39</v>
      </c>
      <c r="F491" s="1" t="s">
        <v>6</v>
      </c>
      <c r="G491" s="44">
        <f t="shared" si="14"/>
        <v>144</v>
      </c>
      <c r="H491" s="10" t="str">
        <f t="shared" si="15"/>
        <v>Saturday</v>
      </c>
    </row>
    <row r="492" spans="1:8">
      <c r="A492" s="9">
        <v>161692109</v>
      </c>
      <c r="B492" s="6">
        <v>44877</v>
      </c>
      <c r="C492" s="6">
        <v>44976</v>
      </c>
      <c r="D492" s="1" t="s">
        <v>7</v>
      </c>
      <c r="E492" s="1">
        <v>39</v>
      </c>
      <c r="F492" s="1" t="s">
        <v>6</v>
      </c>
      <c r="G492" s="44">
        <f t="shared" si="14"/>
        <v>99</v>
      </c>
      <c r="H492" s="10" t="str">
        <f t="shared" si="15"/>
        <v>Saturday</v>
      </c>
    </row>
    <row r="493" spans="1:8">
      <c r="A493" s="9">
        <v>161424706</v>
      </c>
      <c r="B493" s="6">
        <v>44877</v>
      </c>
      <c r="C493" s="6">
        <v>44904</v>
      </c>
      <c r="D493" s="1" t="s">
        <v>7</v>
      </c>
      <c r="E493" s="1">
        <v>39</v>
      </c>
      <c r="F493" s="1" t="s">
        <v>6</v>
      </c>
      <c r="G493" s="44">
        <f t="shared" si="14"/>
        <v>27</v>
      </c>
      <c r="H493" s="10" t="str">
        <f t="shared" si="15"/>
        <v>Saturday</v>
      </c>
    </row>
    <row r="494" spans="1:8">
      <c r="A494" s="9">
        <v>153186137</v>
      </c>
      <c r="B494" s="6">
        <v>44877</v>
      </c>
      <c r="C494" s="6">
        <v>44877</v>
      </c>
      <c r="D494" s="1" t="s">
        <v>7</v>
      </c>
      <c r="E494" s="1">
        <v>39</v>
      </c>
      <c r="F494" s="1" t="s">
        <v>6</v>
      </c>
      <c r="G494" s="44">
        <f t="shared" si="14"/>
        <v>0</v>
      </c>
      <c r="H494" s="10" t="str">
        <f t="shared" si="15"/>
        <v>Saturday</v>
      </c>
    </row>
    <row r="495" spans="1:8">
      <c r="A495" s="9">
        <v>158906669</v>
      </c>
      <c r="B495" s="6">
        <v>44878</v>
      </c>
      <c r="C495" s="6">
        <v>44969</v>
      </c>
      <c r="D495" s="1" t="s">
        <v>7</v>
      </c>
      <c r="E495" s="1">
        <v>39</v>
      </c>
      <c r="F495" s="1" t="s">
        <v>6</v>
      </c>
      <c r="G495" s="44">
        <f t="shared" si="14"/>
        <v>91</v>
      </c>
      <c r="H495" s="10" t="str">
        <f t="shared" si="15"/>
        <v>Sunday</v>
      </c>
    </row>
    <row r="496" spans="1:8">
      <c r="A496" s="9">
        <v>154085972</v>
      </c>
      <c r="B496" s="6">
        <v>44878</v>
      </c>
      <c r="C496" s="6">
        <v>44900</v>
      </c>
      <c r="D496" s="1" t="s">
        <v>7</v>
      </c>
      <c r="E496" s="1">
        <v>39</v>
      </c>
      <c r="F496" s="1" t="s">
        <v>6</v>
      </c>
      <c r="G496" s="44">
        <f t="shared" si="14"/>
        <v>22</v>
      </c>
      <c r="H496" s="10" t="str">
        <f t="shared" si="15"/>
        <v>Sunday</v>
      </c>
    </row>
    <row r="497" spans="1:8">
      <c r="A497" s="9">
        <v>162409676</v>
      </c>
      <c r="B497" s="6">
        <v>44879</v>
      </c>
      <c r="C497" s="1"/>
      <c r="D497" s="1" t="s">
        <v>7</v>
      </c>
      <c r="E497" s="1">
        <v>39</v>
      </c>
      <c r="F497" s="1" t="s">
        <v>6</v>
      </c>
      <c r="G497" s="44" t="str">
        <f t="shared" si="14"/>
        <v/>
      </c>
      <c r="H497" s="10" t="str">
        <f t="shared" si="15"/>
        <v>Monday</v>
      </c>
    </row>
    <row r="498" spans="1:8">
      <c r="A498" s="9">
        <v>157438261</v>
      </c>
      <c r="B498" s="6">
        <v>44879</v>
      </c>
      <c r="C498" s="1"/>
      <c r="D498" s="1" t="s">
        <v>7</v>
      </c>
      <c r="E498" s="1">
        <v>39</v>
      </c>
      <c r="F498" s="1" t="s">
        <v>6</v>
      </c>
      <c r="G498" s="44" t="str">
        <f t="shared" si="14"/>
        <v/>
      </c>
      <c r="H498" s="10" t="str">
        <f t="shared" si="15"/>
        <v>Monday</v>
      </c>
    </row>
    <row r="499" spans="1:8">
      <c r="A499" s="9">
        <v>132579012</v>
      </c>
      <c r="B499" s="6">
        <v>44879</v>
      </c>
      <c r="C499" s="6">
        <v>44999</v>
      </c>
      <c r="D499" s="1" t="s">
        <v>7</v>
      </c>
      <c r="E499" s="1">
        <v>39</v>
      </c>
      <c r="F499" s="1" t="s">
        <v>6</v>
      </c>
      <c r="G499" s="44">
        <f t="shared" si="14"/>
        <v>120</v>
      </c>
      <c r="H499" s="10" t="str">
        <f t="shared" si="15"/>
        <v>Monday</v>
      </c>
    </row>
    <row r="500" spans="1:8">
      <c r="A500" s="9">
        <v>129140042</v>
      </c>
      <c r="B500" s="6">
        <v>44879</v>
      </c>
      <c r="C500" s="6">
        <v>44966</v>
      </c>
      <c r="D500" s="1" t="s">
        <v>7</v>
      </c>
      <c r="E500" s="1">
        <v>39</v>
      </c>
      <c r="F500" s="1" t="s">
        <v>6</v>
      </c>
      <c r="G500" s="44">
        <f t="shared" si="14"/>
        <v>87</v>
      </c>
      <c r="H500" s="10" t="str">
        <f t="shared" si="15"/>
        <v>Monday</v>
      </c>
    </row>
    <row r="501" spans="1:8">
      <c r="A501" s="9">
        <v>147100996</v>
      </c>
      <c r="B501" s="6">
        <v>44879</v>
      </c>
      <c r="C501" s="6">
        <v>44941</v>
      </c>
      <c r="D501" s="1" t="s">
        <v>7</v>
      </c>
      <c r="E501" s="1">
        <v>39</v>
      </c>
      <c r="F501" s="1" t="s">
        <v>6</v>
      </c>
      <c r="G501" s="44">
        <f t="shared" si="14"/>
        <v>62</v>
      </c>
      <c r="H501" s="10" t="str">
        <f t="shared" si="15"/>
        <v>Monday</v>
      </c>
    </row>
    <row r="502" spans="1:8">
      <c r="A502" s="9">
        <v>158437198</v>
      </c>
      <c r="B502" s="6">
        <v>44879</v>
      </c>
      <c r="C502" s="6">
        <v>45011</v>
      </c>
      <c r="D502" s="1" t="s">
        <v>7</v>
      </c>
      <c r="E502" s="1">
        <v>39</v>
      </c>
      <c r="F502" s="1" t="s">
        <v>6</v>
      </c>
      <c r="G502" s="44">
        <f t="shared" si="14"/>
        <v>132</v>
      </c>
      <c r="H502" s="10" t="str">
        <f t="shared" si="15"/>
        <v>Monday</v>
      </c>
    </row>
    <row r="503" spans="1:8">
      <c r="A503" s="9">
        <v>162343403</v>
      </c>
      <c r="B503" s="6">
        <v>44879</v>
      </c>
      <c r="C503" s="6">
        <v>45001</v>
      </c>
      <c r="D503" s="1" t="s">
        <v>7</v>
      </c>
      <c r="E503" s="1">
        <v>39</v>
      </c>
      <c r="F503" s="1" t="s">
        <v>6</v>
      </c>
      <c r="G503" s="44">
        <f t="shared" si="14"/>
        <v>122</v>
      </c>
      <c r="H503" s="10" t="str">
        <f t="shared" si="15"/>
        <v>Monday</v>
      </c>
    </row>
    <row r="504" spans="1:8">
      <c r="A504" s="9">
        <v>162218672</v>
      </c>
      <c r="B504" s="6">
        <v>44879</v>
      </c>
      <c r="C504" s="6">
        <v>44994</v>
      </c>
      <c r="D504" s="1" t="s">
        <v>7</v>
      </c>
      <c r="E504" s="1">
        <v>39</v>
      </c>
      <c r="F504" s="1" t="s">
        <v>6</v>
      </c>
      <c r="G504" s="44">
        <f t="shared" si="14"/>
        <v>115</v>
      </c>
      <c r="H504" s="10" t="str">
        <f t="shared" si="15"/>
        <v>Monday</v>
      </c>
    </row>
    <row r="505" spans="1:8">
      <c r="A505" s="9">
        <v>120738319</v>
      </c>
      <c r="B505" s="6">
        <v>44879</v>
      </c>
      <c r="C505" s="6">
        <v>45019</v>
      </c>
      <c r="D505" s="1" t="s">
        <v>7</v>
      </c>
      <c r="E505" s="1">
        <v>39</v>
      </c>
      <c r="F505" s="1" t="s">
        <v>6</v>
      </c>
      <c r="G505" s="44">
        <f t="shared" si="14"/>
        <v>140</v>
      </c>
      <c r="H505" s="10" t="str">
        <f t="shared" si="15"/>
        <v>Monday</v>
      </c>
    </row>
    <row r="506" spans="1:8">
      <c r="A506" s="9">
        <v>162147786</v>
      </c>
      <c r="B506" s="6">
        <v>44879</v>
      </c>
      <c r="C506" s="6">
        <v>45030</v>
      </c>
      <c r="D506" s="1" t="s">
        <v>7</v>
      </c>
      <c r="E506" s="1">
        <v>39</v>
      </c>
      <c r="F506" s="1" t="s">
        <v>6</v>
      </c>
      <c r="G506" s="44">
        <f t="shared" si="14"/>
        <v>151</v>
      </c>
      <c r="H506" s="10" t="str">
        <f t="shared" si="15"/>
        <v>Monday</v>
      </c>
    </row>
    <row r="507" spans="1:8">
      <c r="A507" s="9">
        <v>153165084</v>
      </c>
      <c r="B507" s="6">
        <v>44879</v>
      </c>
      <c r="C507" s="6">
        <v>44965</v>
      </c>
      <c r="D507" s="1" t="s">
        <v>7</v>
      </c>
      <c r="E507" s="1">
        <v>39</v>
      </c>
      <c r="F507" s="1" t="s">
        <v>6</v>
      </c>
      <c r="G507" s="44">
        <f t="shared" si="14"/>
        <v>86</v>
      </c>
      <c r="H507" s="10" t="str">
        <f t="shared" si="15"/>
        <v>Monday</v>
      </c>
    </row>
    <row r="508" spans="1:8">
      <c r="A508" s="9">
        <v>161815335</v>
      </c>
      <c r="B508" s="6">
        <v>44879</v>
      </c>
      <c r="C508" s="6">
        <v>44976</v>
      </c>
      <c r="D508" s="1" t="s">
        <v>7</v>
      </c>
      <c r="E508" s="1">
        <v>39</v>
      </c>
      <c r="F508" s="1" t="s">
        <v>6</v>
      </c>
      <c r="G508" s="44">
        <f t="shared" si="14"/>
        <v>97</v>
      </c>
      <c r="H508" s="10" t="str">
        <f t="shared" si="15"/>
        <v>Monday</v>
      </c>
    </row>
    <row r="509" spans="1:8">
      <c r="A509" s="9">
        <v>162294529</v>
      </c>
      <c r="B509" s="6">
        <v>44879</v>
      </c>
      <c r="C509" s="6">
        <v>44964</v>
      </c>
      <c r="D509" s="1" t="s">
        <v>7</v>
      </c>
      <c r="E509" s="1">
        <v>39</v>
      </c>
      <c r="F509" s="1" t="s">
        <v>6</v>
      </c>
      <c r="G509" s="44">
        <f t="shared" si="14"/>
        <v>85</v>
      </c>
      <c r="H509" s="10" t="str">
        <f t="shared" si="15"/>
        <v>Monday</v>
      </c>
    </row>
    <row r="510" spans="1:8">
      <c r="A510" s="9">
        <v>162176080</v>
      </c>
      <c r="B510" s="6">
        <v>44879</v>
      </c>
      <c r="C510" s="6">
        <v>44962</v>
      </c>
      <c r="D510" s="1" t="s">
        <v>7</v>
      </c>
      <c r="E510" s="1">
        <v>39</v>
      </c>
      <c r="F510" s="1" t="s">
        <v>6</v>
      </c>
      <c r="G510" s="44">
        <f t="shared" si="14"/>
        <v>83</v>
      </c>
      <c r="H510" s="10" t="str">
        <f t="shared" si="15"/>
        <v>Monday</v>
      </c>
    </row>
    <row r="511" spans="1:8">
      <c r="A511" s="9">
        <v>162412232</v>
      </c>
      <c r="B511" s="6">
        <v>44879</v>
      </c>
      <c r="C511" s="6">
        <v>44916</v>
      </c>
      <c r="D511" s="1" t="s">
        <v>7</v>
      </c>
      <c r="E511" s="1">
        <v>39</v>
      </c>
      <c r="F511" s="1" t="s">
        <v>6</v>
      </c>
      <c r="G511" s="44">
        <f t="shared" si="14"/>
        <v>37</v>
      </c>
      <c r="H511" s="10" t="str">
        <f t="shared" si="15"/>
        <v>Monday</v>
      </c>
    </row>
    <row r="512" spans="1:8">
      <c r="A512" s="9">
        <v>158575772</v>
      </c>
      <c r="B512" s="6">
        <v>44879</v>
      </c>
      <c r="C512" s="6">
        <v>44911</v>
      </c>
      <c r="D512" s="1" t="s">
        <v>7</v>
      </c>
      <c r="E512" s="1">
        <v>39</v>
      </c>
      <c r="F512" s="1" t="s">
        <v>6</v>
      </c>
      <c r="G512" s="44">
        <f t="shared" si="14"/>
        <v>32</v>
      </c>
      <c r="H512" s="10" t="str">
        <f t="shared" si="15"/>
        <v>Monday</v>
      </c>
    </row>
    <row r="513" spans="1:8">
      <c r="A513" s="9">
        <v>162247173</v>
      </c>
      <c r="B513" s="6">
        <v>44879</v>
      </c>
      <c r="C513" s="6">
        <v>44906</v>
      </c>
      <c r="D513" s="1" t="s">
        <v>7</v>
      </c>
      <c r="E513" s="1">
        <v>39</v>
      </c>
      <c r="F513" s="1" t="s">
        <v>6</v>
      </c>
      <c r="G513" s="44">
        <f t="shared" si="14"/>
        <v>27</v>
      </c>
      <c r="H513" s="10" t="str">
        <f t="shared" si="15"/>
        <v>Monday</v>
      </c>
    </row>
    <row r="514" spans="1:8">
      <c r="A514" s="9">
        <v>153630282</v>
      </c>
      <c r="B514" s="6">
        <v>44879</v>
      </c>
      <c r="C514" s="6">
        <v>44903</v>
      </c>
      <c r="D514" s="1" t="s">
        <v>7</v>
      </c>
      <c r="E514" s="1">
        <v>39</v>
      </c>
      <c r="F514" s="1" t="s">
        <v>6</v>
      </c>
      <c r="G514" s="44">
        <f t="shared" si="14"/>
        <v>24</v>
      </c>
      <c r="H514" s="10" t="str">
        <f t="shared" si="15"/>
        <v>Monday</v>
      </c>
    </row>
    <row r="515" spans="1:8">
      <c r="A515" s="9">
        <v>156699431</v>
      </c>
      <c r="B515" s="6">
        <v>44879</v>
      </c>
      <c r="C515" s="6">
        <v>44888</v>
      </c>
      <c r="D515" s="1" t="s">
        <v>7</v>
      </c>
      <c r="E515" s="1">
        <v>39</v>
      </c>
      <c r="F515" s="1" t="s">
        <v>6</v>
      </c>
      <c r="G515" s="44">
        <f t="shared" ref="G515:G578" si="16">IF(C515="", "", DATEDIF(B515, C515, "D"))</f>
        <v>9</v>
      </c>
      <c r="H515" s="10" t="str">
        <f t="shared" ref="H515:H578" si="17">TEXT(B515, "dddd")</f>
        <v>Monday</v>
      </c>
    </row>
    <row r="516" spans="1:8">
      <c r="A516" s="9">
        <v>148018000</v>
      </c>
      <c r="B516" s="6">
        <v>44879</v>
      </c>
      <c r="C516" s="6">
        <v>45139</v>
      </c>
      <c r="D516" s="1" t="s">
        <v>7</v>
      </c>
      <c r="E516" s="1">
        <v>39</v>
      </c>
      <c r="F516" s="1" t="s">
        <v>6</v>
      </c>
      <c r="G516" s="44">
        <f t="shared" si="16"/>
        <v>260</v>
      </c>
      <c r="H516" s="10" t="str">
        <f t="shared" si="17"/>
        <v>Monday</v>
      </c>
    </row>
    <row r="517" spans="1:8">
      <c r="A517" s="9">
        <v>161623906</v>
      </c>
      <c r="B517" s="6">
        <v>44880</v>
      </c>
      <c r="C517" s="1"/>
      <c r="D517" s="1" t="s">
        <v>7</v>
      </c>
      <c r="E517" s="1">
        <v>39</v>
      </c>
      <c r="F517" s="1" t="s">
        <v>6</v>
      </c>
      <c r="G517" s="44" t="str">
        <f t="shared" si="16"/>
        <v/>
      </c>
      <c r="H517" s="10" t="str">
        <f t="shared" si="17"/>
        <v>Tuesday</v>
      </c>
    </row>
    <row r="518" spans="1:8">
      <c r="A518" s="9">
        <v>145664226</v>
      </c>
      <c r="B518" s="6">
        <v>44880</v>
      </c>
      <c r="C518" s="1"/>
      <c r="D518" s="1" t="s">
        <v>7</v>
      </c>
      <c r="E518" s="1">
        <v>39</v>
      </c>
      <c r="F518" s="1" t="s">
        <v>6</v>
      </c>
      <c r="G518" s="44" t="str">
        <f t="shared" si="16"/>
        <v/>
      </c>
      <c r="H518" s="10" t="str">
        <f t="shared" si="17"/>
        <v>Tuesday</v>
      </c>
    </row>
    <row r="519" spans="1:8">
      <c r="A519" s="9">
        <v>162529715</v>
      </c>
      <c r="B519" s="6">
        <v>44880</v>
      </c>
      <c r="C519" s="6">
        <v>45007</v>
      </c>
      <c r="D519" s="1" t="s">
        <v>7</v>
      </c>
      <c r="E519" s="1">
        <v>39</v>
      </c>
      <c r="F519" s="1" t="s">
        <v>6</v>
      </c>
      <c r="G519" s="44">
        <f t="shared" si="16"/>
        <v>127</v>
      </c>
      <c r="H519" s="10" t="str">
        <f t="shared" si="17"/>
        <v>Tuesday</v>
      </c>
    </row>
    <row r="520" spans="1:8">
      <c r="A520" s="9">
        <v>162581284</v>
      </c>
      <c r="B520" s="6">
        <v>44880</v>
      </c>
      <c r="C520" s="6">
        <v>44906</v>
      </c>
      <c r="D520" s="1" t="s">
        <v>7</v>
      </c>
      <c r="E520" s="1">
        <v>39</v>
      </c>
      <c r="F520" s="1" t="s">
        <v>6</v>
      </c>
      <c r="G520" s="44">
        <f t="shared" si="16"/>
        <v>26</v>
      </c>
      <c r="H520" s="10" t="str">
        <f t="shared" si="17"/>
        <v>Tuesday</v>
      </c>
    </row>
    <row r="521" spans="1:8">
      <c r="A521" s="9">
        <v>152655443</v>
      </c>
      <c r="B521" s="6">
        <v>44880</v>
      </c>
      <c r="C521" s="6">
        <v>44950</v>
      </c>
      <c r="D521" s="1" t="s">
        <v>7</v>
      </c>
      <c r="E521" s="1">
        <v>39</v>
      </c>
      <c r="F521" s="1" t="s">
        <v>6</v>
      </c>
      <c r="G521" s="44">
        <f t="shared" si="16"/>
        <v>70</v>
      </c>
      <c r="H521" s="10" t="str">
        <f t="shared" si="17"/>
        <v>Tuesday</v>
      </c>
    </row>
    <row r="522" spans="1:8">
      <c r="A522" s="9">
        <v>162443327</v>
      </c>
      <c r="B522" s="6">
        <v>44880</v>
      </c>
      <c r="C522" s="6">
        <v>44938</v>
      </c>
      <c r="D522" s="1" t="s">
        <v>7</v>
      </c>
      <c r="E522" s="1">
        <v>39</v>
      </c>
      <c r="F522" s="1" t="s">
        <v>6</v>
      </c>
      <c r="G522" s="44">
        <f t="shared" si="16"/>
        <v>58</v>
      </c>
      <c r="H522" s="10" t="str">
        <f t="shared" si="17"/>
        <v>Tuesday</v>
      </c>
    </row>
    <row r="523" spans="1:8">
      <c r="A523" s="9">
        <v>148348600</v>
      </c>
      <c r="B523" s="6">
        <v>44880</v>
      </c>
      <c r="C523" s="6">
        <v>44908</v>
      </c>
      <c r="D523" s="1" t="s">
        <v>7</v>
      </c>
      <c r="E523" s="1">
        <v>39</v>
      </c>
      <c r="F523" s="1" t="s">
        <v>6</v>
      </c>
      <c r="G523" s="44">
        <f t="shared" si="16"/>
        <v>28</v>
      </c>
      <c r="H523" s="10" t="str">
        <f t="shared" si="17"/>
        <v>Tuesday</v>
      </c>
    </row>
    <row r="524" spans="1:8">
      <c r="A524" s="9">
        <v>162992590</v>
      </c>
      <c r="B524" s="6">
        <v>44881</v>
      </c>
      <c r="C524" s="1"/>
      <c r="D524" s="1" t="s">
        <v>7</v>
      </c>
      <c r="E524" s="1">
        <v>39</v>
      </c>
      <c r="F524" s="1" t="s">
        <v>6</v>
      </c>
      <c r="G524" s="44" t="str">
        <f t="shared" si="16"/>
        <v/>
      </c>
      <c r="H524" s="10" t="str">
        <f t="shared" si="17"/>
        <v>Wednesday</v>
      </c>
    </row>
    <row r="525" spans="1:8">
      <c r="A525" s="9">
        <v>156633222</v>
      </c>
      <c r="B525" s="6">
        <v>44881</v>
      </c>
      <c r="C525" s="6">
        <v>44881</v>
      </c>
      <c r="D525" s="1" t="s">
        <v>8</v>
      </c>
      <c r="E525" s="1">
        <v>39</v>
      </c>
      <c r="F525" s="1" t="s">
        <v>6</v>
      </c>
      <c r="G525" s="44">
        <f t="shared" si="16"/>
        <v>0</v>
      </c>
      <c r="H525" s="10" t="str">
        <f t="shared" si="17"/>
        <v>Wednesday</v>
      </c>
    </row>
    <row r="526" spans="1:8">
      <c r="A526" s="9">
        <v>133595094</v>
      </c>
      <c r="B526" s="6">
        <v>44881</v>
      </c>
      <c r="C526" s="6">
        <v>44988</v>
      </c>
      <c r="D526" s="1" t="s">
        <v>7</v>
      </c>
      <c r="E526" s="1">
        <v>39</v>
      </c>
      <c r="F526" s="1" t="s">
        <v>6</v>
      </c>
      <c r="G526" s="44">
        <f t="shared" si="16"/>
        <v>107</v>
      </c>
      <c r="H526" s="10" t="str">
        <f t="shared" si="17"/>
        <v>Wednesday</v>
      </c>
    </row>
    <row r="527" spans="1:8">
      <c r="A527" s="9">
        <v>147770763</v>
      </c>
      <c r="B527" s="6">
        <v>44881</v>
      </c>
      <c r="C527" s="6">
        <v>44988</v>
      </c>
      <c r="D527" s="1" t="s">
        <v>7</v>
      </c>
      <c r="E527" s="1">
        <v>39</v>
      </c>
      <c r="F527" s="1" t="s">
        <v>6</v>
      </c>
      <c r="G527" s="44">
        <f t="shared" si="16"/>
        <v>107</v>
      </c>
      <c r="H527" s="10" t="str">
        <f t="shared" si="17"/>
        <v>Wednesday</v>
      </c>
    </row>
    <row r="528" spans="1:8">
      <c r="A528" s="9">
        <v>155370139</v>
      </c>
      <c r="B528" s="6">
        <v>44881</v>
      </c>
      <c r="C528" s="6">
        <v>45008</v>
      </c>
      <c r="D528" s="1" t="s">
        <v>7</v>
      </c>
      <c r="E528" s="1">
        <v>39</v>
      </c>
      <c r="F528" s="1" t="s">
        <v>6</v>
      </c>
      <c r="G528" s="44">
        <f t="shared" si="16"/>
        <v>127</v>
      </c>
      <c r="H528" s="10" t="str">
        <f t="shared" si="17"/>
        <v>Wednesday</v>
      </c>
    </row>
    <row r="529" spans="1:8">
      <c r="A529" s="9">
        <v>151890876</v>
      </c>
      <c r="B529" s="6">
        <v>44881</v>
      </c>
      <c r="C529" s="6">
        <v>44980</v>
      </c>
      <c r="D529" s="1" t="s">
        <v>7</v>
      </c>
      <c r="E529" s="1">
        <v>39</v>
      </c>
      <c r="F529" s="1" t="s">
        <v>6</v>
      </c>
      <c r="G529" s="44">
        <f t="shared" si="16"/>
        <v>99</v>
      </c>
      <c r="H529" s="10" t="str">
        <f t="shared" si="17"/>
        <v>Wednesday</v>
      </c>
    </row>
    <row r="530" spans="1:8">
      <c r="A530" s="9">
        <v>162920304</v>
      </c>
      <c r="B530" s="6">
        <v>44881</v>
      </c>
      <c r="C530" s="6">
        <v>44941</v>
      </c>
      <c r="D530" s="1" t="s">
        <v>7</v>
      </c>
      <c r="E530" s="1">
        <v>39</v>
      </c>
      <c r="F530" s="1" t="s">
        <v>6</v>
      </c>
      <c r="G530" s="44">
        <f t="shared" si="16"/>
        <v>60</v>
      </c>
      <c r="H530" s="10" t="str">
        <f t="shared" si="17"/>
        <v>Wednesday</v>
      </c>
    </row>
    <row r="531" spans="1:8">
      <c r="A531" s="9">
        <v>148838269</v>
      </c>
      <c r="B531" s="6">
        <v>44881</v>
      </c>
      <c r="C531" s="6">
        <v>44881</v>
      </c>
      <c r="D531" s="1" t="s">
        <v>7</v>
      </c>
      <c r="E531" s="1">
        <v>39</v>
      </c>
      <c r="F531" s="1" t="s">
        <v>6</v>
      </c>
      <c r="G531" s="44">
        <f t="shared" si="16"/>
        <v>0</v>
      </c>
      <c r="H531" s="10" t="str">
        <f t="shared" si="17"/>
        <v>Wednesday</v>
      </c>
    </row>
    <row r="532" spans="1:8">
      <c r="A532" s="9">
        <v>162913792</v>
      </c>
      <c r="B532" s="6">
        <v>44881</v>
      </c>
      <c r="C532" s="6">
        <v>45161</v>
      </c>
      <c r="D532" s="1" t="s">
        <v>7</v>
      </c>
      <c r="E532" s="1">
        <v>39</v>
      </c>
      <c r="F532" s="1" t="s">
        <v>6</v>
      </c>
      <c r="G532" s="44">
        <f t="shared" si="16"/>
        <v>280</v>
      </c>
      <c r="H532" s="10" t="str">
        <f t="shared" si="17"/>
        <v>Wednesday</v>
      </c>
    </row>
    <row r="533" spans="1:8">
      <c r="A533" s="9">
        <v>152316740</v>
      </c>
      <c r="B533" s="6">
        <v>44882</v>
      </c>
      <c r="C533" s="1"/>
      <c r="D533" s="1" t="s">
        <v>7</v>
      </c>
      <c r="E533" s="1">
        <v>39</v>
      </c>
      <c r="F533" s="1" t="s">
        <v>6</v>
      </c>
      <c r="G533" s="44" t="str">
        <f t="shared" si="16"/>
        <v/>
      </c>
      <c r="H533" s="10" t="str">
        <f t="shared" si="17"/>
        <v>Thursday</v>
      </c>
    </row>
    <row r="534" spans="1:8">
      <c r="A534" s="9">
        <v>135480868</v>
      </c>
      <c r="B534" s="6">
        <v>44882</v>
      </c>
      <c r="C534" s="6">
        <v>44952</v>
      </c>
      <c r="D534" s="1" t="s">
        <v>7</v>
      </c>
      <c r="E534" s="1">
        <v>39</v>
      </c>
      <c r="F534" s="1" t="s">
        <v>6</v>
      </c>
      <c r="G534" s="44">
        <f t="shared" si="16"/>
        <v>70</v>
      </c>
      <c r="H534" s="10" t="str">
        <f t="shared" si="17"/>
        <v>Thursday</v>
      </c>
    </row>
    <row r="535" spans="1:8">
      <c r="A535" s="9">
        <v>136315690</v>
      </c>
      <c r="B535" s="6">
        <v>44882</v>
      </c>
      <c r="C535" s="6">
        <v>44981</v>
      </c>
      <c r="D535" s="1" t="s">
        <v>7</v>
      </c>
      <c r="E535" s="1">
        <v>39</v>
      </c>
      <c r="F535" s="1" t="s">
        <v>6</v>
      </c>
      <c r="G535" s="44">
        <f t="shared" si="16"/>
        <v>99</v>
      </c>
      <c r="H535" s="10" t="str">
        <f t="shared" si="17"/>
        <v>Thursday</v>
      </c>
    </row>
    <row r="536" spans="1:8">
      <c r="A536" s="9">
        <v>163224262</v>
      </c>
      <c r="B536" s="6">
        <v>44882</v>
      </c>
      <c r="C536" s="6">
        <v>44969</v>
      </c>
      <c r="D536" s="1" t="s">
        <v>7</v>
      </c>
      <c r="E536" s="1">
        <v>39</v>
      </c>
      <c r="F536" s="1" t="s">
        <v>6</v>
      </c>
      <c r="G536" s="44">
        <f t="shared" si="16"/>
        <v>87</v>
      </c>
      <c r="H536" s="10" t="str">
        <f t="shared" si="17"/>
        <v>Thursday</v>
      </c>
    </row>
    <row r="537" spans="1:8">
      <c r="A537" s="9">
        <v>163330072</v>
      </c>
      <c r="B537" s="6">
        <v>44882</v>
      </c>
      <c r="C537" s="6">
        <v>44950</v>
      </c>
      <c r="D537" s="1" t="s">
        <v>7</v>
      </c>
      <c r="E537" s="1">
        <v>39</v>
      </c>
      <c r="F537" s="1" t="s">
        <v>6</v>
      </c>
      <c r="G537" s="44">
        <f t="shared" si="16"/>
        <v>68</v>
      </c>
      <c r="H537" s="10" t="str">
        <f t="shared" si="17"/>
        <v>Thursday</v>
      </c>
    </row>
    <row r="538" spans="1:8">
      <c r="A538" s="9">
        <v>134646164</v>
      </c>
      <c r="B538" s="6">
        <v>44882</v>
      </c>
      <c r="C538" s="6">
        <v>44919</v>
      </c>
      <c r="D538" s="1" t="s">
        <v>7</v>
      </c>
      <c r="E538" s="1">
        <v>39</v>
      </c>
      <c r="F538" s="1" t="s">
        <v>6</v>
      </c>
      <c r="G538" s="44">
        <f t="shared" si="16"/>
        <v>37</v>
      </c>
      <c r="H538" s="10" t="str">
        <f t="shared" si="17"/>
        <v>Thursday</v>
      </c>
    </row>
    <row r="539" spans="1:8">
      <c r="A539" s="9">
        <v>163282336</v>
      </c>
      <c r="B539" s="6">
        <v>44882</v>
      </c>
      <c r="C539" s="6">
        <v>45148</v>
      </c>
      <c r="D539" s="1" t="s">
        <v>7</v>
      </c>
      <c r="E539" s="1">
        <v>39</v>
      </c>
      <c r="F539" s="1" t="s">
        <v>6</v>
      </c>
      <c r="G539" s="44">
        <f t="shared" si="16"/>
        <v>266</v>
      </c>
      <c r="H539" s="10" t="str">
        <f t="shared" si="17"/>
        <v>Thursday</v>
      </c>
    </row>
    <row r="540" spans="1:8">
      <c r="A540" s="9">
        <v>162490128</v>
      </c>
      <c r="B540" s="6">
        <v>44883</v>
      </c>
      <c r="C540" s="1"/>
      <c r="D540" s="1" t="s">
        <v>7</v>
      </c>
      <c r="E540" s="1">
        <v>39</v>
      </c>
      <c r="F540" s="1" t="s">
        <v>6</v>
      </c>
      <c r="G540" s="44" t="str">
        <f t="shared" si="16"/>
        <v/>
      </c>
      <c r="H540" s="10" t="str">
        <f t="shared" si="17"/>
        <v>Friday</v>
      </c>
    </row>
    <row r="541" spans="1:8">
      <c r="A541" s="9">
        <v>147122277</v>
      </c>
      <c r="B541" s="6">
        <v>44883</v>
      </c>
      <c r="C541" s="6">
        <v>44884</v>
      </c>
      <c r="D541" s="1" t="s">
        <v>8</v>
      </c>
      <c r="E541" s="1">
        <v>39</v>
      </c>
      <c r="F541" s="1" t="s">
        <v>6</v>
      </c>
      <c r="G541" s="44">
        <f t="shared" si="16"/>
        <v>1</v>
      </c>
      <c r="H541" s="10" t="str">
        <f t="shared" si="17"/>
        <v>Friday</v>
      </c>
    </row>
    <row r="542" spans="1:8">
      <c r="A542" s="9">
        <v>163623375</v>
      </c>
      <c r="B542" s="6">
        <v>44883</v>
      </c>
      <c r="C542" s="6">
        <v>44884</v>
      </c>
      <c r="D542" s="1" t="s">
        <v>8</v>
      </c>
      <c r="E542" s="1">
        <v>39</v>
      </c>
      <c r="F542" s="1" t="s">
        <v>6</v>
      </c>
      <c r="G542" s="44">
        <f t="shared" si="16"/>
        <v>1</v>
      </c>
      <c r="H542" s="10" t="str">
        <f t="shared" si="17"/>
        <v>Friday</v>
      </c>
    </row>
    <row r="543" spans="1:8">
      <c r="A543" s="9">
        <v>132918654</v>
      </c>
      <c r="B543" s="6">
        <v>44883</v>
      </c>
      <c r="C543" s="6">
        <v>44944</v>
      </c>
      <c r="D543" s="1" t="s">
        <v>7</v>
      </c>
      <c r="E543" s="1">
        <v>39</v>
      </c>
      <c r="F543" s="1" t="s">
        <v>6</v>
      </c>
      <c r="G543" s="44">
        <f t="shared" si="16"/>
        <v>61</v>
      </c>
      <c r="H543" s="10" t="str">
        <f t="shared" si="17"/>
        <v>Friday</v>
      </c>
    </row>
    <row r="544" spans="1:8">
      <c r="A544" s="9">
        <v>160601062</v>
      </c>
      <c r="B544" s="6">
        <v>44883</v>
      </c>
      <c r="C544" s="6">
        <v>44935</v>
      </c>
      <c r="D544" s="1" t="s">
        <v>7</v>
      </c>
      <c r="E544" s="1">
        <v>39</v>
      </c>
      <c r="F544" s="1" t="s">
        <v>6</v>
      </c>
      <c r="G544" s="44">
        <f t="shared" si="16"/>
        <v>52</v>
      </c>
      <c r="H544" s="10" t="str">
        <f t="shared" si="17"/>
        <v>Friday</v>
      </c>
    </row>
    <row r="545" spans="1:8">
      <c r="A545" s="9">
        <v>144573808</v>
      </c>
      <c r="B545" s="6">
        <v>44883</v>
      </c>
      <c r="C545" s="6">
        <v>44944</v>
      </c>
      <c r="D545" s="1" t="s">
        <v>7</v>
      </c>
      <c r="E545" s="1">
        <v>39</v>
      </c>
      <c r="F545" s="1" t="s">
        <v>6</v>
      </c>
      <c r="G545" s="44">
        <f t="shared" si="16"/>
        <v>61</v>
      </c>
      <c r="H545" s="10" t="str">
        <f t="shared" si="17"/>
        <v>Friday</v>
      </c>
    </row>
    <row r="546" spans="1:8">
      <c r="A546" s="9">
        <v>114435366</v>
      </c>
      <c r="B546" s="6">
        <v>44883</v>
      </c>
      <c r="C546" s="6">
        <v>44883</v>
      </c>
      <c r="D546" s="1" t="s">
        <v>7</v>
      </c>
      <c r="E546" s="1">
        <v>39</v>
      </c>
      <c r="F546" s="1" t="s">
        <v>6</v>
      </c>
      <c r="G546" s="44">
        <f t="shared" si="16"/>
        <v>0</v>
      </c>
      <c r="H546" s="10" t="str">
        <f t="shared" si="17"/>
        <v>Friday</v>
      </c>
    </row>
    <row r="547" spans="1:8">
      <c r="A547" s="9">
        <v>163399934</v>
      </c>
      <c r="B547" s="6">
        <v>44883</v>
      </c>
      <c r="C547" s="6">
        <v>44883</v>
      </c>
      <c r="D547" s="1" t="s">
        <v>7</v>
      </c>
      <c r="E547" s="1">
        <v>39</v>
      </c>
      <c r="F547" s="1" t="s">
        <v>6</v>
      </c>
      <c r="G547" s="44">
        <f t="shared" si="16"/>
        <v>0</v>
      </c>
      <c r="H547" s="10" t="str">
        <f t="shared" si="17"/>
        <v>Friday</v>
      </c>
    </row>
    <row r="548" spans="1:8">
      <c r="A548" s="9">
        <v>133599090</v>
      </c>
      <c r="B548" s="6">
        <v>44884</v>
      </c>
      <c r="C548" s="6">
        <v>44996</v>
      </c>
      <c r="D548" s="1" t="s">
        <v>7</v>
      </c>
      <c r="E548" s="1">
        <v>39</v>
      </c>
      <c r="F548" s="1" t="s">
        <v>6</v>
      </c>
      <c r="G548" s="44">
        <f t="shared" si="16"/>
        <v>112</v>
      </c>
      <c r="H548" s="10" t="str">
        <f t="shared" si="17"/>
        <v>Saturday</v>
      </c>
    </row>
    <row r="549" spans="1:8">
      <c r="A549" s="9">
        <v>154767246</v>
      </c>
      <c r="B549" s="6">
        <v>44884</v>
      </c>
      <c r="C549" s="6">
        <v>44915</v>
      </c>
      <c r="D549" s="1" t="s">
        <v>7</v>
      </c>
      <c r="E549" s="1">
        <v>39</v>
      </c>
      <c r="F549" s="1" t="s">
        <v>6</v>
      </c>
      <c r="G549" s="44">
        <f t="shared" si="16"/>
        <v>31</v>
      </c>
      <c r="H549" s="10" t="str">
        <f t="shared" si="17"/>
        <v>Saturday</v>
      </c>
    </row>
    <row r="550" spans="1:8">
      <c r="A550" s="9">
        <v>164085988</v>
      </c>
      <c r="B550" s="6">
        <v>44884</v>
      </c>
      <c r="C550" s="6">
        <v>44915</v>
      </c>
      <c r="D550" s="1" t="s">
        <v>7</v>
      </c>
      <c r="E550" s="1">
        <v>39</v>
      </c>
      <c r="F550" s="1" t="s">
        <v>6</v>
      </c>
      <c r="G550" s="44">
        <f t="shared" si="16"/>
        <v>31</v>
      </c>
      <c r="H550" s="10" t="str">
        <f t="shared" si="17"/>
        <v>Saturday</v>
      </c>
    </row>
    <row r="551" spans="1:8">
      <c r="A551" s="9">
        <v>164255751</v>
      </c>
      <c r="B551" s="6">
        <v>44885</v>
      </c>
      <c r="C551" s="6">
        <v>45159</v>
      </c>
      <c r="D551" s="1" t="s">
        <v>7</v>
      </c>
      <c r="E551" s="1">
        <v>39</v>
      </c>
      <c r="F551" s="1" t="s">
        <v>6</v>
      </c>
      <c r="G551" s="44">
        <f t="shared" si="16"/>
        <v>274</v>
      </c>
      <c r="H551" s="10" t="str">
        <f t="shared" si="17"/>
        <v>Sunday</v>
      </c>
    </row>
    <row r="552" spans="1:8">
      <c r="A552" s="9">
        <v>150663530</v>
      </c>
      <c r="B552" s="6">
        <v>44885</v>
      </c>
      <c r="C552" s="6">
        <v>45043</v>
      </c>
      <c r="D552" s="1" t="s">
        <v>7</v>
      </c>
      <c r="E552" s="1">
        <v>39</v>
      </c>
      <c r="F552" s="1" t="s">
        <v>6</v>
      </c>
      <c r="G552" s="44">
        <f t="shared" si="16"/>
        <v>158</v>
      </c>
      <c r="H552" s="10" t="str">
        <f t="shared" si="17"/>
        <v>Sunday</v>
      </c>
    </row>
    <row r="553" spans="1:8">
      <c r="A553" s="9">
        <v>155333508</v>
      </c>
      <c r="B553" s="6">
        <v>44885</v>
      </c>
      <c r="C553" s="6">
        <v>44945</v>
      </c>
      <c r="D553" s="1" t="s">
        <v>7</v>
      </c>
      <c r="E553" s="1">
        <v>39</v>
      </c>
      <c r="F553" s="1" t="s">
        <v>6</v>
      </c>
      <c r="G553" s="44">
        <f t="shared" si="16"/>
        <v>60</v>
      </c>
      <c r="H553" s="10" t="str">
        <f t="shared" si="17"/>
        <v>Sunday</v>
      </c>
    </row>
    <row r="554" spans="1:8">
      <c r="A554" s="9">
        <v>163178244</v>
      </c>
      <c r="B554" s="6">
        <v>44886</v>
      </c>
      <c r="C554" s="1"/>
      <c r="D554" s="1" t="s">
        <v>8</v>
      </c>
      <c r="E554" s="1">
        <v>39</v>
      </c>
      <c r="F554" s="1" t="s">
        <v>6</v>
      </c>
      <c r="G554" s="44" t="str">
        <f t="shared" si="16"/>
        <v/>
      </c>
      <c r="H554" s="10" t="str">
        <f t="shared" si="17"/>
        <v>Monday</v>
      </c>
    </row>
    <row r="555" spans="1:8">
      <c r="A555" s="9">
        <v>130245484</v>
      </c>
      <c r="B555" s="6">
        <v>44886</v>
      </c>
      <c r="C555" s="6">
        <v>44977</v>
      </c>
      <c r="D555" s="1" t="s">
        <v>7</v>
      </c>
      <c r="E555" s="1">
        <v>39</v>
      </c>
      <c r="F555" s="1" t="s">
        <v>6</v>
      </c>
      <c r="G555" s="44">
        <f t="shared" si="16"/>
        <v>91</v>
      </c>
      <c r="H555" s="10" t="str">
        <f t="shared" si="17"/>
        <v>Monday</v>
      </c>
    </row>
    <row r="556" spans="1:8">
      <c r="A556" s="9">
        <v>164578320</v>
      </c>
      <c r="B556" s="6">
        <v>44886</v>
      </c>
      <c r="C556" s="6">
        <v>44916</v>
      </c>
      <c r="D556" s="1" t="s">
        <v>7</v>
      </c>
      <c r="E556" s="1">
        <v>39</v>
      </c>
      <c r="F556" s="1" t="s">
        <v>6</v>
      </c>
      <c r="G556" s="44">
        <f t="shared" si="16"/>
        <v>30</v>
      </c>
      <c r="H556" s="10" t="str">
        <f t="shared" si="17"/>
        <v>Monday</v>
      </c>
    </row>
    <row r="557" spans="1:8">
      <c r="A557" s="9">
        <v>164542692</v>
      </c>
      <c r="B557" s="6">
        <v>44886</v>
      </c>
      <c r="C557" s="6">
        <v>44923</v>
      </c>
      <c r="D557" s="1" t="s">
        <v>7</v>
      </c>
      <c r="E557" s="1">
        <v>39</v>
      </c>
      <c r="F557" s="1" t="s">
        <v>6</v>
      </c>
      <c r="G557" s="44">
        <f t="shared" si="16"/>
        <v>37</v>
      </c>
      <c r="H557" s="10" t="str">
        <f t="shared" si="17"/>
        <v>Monday</v>
      </c>
    </row>
    <row r="558" spans="1:8">
      <c r="A558" s="9">
        <v>164087136</v>
      </c>
      <c r="B558" s="6">
        <v>44887</v>
      </c>
      <c r="C558" s="1"/>
      <c r="D558" s="1" t="s">
        <v>7</v>
      </c>
      <c r="E558" s="1">
        <v>39</v>
      </c>
      <c r="F558" s="1" t="s">
        <v>6</v>
      </c>
      <c r="G558" s="44" t="str">
        <f t="shared" si="16"/>
        <v/>
      </c>
      <c r="H558" s="10" t="str">
        <f t="shared" si="17"/>
        <v>Tuesday</v>
      </c>
    </row>
    <row r="559" spans="1:8">
      <c r="A559" s="9">
        <v>155414052</v>
      </c>
      <c r="B559" s="6">
        <v>44887</v>
      </c>
      <c r="C559" s="6">
        <v>44888</v>
      </c>
      <c r="D559" s="1" t="s">
        <v>8</v>
      </c>
      <c r="E559" s="1">
        <v>39</v>
      </c>
      <c r="F559" s="1" t="s">
        <v>6</v>
      </c>
      <c r="G559" s="44">
        <f t="shared" si="16"/>
        <v>1</v>
      </c>
      <c r="H559" s="10" t="str">
        <f t="shared" si="17"/>
        <v>Tuesday</v>
      </c>
    </row>
    <row r="560" spans="1:8">
      <c r="A560" s="9">
        <v>152253972</v>
      </c>
      <c r="B560" s="6">
        <v>44887</v>
      </c>
      <c r="C560" s="6">
        <v>45014</v>
      </c>
      <c r="D560" s="1" t="s">
        <v>7</v>
      </c>
      <c r="E560" s="1">
        <v>39</v>
      </c>
      <c r="F560" s="1" t="s">
        <v>6</v>
      </c>
      <c r="G560" s="44">
        <f t="shared" si="16"/>
        <v>127</v>
      </c>
      <c r="H560" s="10" t="str">
        <f t="shared" si="17"/>
        <v>Tuesday</v>
      </c>
    </row>
    <row r="561" spans="1:8">
      <c r="A561" s="9">
        <v>152754329</v>
      </c>
      <c r="B561" s="6">
        <v>44887</v>
      </c>
      <c r="C561" s="6">
        <v>44949</v>
      </c>
      <c r="D561" s="1" t="s">
        <v>7</v>
      </c>
      <c r="E561" s="1">
        <v>39</v>
      </c>
      <c r="F561" s="1" t="s">
        <v>6</v>
      </c>
      <c r="G561" s="44">
        <f t="shared" si="16"/>
        <v>62</v>
      </c>
      <c r="H561" s="10" t="str">
        <f t="shared" si="17"/>
        <v>Tuesday</v>
      </c>
    </row>
    <row r="562" spans="1:8">
      <c r="A562" s="9">
        <v>159724071</v>
      </c>
      <c r="B562" s="6">
        <v>44888</v>
      </c>
      <c r="C562" s="6">
        <v>44945</v>
      </c>
      <c r="D562" s="1" t="s">
        <v>7</v>
      </c>
      <c r="E562" s="1">
        <v>39</v>
      </c>
      <c r="F562" s="1" t="s">
        <v>6</v>
      </c>
      <c r="G562" s="44">
        <f t="shared" si="16"/>
        <v>57</v>
      </c>
      <c r="H562" s="10" t="str">
        <f t="shared" si="17"/>
        <v>Wednesday</v>
      </c>
    </row>
    <row r="563" spans="1:8">
      <c r="A563" s="9">
        <v>165164673</v>
      </c>
      <c r="B563" s="6">
        <v>44888</v>
      </c>
      <c r="C563" s="6">
        <v>44891</v>
      </c>
      <c r="D563" s="1" t="s">
        <v>7</v>
      </c>
      <c r="E563" s="1">
        <v>39</v>
      </c>
      <c r="F563" s="1" t="s">
        <v>6</v>
      </c>
      <c r="G563" s="44">
        <f t="shared" si="16"/>
        <v>3</v>
      </c>
      <c r="H563" s="10" t="str">
        <f t="shared" si="17"/>
        <v>Wednesday</v>
      </c>
    </row>
    <row r="564" spans="1:8">
      <c r="A564" s="9">
        <v>165529460</v>
      </c>
      <c r="B564" s="6">
        <v>44889</v>
      </c>
      <c r="C564" s="6">
        <v>45037</v>
      </c>
      <c r="D564" s="1" t="s">
        <v>7</v>
      </c>
      <c r="E564" s="1">
        <v>39</v>
      </c>
      <c r="F564" s="1" t="s">
        <v>6</v>
      </c>
      <c r="G564" s="44">
        <f t="shared" si="16"/>
        <v>148</v>
      </c>
      <c r="H564" s="10" t="str">
        <f t="shared" si="17"/>
        <v>Thursday</v>
      </c>
    </row>
    <row r="565" spans="1:8">
      <c r="A565" s="9">
        <v>163362190</v>
      </c>
      <c r="B565" s="6">
        <v>44890</v>
      </c>
      <c r="C565" s="1"/>
      <c r="D565" s="1" t="s">
        <v>7</v>
      </c>
      <c r="E565" s="1">
        <v>39</v>
      </c>
      <c r="F565" s="1" t="s">
        <v>6</v>
      </c>
      <c r="G565" s="44" t="str">
        <f t="shared" si="16"/>
        <v/>
      </c>
      <c r="H565" s="10" t="str">
        <f t="shared" si="17"/>
        <v>Friday</v>
      </c>
    </row>
    <row r="566" spans="1:8">
      <c r="A566" s="9">
        <v>155810350</v>
      </c>
      <c r="B566" s="6">
        <v>44890</v>
      </c>
      <c r="C566" s="6">
        <v>44917</v>
      </c>
      <c r="D566" s="1" t="s">
        <v>7</v>
      </c>
      <c r="E566" s="1">
        <v>39</v>
      </c>
      <c r="F566" s="1" t="s">
        <v>6</v>
      </c>
      <c r="G566" s="44">
        <f t="shared" si="16"/>
        <v>27</v>
      </c>
      <c r="H566" s="10" t="str">
        <f t="shared" si="17"/>
        <v>Friday</v>
      </c>
    </row>
    <row r="567" spans="1:8">
      <c r="A567" s="9">
        <v>161793136</v>
      </c>
      <c r="B567" s="6">
        <v>44890</v>
      </c>
      <c r="C567" s="6">
        <v>45090</v>
      </c>
      <c r="D567" s="1" t="s">
        <v>7</v>
      </c>
      <c r="E567" s="1">
        <v>39</v>
      </c>
      <c r="F567" s="1" t="s">
        <v>6</v>
      </c>
      <c r="G567" s="44">
        <f t="shared" si="16"/>
        <v>200</v>
      </c>
      <c r="H567" s="10" t="str">
        <f t="shared" si="17"/>
        <v>Friday</v>
      </c>
    </row>
    <row r="568" spans="1:8">
      <c r="A568" s="9">
        <v>159255776</v>
      </c>
      <c r="B568" s="6">
        <v>44890</v>
      </c>
      <c r="C568" s="6">
        <v>45006</v>
      </c>
      <c r="D568" s="1" t="s">
        <v>7</v>
      </c>
      <c r="E568" s="1">
        <v>39</v>
      </c>
      <c r="F568" s="1" t="s">
        <v>6</v>
      </c>
      <c r="G568" s="44">
        <f t="shared" si="16"/>
        <v>116</v>
      </c>
      <c r="H568" s="10" t="str">
        <f t="shared" si="17"/>
        <v>Friday</v>
      </c>
    </row>
    <row r="569" spans="1:8">
      <c r="A569" s="9">
        <v>165807144</v>
      </c>
      <c r="B569" s="6">
        <v>44890</v>
      </c>
      <c r="C569" s="6">
        <v>44958</v>
      </c>
      <c r="D569" s="1" t="s">
        <v>7</v>
      </c>
      <c r="E569" s="1">
        <v>39</v>
      </c>
      <c r="F569" s="1" t="s">
        <v>6</v>
      </c>
      <c r="G569" s="44">
        <f t="shared" si="16"/>
        <v>68</v>
      </c>
      <c r="H569" s="10" t="str">
        <f t="shared" si="17"/>
        <v>Friday</v>
      </c>
    </row>
    <row r="570" spans="1:8">
      <c r="A570" s="9">
        <v>165788743</v>
      </c>
      <c r="B570" s="6">
        <v>44890</v>
      </c>
      <c r="C570" s="6">
        <v>44975</v>
      </c>
      <c r="D570" s="1" t="s">
        <v>7</v>
      </c>
      <c r="E570" s="1">
        <v>39</v>
      </c>
      <c r="F570" s="1" t="s">
        <v>6</v>
      </c>
      <c r="G570" s="44">
        <f t="shared" si="16"/>
        <v>85</v>
      </c>
      <c r="H570" s="10" t="str">
        <f t="shared" si="17"/>
        <v>Friday</v>
      </c>
    </row>
    <row r="571" spans="1:8">
      <c r="A571" s="9">
        <v>162513776</v>
      </c>
      <c r="B571" s="6">
        <v>44890</v>
      </c>
      <c r="C571" s="6">
        <v>44956</v>
      </c>
      <c r="D571" s="1" t="s">
        <v>7</v>
      </c>
      <c r="E571" s="1">
        <v>39</v>
      </c>
      <c r="F571" s="1" t="s">
        <v>6</v>
      </c>
      <c r="G571" s="44">
        <f t="shared" si="16"/>
        <v>66</v>
      </c>
      <c r="H571" s="10" t="str">
        <f t="shared" si="17"/>
        <v>Friday</v>
      </c>
    </row>
    <row r="572" spans="1:8">
      <c r="A572" s="9">
        <v>161841028</v>
      </c>
      <c r="B572" s="6">
        <v>44890</v>
      </c>
      <c r="C572" s="6">
        <v>44951</v>
      </c>
      <c r="D572" s="1" t="s">
        <v>7</v>
      </c>
      <c r="E572" s="1">
        <v>39</v>
      </c>
      <c r="F572" s="1" t="s">
        <v>6</v>
      </c>
      <c r="G572" s="44">
        <f t="shared" si="16"/>
        <v>61</v>
      </c>
      <c r="H572" s="10" t="str">
        <f t="shared" si="17"/>
        <v>Friday</v>
      </c>
    </row>
    <row r="573" spans="1:8">
      <c r="A573" s="9">
        <v>160597612</v>
      </c>
      <c r="B573" s="6">
        <v>44890</v>
      </c>
      <c r="C573" s="6">
        <v>44906</v>
      </c>
      <c r="D573" s="1" t="s">
        <v>7</v>
      </c>
      <c r="E573" s="1">
        <v>39</v>
      </c>
      <c r="F573" s="1" t="s">
        <v>6</v>
      </c>
      <c r="G573" s="44">
        <f t="shared" si="16"/>
        <v>16</v>
      </c>
      <c r="H573" s="10" t="str">
        <f t="shared" si="17"/>
        <v>Friday</v>
      </c>
    </row>
    <row r="574" spans="1:8">
      <c r="A574" s="9">
        <v>165937140</v>
      </c>
      <c r="B574" s="6">
        <v>44891</v>
      </c>
      <c r="C574" s="6">
        <v>44892</v>
      </c>
      <c r="D574" s="1" t="s">
        <v>8</v>
      </c>
      <c r="E574" s="1">
        <v>39</v>
      </c>
      <c r="F574" s="1" t="s">
        <v>6</v>
      </c>
      <c r="G574" s="44">
        <f t="shared" si="16"/>
        <v>1</v>
      </c>
      <c r="H574" s="10" t="str">
        <f t="shared" si="17"/>
        <v>Saturday</v>
      </c>
    </row>
    <row r="575" spans="1:8">
      <c r="A575" s="9">
        <v>165613975</v>
      </c>
      <c r="B575" s="6">
        <v>44891</v>
      </c>
      <c r="C575" s="6">
        <v>45053</v>
      </c>
      <c r="D575" s="1" t="s">
        <v>7</v>
      </c>
      <c r="E575" s="1">
        <v>39</v>
      </c>
      <c r="F575" s="1" t="s">
        <v>6</v>
      </c>
      <c r="G575" s="44">
        <f t="shared" si="16"/>
        <v>162</v>
      </c>
      <c r="H575" s="10" t="str">
        <f t="shared" si="17"/>
        <v>Saturday</v>
      </c>
    </row>
    <row r="576" spans="1:8">
      <c r="A576" s="9">
        <v>164662173</v>
      </c>
      <c r="B576" s="6">
        <v>44891</v>
      </c>
      <c r="C576" s="6">
        <v>44952</v>
      </c>
      <c r="D576" s="1" t="s">
        <v>7</v>
      </c>
      <c r="E576" s="1">
        <v>39</v>
      </c>
      <c r="F576" s="1" t="s">
        <v>6</v>
      </c>
      <c r="G576" s="44">
        <f t="shared" si="16"/>
        <v>61</v>
      </c>
      <c r="H576" s="10" t="str">
        <f t="shared" si="17"/>
        <v>Saturday</v>
      </c>
    </row>
    <row r="577" spans="1:8">
      <c r="A577" s="9">
        <v>162411394</v>
      </c>
      <c r="B577" s="6">
        <v>44891</v>
      </c>
      <c r="C577" s="6">
        <v>44930</v>
      </c>
      <c r="D577" s="1" t="s">
        <v>7</v>
      </c>
      <c r="E577" s="1">
        <v>39</v>
      </c>
      <c r="F577" s="1" t="s">
        <v>6</v>
      </c>
      <c r="G577" s="44">
        <f t="shared" si="16"/>
        <v>39</v>
      </c>
      <c r="H577" s="10" t="str">
        <f t="shared" si="17"/>
        <v>Saturday</v>
      </c>
    </row>
    <row r="578" spans="1:8">
      <c r="A578" s="9">
        <v>121439836</v>
      </c>
      <c r="B578" s="6">
        <v>44892</v>
      </c>
      <c r="C578" s="1"/>
      <c r="D578" s="1" t="s">
        <v>7</v>
      </c>
      <c r="E578" s="1">
        <v>39</v>
      </c>
      <c r="F578" s="1" t="s">
        <v>6</v>
      </c>
      <c r="G578" s="44" t="str">
        <f t="shared" si="16"/>
        <v/>
      </c>
      <c r="H578" s="10" t="str">
        <f t="shared" si="17"/>
        <v>Sunday</v>
      </c>
    </row>
    <row r="579" spans="1:8">
      <c r="A579" s="9">
        <v>157353623</v>
      </c>
      <c r="B579" s="6">
        <v>44892</v>
      </c>
      <c r="C579" s="6">
        <v>44892</v>
      </c>
      <c r="D579" s="1" t="s">
        <v>8</v>
      </c>
      <c r="E579" s="1">
        <v>39</v>
      </c>
      <c r="F579" s="1" t="s">
        <v>6</v>
      </c>
      <c r="G579" s="44">
        <f t="shared" ref="G579:G642" si="18">IF(C579="", "", DATEDIF(B579, C579, "D"))</f>
        <v>0</v>
      </c>
      <c r="H579" s="10" t="str">
        <f t="shared" ref="H579:H642" si="19">TEXT(B579, "dddd")</f>
        <v>Sunday</v>
      </c>
    </row>
    <row r="580" spans="1:8">
      <c r="A580" s="9">
        <v>165953219</v>
      </c>
      <c r="B580" s="6">
        <v>44892</v>
      </c>
      <c r="C580" s="6">
        <v>44929</v>
      </c>
      <c r="D580" s="1" t="s">
        <v>7</v>
      </c>
      <c r="E580" s="1">
        <v>39</v>
      </c>
      <c r="F580" s="1" t="s">
        <v>6</v>
      </c>
      <c r="G580" s="44">
        <f t="shared" si="18"/>
        <v>37</v>
      </c>
      <c r="H580" s="10" t="str">
        <f t="shared" si="19"/>
        <v>Sunday</v>
      </c>
    </row>
    <row r="581" spans="1:8">
      <c r="A581" s="9">
        <v>154710805</v>
      </c>
      <c r="B581" s="6">
        <v>44893</v>
      </c>
      <c r="C581" s="1"/>
      <c r="D581" s="1" t="s">
        <v>7</v>
      </c>
      <c r="E581" s="1">
        <v>39</v>
      </c>
      <c r="F581" s="1" t="s">
        <v>6</v>
      </c>
      <c r="G581" s="44" t="str">
        <f t="shared" si="18"/>
        <v/>
      </c>
      <c r="H581" s="10" t="str">
        <f t="shared" si="19"/>
        <v>Monday</v>
      </c>
    </row>
    <row r="582" spans="1:8">
      <c r="A582" s="9">
        <v>164084318</v>
      </c>
      <c r="B582" s="6">
        <v>44893</v>
      </c>
      <c r="C582" s="1"/>
      <c r="D582" s="1" t="s">
        <v>7</v>
      </c>
      <c r="E582" s="1">
        <v>39</v>
      </c>
      <c r="F582" s="1" t="s">
        <v>6</v>
      </c>
      <c r="G582" s="44" t="str">
        <f t="shared" si="18"/>
        <v/>
      </c>
      <c r="H582" s="10" t="str">
        <f t="shared" si="19"/>
        <v>Monday</v>
      </c>
    </row>
    <row r="583" spans="1:8">
      <c r="A583" s="9">
        <v>160043327</v>
      </c>
      <c r="B583" s="6">
        <v>44893</v>
      </c>
      <c r="C583" s="6">
        <v>44894</v>
      </c>
      <c r="D583" s="1" t="s">
        <v>8</v>
      </c>
      <c r="E583" s="1">
        <v>39</v>
      </c>
      <c r="F583" s="1" t="s">
        <v>6</v>
      </c>
      <c r="G583" s="44">
        <f t="shared" si="18"/>
        <v>1</v>
      </c>
      <c r="H583" s="10" t="str">
        <f t="shared" si="19"/>
        <v>Monday</v>
      </c>
    </row>
    <row r="584" spans="1:8">
      <c r="A584" s="9">
        <v>131166579</v>
      </c>
      <c r="B584" s="6">
        <v>44893</v>
      </c>
      <c r="C584" s="6">
        <v>44930</v>
      </c>
      <c r="D584" s="1" t="s">
        <v>7</v>
      </c>
      <c r="E584" s="1">
        <v>39</v>
      </c>
      <c r="F584" s="1" t="s">
        <v>6</v>
      </c>
      <c r="G584" s="44">
        <f t="shared" si="18"/>
        <v>37</v>
      </c>
      <c r="H584" s="10" t="str">
        <f t="shared" si="19"/>
        <v>Monday</v>
      </c>
    </row>
    <row r="585" spans="1:8">
      <c r="A585" s="9">
        <v>166109726</v>
      </c>
      <c r="B585" s="6">
        <v>44893</v>
      </c>
      <c r="C585" s="6">
        <v>44938</v>
      </c>
      <c r="D585" s="1" t="s">
        <v>7</v>
      </c>
      <c r="E585" s="1">
        <v>39</v>
      </c>
      <c r="F585" s="1" t="s">
        <v>6</v>
      </c>
      <c r="G585" s="44">
        <f t="shared" si="18"/>
        <v>45</v>
      </c>
      <c r="H585" s="10" t="str">
        <f t="shared" si="19"/>
        <v>Monday</v>
      </c>
    </row>
    <row r="586" spans="1:8">
      <c r="A586" s="9">
        <v>155446081</v>
      </c>
      <c r="B586" s="6">
        <v>44893</v>
      </c>
      <c r="C586" s="6">
        <v>44927</v>
      </c>
      <c r="D586" s="1" t="s">
        <v>7</v>
      </c>
      <c r="E586" s="1">
        <v>39</v>
      </c>
      <c r="F586" s="1" t="s">
        <v>6</v>
      </c>
      <c r="G586" s="44">
        <f t="shared" si="18"/>
        <v>34</v>
      </c>
      <c r="H586" s="10" t="str">
        <f t="shared" si="19"/>
        <v>Monday</v>
      </c>
    </row>
    <row r="587" spans="1:8">
      <c r="A587" s="9">
        <v>166342075</v>
      </c>
      <c r="B587" s="6">
        <v>44893</v>
      </c>
      <c r="C587" s="6">
        <v>44923</v>
      </c>
      <c r="D587" s="1" t="s">
        <v>7</v>
      </c>
      <c r="E587" s="1">
        <v>39</v>
      </c>
      <c r="F587" s="1" t="s">
        <v>6</v>
      </c>
      <c r="G587" s="44">
        <f t="shared" si="18"/>
        <v>30</v>
      </c>
      <c r="H587" s="10" t="str">
        <f t="shared" si="19"/>
        <v>Monday</v>
      </c>
    </row>
    <row r="588" spans="1:8">
      <c r="A588" s="9">
        <v>154063985</v>
      </c>
      <c r="B588" s="6">
        <v>44893</v>
      </c>
      <c r="C588" s="6">
        <v>45142</v>
      </c>
      <c r="D588" s="1" t="s">
        <v>7</v>
      </c>
      <c r="E588" s="1">
        <v>39</v>
      </c>
      <c r="F588" s="1" t="s">
        <v>6</v>
      </c>
      <c r="G588" s="44">
        <f t="shared" si="18"/>
        <v>249</v>
      </c>
      <c r="H588" s="10" t="str">
        <f t="shared" si="19"/>
        <v>Monday</v>
      </c>
    </row>
    <row r="589" spans="1:8">
      <c r="A589" s="9">
        <v>164141888</v>
      </c>
      <c r="B589" s="6">
        <v>44894</v>
      </c>
      <c r="C589" s="1"/>
      <c r="D589" s="1" t="s">
        <v>7</v>
      </c>
      <c r="E589" s="1">
        <v>39</v>
      </c>
      <c r="F589" s="1" t="s">
        <v>6</v>
      </c>
      <c r="G589" s="44" t="str">
        <f t="shared" si="18"/>
        <v/>
      </c>
      <c r="H589" s="10" t="str">
        <f t="shared" si="19"/>
        <v>Tuesday</v>
      </c>
    </row>
    <row r="590" spans="1:8">
      <c r="A590" s="9">
        <v>165244044</v>
      </c>
      <c r="B590" s="6">
        <v>44894</v>
      </c>
      <c r="C590" s="6">
        <v>45061</v>
      </c>
      <c r="D590" s="1" t="s">
        <v>7</v>
      </c>
      <c r="E590" s="1">
        <v>39</v>
      </c>
      <c r="F590" s="1" t="s">
        <v>6</v>
      </c>
      <c r="G590" s="44">
        <f t="shared" si="18"/>
        <v>167</v>
      </c>
      <c r="H590" s="10" t="str">
        <f t="shared" si="19"/>
        <v>Tuesday</v>
      </c>
    </row>
    <row r="591" spans="1:8">
      <c r="A591" s="9">
        <v>136149379</v>
      </c>
      <c r="B591" s="6">
        <v>44894</v>
      </c>
      <c r="C591" s="6">
        <v>45018</v>
      </c>
      <c r="D591" s="1" t="s">
        <v>7</v>
      </c>
      <c r="E591" s="1">
        <v>39</v>
      </c>
      <c r="F591" s="1" t="s">
        <v>6</v>
      </c>
      <c r="G591" s="44">
        <f t="shared" si="18"/>
        <v>124</v>
      </c>
      <c r="H591" s="10" t="str">
        <f t="shared" si="19"/>
        <v>Tuesday</v>
      </c>
    </row>
    <row r="592" spans="1:8">
      <c r="A592" s="9">
        <v>158227426</v>
      </c>
      <c r="B592" s="6">
        <v>44894</v>
      </c>
      <c r="C592" s="6">
        <v>44986</v>
      </c>
      <c r="D592" s="1" t="s">
        <v>7</v>
      </c>
      <c r="E592" s="1">
        <v>39</v>
      </c>
      <c r="F592" s="1" t="s">
        <v>6</v>
      </c>
      <c r="G592" s="44">
        <f t="shared" si="18"/>
        <v>92</v>
      </c>
      <c r="H592" s="10" t="str">
        <f t="shared" si="19"/>
        <v>Tuesday</v>
      </c>
    </row>
    <row r="593" spans="1:8">
      <c r="A593" s="9">
        <v>166366125</v>
      </c>
      <c r="B593" s="6">
        <v>44894</v>
      </c>
      <c r="C593" s="6">
        <v>44994</v>
      </c>
      <c r="D593" s="1" t="s">
        <v>7</v>
      </c>
      <c r="E593" s="1">
        <v>39</v>
      </c>
      <c r="F593" s="1" t="s">
        <v>6</v>
      </c>
      <c r="G593" s="44">
        <f t="shared" si="18"/>
        <v>100</v>
      </c>
      <c r="H593" s="10" t="str">
        <f t="shared" si="19"/>
        <v>Tuesday</v>
      </c>
    </row>
    <row r="594" spans="1:8">
      <c r="A594" s="9">
        <v>166753946</v>
      </c>
      <c r="B594" s="6">
        <v>44894</v>
      </c>
      <c r="C594" s="6">
        <v>44962</v>
      </c>
      <c r="D594" s="1" t="s">
        <v>7</v>
      </c>
      <c r="E594" s="1">
        <v>39</v>
      </c>
      <c r="F594" s="1" t="s">
        <v>6</v>
      </c>
      <c r="G594" s="44">
        <f t="shared" si="18"/>
        <v>68</v>
      </c>
      <c r="H594" s="10" t="str">
        <f t="shared" si="19"/>
        <v>Tuesday</v>
      </c>
    </row>
    <row r="595" spans="1:8">
      <c r="A595" s="9">
        <v>157883110</v>
      </c>
      <c r="B595" s="6">
        <v>44894</v>
      </c>
      <c r="C595" s="6">
        <v>44949</v>
      </c>
      <c r="D595" s="1" t="s">
        <v>7</v>
      </c>
      <c r="E595" s="1">
        <v>39</v>
      </c>
      <c r="F595" s="1" t="s">
        <v>6</v>
      </c>
      <c r="G595" s="44">
        <f t="shared" si="18"/>
        <v>55</v>
      </c>
      <c r="H595" s="10" t="str">
        <f t="shared" si="19"/>
        <v>Tuesday</v>
      </c>
    </row>
    <row r="596" spans="1:8">
      <c r="A596" s="9">
        <v>138475621</v>
      </c>
      <c r="B596" s="6">
        <v>44894</v>
      </c>
      <c r="C596" s="6">
        <v>44910</v>
      </c>
      <c r="D596" s="1" t="s">
        <v>7</v>
      </c>
      <c r="E596" s="1">
        <v>39</v>
      </c>
      <c r="F596" s="1" t="s">
        <v>6</v>
      </c>
      <c r="G596" s="44">
        <f t="shared" si="18"/>
        <v>16</v>
      </c>
      <c r="H596" s="10" t="str">
        <f t="shared" si="19"/>
        <v>Tuesday</v>
      </c>
    </row>
    <row r="597" spans="1:8">
      <c r="A597" s="9">
        <v>166529240</v>
      </c>
      <c r="B597" s="6">
        <v>44895</v>
      </c>
      <c r="C597" s="1"/>
      <c r="D597" s="1" t="s">
        <v>7</v>
      </c>
      <c r="E597" s="1">
        <v>39</v>
      </c>
      <c r="F597" s="1" t="s">
        <v>6</v>
      </c>
      <c r="G597" s="44" t="str">
        <f t="shared" si="18"/>
        <v/>
      </c>
      <c r="H597" s="10" t="str">
        <f t="shared" si="19"/>
        <v>Wednesday</v>
      </c>
    </row>
    <row r="598" spans="1:8">
      <c r="A598" s="9">
        <v>125828506</v>
      </c>
      <c r="B598" s="6">
        <v>44895</v>
      </c>
      <c r="C598" s="6">
        <v>44971</v>
      </c>
      <c r="D598" s="1" t="s">
        <v>7</v>
      </c>
      <c r="E598" s="1">
        <v>39</v>
      </c>
      <c r="F598" s="1" t="s">
        <v>6</v>
      </c>
      <c r="G598" s="44">
        <f t="shared" si="18"/>
        <v>76</v>
      </c>
      <c r="H598" s="10" t="str">
        <f t="shared" si="19"/>
        <v>Wednesday</v>
      </c>
    </row>
    <row r="599" spans="1:8">
      <c r="A599" s="9">
        <v>148869381</v>
      </c>
      <c r="B599" s="6">
        <v>44895</v>
      </c>
      <c r="C599" s="6">
        <v>44957</v>
      </c>
      <c r="D599" s="1" t="s">
        <v>7</v>
      </c>
      <c r="E599" s="1">
        <v>39</v>
      </c>
      <c r="F599" s="1" t="s">
        <v>6</v>
      </c>
      <c r="G599" s="44">
        <f t="shared" si="18"/>
        <v>62</v>
      </c>
      <c r="H599" s="10" t="str">
        <f t="shared" si="19"/>
        <v>Wednesday</v>
      </c>
    </row>
    <row r="600" spans="1:8">
      <c r="A600" s="9">
        <v>134825962</v>
      </c>
      <c r="B600" s="6">
        <v>44895</v>
      </c>
      <c r="C600" s="6">
        <v>44927</v>
      </c>
      <c r="D600" s="1" t="s">
        <v>7</v>
      </c>
      <c r="E600" s="1">
        <v>39</v>
      </c>
      <c r="F600" s="1" t="s">
        <v>6</v>
      </c>
      <c r="G600" s="44">
        <f t="shared" si="18"/>
        <v>32</v>
      </c>
      <c r="H600" s="10" t="str">
        <f t="shared" si="19"/>
        <v>Wednesday</v>
      </c>
    </row>
    <row r="601" spans="1:8">
      <c r="A601" s="9">
        <v>151163143</v>
      </c>
      <c r="B601" s="6">
        <v>44895</v>
      </c>
      <c r="C601" s="6">
        <v>44932</v>
      </c>
      <c r="D601" s="1" t="s">
        <v>7</v>
      </c>
      <c r="E601" s="1">
        <v>39</v>
      </c>
      <c r="F601" s="1" t="s">
        <v>6</v>
      </c>
      <c r="G601" s="44">
        <f t="shared" si="18"/>
        <v>37</v>
      </c>
      <c r="H601" s="10" t="str">
        <f t="shared" si="19"/>
        <v>Wednesday</v>
      </c>
    </row>
    <row r="602" spans="1:8">
      <c r="A602" s="9">
        <v>156111982</v>
      </c>
      <c r="B602" s="6">
        <v>44895</v>
      </c>
      <c r="C602" s="6">
        <v>44918</v>
      </c>
      <c r="D602" s="1" t="s">
        <v>7</v>
      </c>
      <c r="E602" s="1">
        <v>39</v>
      </c>
      <c r="F602" s="1" t="s">
        <v>6</v>
      </c>
      <c r="G602" s="44">
        <f t="shared" si="18"/>
        <v>23</v>
      </c>
      <c r="H602" s="10" t="str">
        <f t="shared" si="19"/>
        <v>Wednesday</v>
      </c>
    </row>
    <row r="603" spans="1:8">
      <c r="A603" s="9">
        <v>166546201</v>
      </c>
      <c r="B603" s="6">
        <v>44895</v>
      </c>
      <c r="C603" s="6">
        <v>44906</v>
      </c>
      <c r="D603" s="1" t="s">
        <v>7</v>
      </c>
      <c r="E603" s="1">
        <v>39</v>
      </c>
      <c r="F603" s="1" t="s">
        <v>6</v>
      </c>
      <c r="G603" s="44">
        <f t="shared" si="18"/>
        <v>11</v>
      </c>
      <c r="H603" s="10" t="str">
        <f t="shared" si="19"/>
        <v>Wednesday</v>
      </c>
    </row>
    <row r="604" spans="1:8">
      <c r="A604" s="9">
        <v>162126074</v>
      </c>
      <c r="B604" s="6">
        <v>44896</v>
      </c>
      <c r="C604" s="1"/>
      <c r="D604" s="1" t="s">
        <v>7</v>
      </c>
      <c r="E604" s="1">
        <v>39</v>
      </c>
      <c r="F604" s="1" t="s">
        <v>6</v>
      </c>
      <c r="G604" s="44" t="str">
        <f t="shared" si="18"/>
        <v/>
      </c>
      <c r="H604" s="10" t="str">
        <f t="shared" si="19"/>
        <v>Thursday</v>
      </c>
    </row>
    <row r="605" spans="1:8">
      <c r="A605" s="9">
        <v>162640429</v>
      </c>
      <c r="B605" s="6">
        <v>44896</v>
      </c>
      <c r="C605" s="1"/>
      <c r="D605" s="1" t="s">
        <v>7</v>
      </c>
      <c r="E605" s="1">
        <v>39</v>
      </c>
      <c r="F605" s="1" t="s">
        <v>6</v>
      </c>
      <c r="G605" s="44" t="str">
        <f t="shared" si="18"/>
        <v/>
      </c>
      <c r="H605" s="10" t="str">
        <f t="shared" si="19"/>
        <v>Thursday</v>
      </c>
    </row>
    <row r="606" spans="1:8">
      <c r="A606" s="9">
        <v>164413682</v>
      </c>
      <c r="B606" s="6">
        <v>44896</v>
      </c>
      <c r="C606" s="1"/>
      <c r="D606" s="1" t="s">
        <v>7</v>
      </c>
      <c r="E606" s="1">
        <v>39</v>
      </c>
      <c r="F606" s="1" t="s">
        <v>6</v>
      </c>
      <c r="G606" s="44" t="str">
        <f t="shared" si="18"/>
        <v/>
      </c>
      <c r="H606" s="10" t="str">
        <f t="shared" si="19"/>
        <v>Thursday</v>
      </c>
    </row>
    <row r="607" spans="1:8">
      <c r="A607" s="9">
        <v>162850052</v>
      </c>
      <c r="B607" s="6">
        <v>44896</v>
      </c>
      <c r="C607" s="1"/>
      <c r="D607" s="1" t="s">
        <v>7</v>
      </c>
      <c r="E607" s="1">
        <v>39</v>
      </c>
      <c r="F607" s="1" t="s">
        <v>6</v>
      </c>
      <c r="G607" s="44" t="str">
        <f t="shared" si="18"/>
        <v/>
      </c>
      <c r="H607" s="10" t="str">
        <f t="shared" si="19"/>
        <v>Thursday</v>
      </c>
    </row>
    <row r="608" spans="1:8">
      <c r="A608" s="9">
        <v>162177746</v>
      </c>
      <c r="B608" s="6">
        <v>44896</v>
      </c>
      <c r="C608" s="6">
        <v>44924</v>
      </c>
      <c r="D608" s="1" t="s">
        <v>7</v>
      </c>
      <c r="E608" s="1">
        <v>39</v>
      </c>
      <c r="F608" s="1" t="s">
        <v>6</v>
      </c>
      <c r="G608" s="44">
        <f t="shared" si="18"/>
        <v>28</v>
      </c>
      <c r="H608" s="10" t="str">
        <f t="shared" si="19"/>
        <v>Thursday</v>
      </c>
    </row>
    <row r="609" spans="1:8">
      <c r="A609" s="9">
        <v>135587508</v>
      </c>
      <c r="B609" s="6">
        <v>44896</v>
      </c>
      <c r="C609" s="6">
        <v>44966</v>
      </c>
      <c r="D609" s="1" t="s">
        <v>7</v>
      </c>
      <c r="E609" s="1">
        <v>39</v>
      </c>
      <c r="F609" s="1" t="s">
        <v>6</v>
      </c>
      <c r="G609" s="44">
        <f t="shared" si="18"/>
        <v>70</v>
      </c>
      <c r="H609" s="10" t="str">
        <f t="shared" si="19"/>
        <v>Thursday</v>
      </c>
    </row>
    <row r="610" spans="1:8">
      <c r="A610" s="9">
        <v>161428649</v>
      </c>
      <c r="B610" s="6">
        <v>44896</v>
      </c>
      <c r="C610" s="6">
        <v>45024</v>
      </c>
      <c r="D610" s="1" t="s">
        <v>7</v>
      </c>
      <c r="E610" s="1">
        <v>39</v>
      </c>
      <c r="F610" s="1" t="s">
        <v>6</v>
      </c>
      <c r="G610" s="44">
        <f t="shared" si="18"/>
        <v>128</v>
      </c>
      <c r="H610" s="10" t="str">
        <f t="shared" si="19"/>
        <v>Thursday</v>
      </c>
    </row>
    <row r="611" spans="1:8">
      <c r="A611" s="9">
        <v>166977144</v>
      </c>
      <c r="B611" s="6">
        <v>44896</v>
      </c>
      <c r="C611" s="6">
        <v>45024</v>
      </c>
      <c r="D611" s="1" t="s">
        <v>7</v>
      </c>
      <c r="E611" s="1">
        <v>39</v>
      </c>
      <c r="F611" s="1" t="s">
        <v>6</v>
      </c>
      <c r="G611" s="44">
        <f t="shared" si="18"/>
        <v>128</v>
      </c>
      <c r="H611" s="10" t="str">
        <f t="shared" si="19"/>
        <v>Thursday</v>
      </c>
    </row>
    <row r="612" spans="1:8">
      <c r="A612" s="9">
        <v>161640666</v>
      </c>
      <c r="B612" s="6">
        <v>44896</v>
      </c>
      <c r="C612" s="6">
        <v>44986</v>
      </c>
      <c r="D612" s="1" t="s">
        <v>7</v>
      </c>
      <c r="E612" s="1">
        <v>39</v>
      </c>
      <c r="F612" s="1" t="s">
        <v>6</v>
      </c>
      <c r="G612" s="44">
        <f t="shared" si="18"/>
        <v>90</v>
      </c>
      <c r="H612" s="10" t="str">
        <f t="shared" si="19"/>
        <v>Thursday</v>
      </c>
    </row>
    <row r="613" spans="1:8">
      <c r="A613" s="9">
        <v>165932696</v>
      </c>
      <c r="B613" s="6">
        <v>44896</v>
      </c>
      <c r="C613" s="6">
        <v>44986</v>
      </c>
      <c r="D613" s="1" t="s">
        <v>7</v>
      </c>
      <c r="E613" s="1">
        <v>39</v>
      </c>
      <c r="F613" s="1" t="s">
        <v>6</v>
      </c>
      <c r="G613" s="44">
        <f t="shared" si="18"/>
        <v>90</v>
      </c>
      <c r="H613" s="10" t="str">
        <f t="shared" si="19"/>
        <v>Thursday</v>
      </c>
    </row>
    <row r="614" spans="1:8">
      <c r="A614" s="9">
        <v>165204032</v>
      </c>
      <c r="B614" s="6">
        <v>44896</v>
      </c>
      <c r="C614" s="6">
        <v>44971</v>
      </c>
      <c r="D614" s="1" t="s">
        <v>7</v>
      </c>
      <c r="E614" s="1">
        <v>39</v>
      </c>
      <c r="F614" s="1" t="s">
        <v>6</v>
      </c>
      <c r="G614" s="44">
        <f t="shared" si="18"/>
        <v>75</v>
      </c>
      <c r="H614" s="10" t="str">
        <f t="shared" si="19"/>
        <v>Thursday</v>
      </c>
    </row>
    <row r="615" spans="1:8">
      <c r="A615" s="9">
        <v>162469903</v>
      </c>
      <c r="B615" s="6">
        <v>44896</v>
      </c>
      <c r="C615" s="6">
        <v>44965</v>
      </c>
      <c r="D615" s="1" t="s">
        <v>7</v>
      </c>
      <c r="E615" s="1">
        <v>39</v>
      </c>
      <c r="F615" s="1" t="s">
        <v>6</v>
      </c>
      <c r="G615" s="44">
        <f t="shared" si="18"/>
        <v>69</v>
      </c>
      <c r="H615" s="10" t="str">
        <f t="shared" si="19"/>
        <v>Thursday</v>
      </c>
    </row>
    <row r="616" spans="1:8">
      <c r="A616" s="9">
        <v>166515564</v>
      </c>
      <c r="B616" s="6">
        <v>44896</v>
      </c>
      <c r="C616" s="6">
        <v>44945</v>
      </c>
      <c r="D616" s="1" t="s">
        <v>7</v>
      </c>
      <c r="E616" s="1">
        <v>39</v>
      </c>
      <c r="F616" s="1" t="s">
        <v>6</v>
      </c>
      <c r="G616" s="44">
        <f t="shared" si="18"/>
        <v>49</v>
      </c>
      <c r="H616" s="10" t="str">
        <f t="shared" si="19"/>
        <v>Thursday</v>
      </c>
    </row>
    <row r="617" spans="1:8">
      <c r="A617" s="9">
        <v>139323228</v>
      </c>
      <c r="B617" s="6">
        <v>44896</v>
      </c>
      <c r="C617" s="6">
        <v>44950</v>
      </c>
      <c r="D617" s="1" t="s">
        <v>7</v>
      </c>
      <c r="E617" s="1">
        <v>39</v>
      </c>
      <c r="F617" s="1" t="s">
        <v>6</v>
      </c>
      <c r="G617" s="44">
        <f t="shared" si="18"/>
        <v>54</v>
      </c>
      <c r="H617" s="10" t="str">
        <f t="shared" si="19"/>
        <v>Thursday</v>
      </c>
    </row>
    <row r="618" spans="1:8">
      <c r="A618" s="9">
        <v>162569750</v>
      </c>
      <c r="B618" s="6">
        <v>44896</v>
      </c>
      <c r="C618" s="6">
        <v>44899</v>
      </c>
      <c r="D618" s="1" t="s">
        <v>7</v>
      </c>
      <c r="E618" s="1">
        <v>39</v>
      </c>
      <c r="F618" s="1" t="s">
        <v>6</v>
      </c>
      <c r="G618" s="44">
        <f t="shared" si="18"/>
        <v>3</v>
      </c>
      <c r="H618" s="10" t="str">
        <f t="shared" si="19"/>
        <v>Thursday</v>
      </c>
    </row>
    <row r="619" spans="1:8">
      <c r="A619" s="9">
        <v>165959602</v>
      </c>
      <c r="B619" s="6">
        <v>44896</v>
      </c>
      <c r="C619" s="6">
        <v>44918</v>
      </c>
      <c r="D619" s="1" t="s">
        <v>7</v>
      </c>
      <c r="E619" s="1">
        <v>39</v>
      </c>
      <c r="F619" s="1" t="s">
        <v>6</v>
      </c>
      <c r="G619" s="44">
        <f t="shared" si="18"/>
        <v>22</v>
      </c>
      <c r="H619" s="10" t="str">
        <f t="shared" si="19"/>
        <v>Thursday</v>
      </c>
    </row>
    <row r="620" spans="1:8">
      <c r="A620" s="9">
        <v>160968524</v>
      </c>
      <c r="B620" s="6">
        <v>44896</v>
      </c>
      <c r="C620" s="6">
        <v>45127</v>
      </c>
      <c r="D620" s="1" t="s">
        <v>7</v>
      </c>
      <c r="E620" s="1">
        <v>39</v>
      </c>
      <c r="F620" s="1" t="s">
        <v>6</v>
      </c>
      <c r="G620" s="44">
        <f t="shared" si="18"/>
        <v>231</v>
      </c>
      <c r="H620" s="10" t="str">
        <f t="shared" si="19"/>
        <v>Thursday</v>
      </c>
    </row>
    <row r="621" spans="1:8">
      <c r="A621" s="9">
        <v>163258260</v>
      </c>
      <c r="B621" s="6">
        <v>44897</v>
      </c>
      <c r="C621" s="1"/>
      <c r="D621" s="1" t="s">
        <v>7</v>
      </c>
      <c r="E621" s="1">
        <v>39</v>
      </c>
      <c r="F621" s="1" t="s">
        <v>6</v>
      </c>
      <c r="G621" s="44" t="str">
        <f t="shared" si="18"/>
        <v/>
      </c>
      <c r="H621" s="10" t="str">
        <f t="shared" si="19"/>
        <v>Friday</v>
      </c>
    </row>
    <row r="622" spans="1:8">
      <c r="A622" s="9">
        <v>167051046</v>
      </c>
      <c r="B622" s="6">
        <v>44897</v>
      </c>
      <c r="C622" s="1"/>
      <c r="D622" s="1" t="s">
        <v>7</v>
      </c>
      <c r="E622" s="1">
        <v>39</v>
      </c>
      <c r="F622" s="1" t="s">
        <v>6</v>
      </c>
      <c r="G622" s="44" t="str">
        <f t="shared" si="18"/>
        <v/>
      </c>
      <c r="H622" s="10" t="str">
        <f t="shared" si="19"/>
        <v>Friday</v>
      </c>
    </row>
    <row r="623" spans="1:8">
      <c r="A623" s="9">
        <v>161182367</v>
      </c>
      <c r="B623" s="6">
        <v>44897</v>
      </c>
      <c r="C623" s="6">
        <v>44898</v>
      </c>
      <c r="D623" s="1" t="s">
        <v>7</v>
      </c>
      <c r="E623" s="1">
        <v>39</v>
      </c>
      <c r="F623" s="1" t="s">
        <v>6</v>
      </c>
      <c r="G623" s="44">
        <f t="shared" si="18"/>
        <v>1</v>
      </c>
      <c r="H623" s="10" t="str">
        <f t="shared" si="19"/>
        <v>Friday</v>
      </c>
    </row>
    <row r="624" spans="1:8">
      <c r="A624" s="9">
        <v>167292985</v>
      </c>
      <c r="B624" s="6">
        <v>44897</v>
      </c>
      <c r="C624" s="6">
        <v>44898</v>
      </c>
      <c r="D624" s="1" t="s">
        <v>8</v>
      </c>
      <c r="E624" s="1">
        <v>39</v>
      </c>
      <c r="F624" s="1" t="s">
        <v>6</v>
      </c>
      <c r="G624" s="44">
        <f t="shared" si="18"/>
        <v>1</v>
      </c>
      <c r="H624" s="10" t="str">
        <f t="shared" si="19"/>
        <v>Friday</v>
      </c>
    </row>
    <row r="625" spans="1:8">
      <c r="A625" s="9">
        <v>166183014</v>
      </c>
      <c r="B625" s="6">
        <v>44897</v>
      </c>
      <c r="C625" s="6">
        <v>44898</v>
      </c>
      <c r="D625" s="1" t="s">
        <v>8</v>
      </c>
      <c r="E625" s="1">
        <v>39</v>
      </c>
      <c r="F625" s="1" t="s">
        <v>6</v>
      </c>
      <c r="G625" s="44">
        <f t="shared" si="18"/>
        <v>1</v>
      </c>
      <c r="H625" s="10" t="str">
        <f t="shared" si="19"/>
        <v>Friday</v>
      </c>
    </row>
    <row r="626" spans="1:8">
      <c r="A626" s="9">
        <v>165143920</v>
      </c>
      <c r="B626" s="6">
        <v>44897</v>
      </c>
      <c r="C626" s="6">
        <v>45079</v>
      </c>
      <c r="D626" s="1" t="s">
        <v>7</v>
      </c>
      <c r="E626" s="1">
        <v>39</v>
      </c>
      <c r="F626" s="1" t="s">
        <v>6</v>
      </c>
      <c r="G626" s="44">
        <f t="shared" si="18"/>
        <v>182</v>
      </c>
      <c r="H626" s="10" t="str">
        <f t="shared" si="19"/>
        <v>Friday</v>
      </c>
    </row>
    <row r="627" spans="1:8">
      <c r="A627" s="9">
        <v>165958089</v>
      </c>
      <c r="B627" s="6">
        <v>44897</v>
      </c>
      <c r="C627" s="6">
        <v>44966</v>
      </c>
      <c r="D627" s="1" t="s">
        <v>7</v>
      </c>
      <c r="E627" s="1">
        <v>39</v>
      </c>
      <c r="F627" s="1" t="s">
        <v>6</v>
      </c>
      <c r="G627" s="44">
        <f t="shared" si="18"/>
        <v>69</v>
      </c>
      <c r="H627" s="10" t="str">
        <f t="shared" si="19"/>
        <v>Friday</v>
      </c>
    </row>
    <row r="628" spans="1:8">
      <c r="A628" s="9">
        <v>165431576</v>
      </c>
      <c r="B628" s="6">
        <v>44897</v>
      </c>
      <c r="C628" s="6">
        <v>44958</v>
      </c>
      <c r="D628" s="1" t="s">
        <v>7</v>
      </c>
      <c r="E628" s="1">
        <v>39</v>
      </c>
      <c r="F628" s="1" t="s">
        <v>6</v>
      </c>
      <c r="G628" s="44">
        <f t="shared" si="18"/>
        <v>61</v>
      </c>
      <c r="H628" s="10" t="str">
        <f t="shared" si="19"/>
        <v>Friday</v>
      </c>
    </row>
    <row r="629" spans="1:8">
      <c r="A629" s="9">
        <v>163708513</v>
      </c>
      <c r="B629" s="6">
        <v>44897</v>
      </c>
      <c r="C629" s="6">
        <v>44925</v>
      </c>
      <c r="D629" s="1" t="s">
        <v>7</v>
      </c>
      <c r="E629" s="1">
        <v>39</v>
      </c>
      <c r="F629" s="1" t="s">
        <v>6</v>
      </c>
      <c r="G629" s="44">
        <f t="shared" si="18"/>
        <v>28</v>
      </c>
      <c r="H629" s="10" t="str">
        <f t="shared" si="19"/>
        <v>Friday</v>
      </c>
    </row>
    <row r="630" spans="1:8">
      <c r="A630" s="9">
        <v>164521419</v>
      </c>
      <c r="B630" s="6">
        <v>44897</v>
      </c>
      <c r="C630" s="6">
        <v>44924</v>
      </c>
      <c r="D630" s="1" t="s">
        <v>7</v>
      </c>
      <c r="E630" s="1">
        <v>39</v>
      </c>
      <c r="F630" s="1" t="s">
        <v>6</v>
      </c>
      <c r="G630" s="44">
        <f t="shared" si="18"/>
        <v>27</v>
      </c>
      <c r="H630" s="10" t="str">
        <f t="shared" si="19"/>
        <v>Friday</v>
      </c>
    </row>
    <row r="631" spans="1:8">
      <c r="A631" s="9">
        <v>166257164</v>
      </c>
      <c r="B631" s="6">
        <v>44897</v>
      </c>
      <c r="C631" s="6">
        <v>44916</v>
      </c>
      <c r="D631" s="1" t="s">
        <v>7</v>
      </c>
      <c r="E631" s="1">
        <v>39</v>
      </c>
      <c r="F631" s="1" t="s">
        <v>6</v>
      </c>
      <c r="G631" s="44">
        <f t="shared" si="18"/>
        <v>19</v>
      </c>
      <c r="H631" s="10" t="str">
        <f t="shared" si="19"/>
        <v>Friday</v>
      </c>
    </row>
    <row r="632" spans="1:8">
      <c r="A632" s="9">
        <v>121348156</v>
      </c>
      <c r="B632" s="6">
        <v>44897</v>
      </c>
      <c r="C632" s="6">
        <v>44901</v>
      </c>
      <c r="D632" s="1" t="s">
        <v>7</v>
      </c>
      <c r="E632" s="1">
        <v>39</v>
      </c>
      <c r="F632" s="1" t="s">
        <v>6</v>
      </c>
      <c r="G632" s="44">
        <f t="shared" si="18"/>
        <v>4</v>
      </c>
      <c r="H632" s="10" t="str">
        <f t="shared" si="19"/>
        <v>Friday</v>
      </c>
    </row>
    <row r="633" spans="1:8">
      <c r="A633" s="9">
        <v>167280894</v>
      </c>
      <c r="B633" s="6">
        <v>44897</v>
      </c>
      <c r="C633" s="6">
        <v>45113</v>
      </c>
      <c r="D633" s="1" t="s">
        <v>7</v>
      </c>
      <c r="E633" s="1">
        <v>39</v>
      </c>
      <c r="F633" s="1" t="s">
        <v>6</v>
      </c>
      <c r="G633" s="44">
        <f t="shared" si="18"/>
        <v>216</v>
      </c>
      <c r="H633" s="10" t="str">
        <f t="shared" si="19"/>
        <v>Friday</v>
      </c>
    </row>
    <row r="634" spans="1:8">
      <c r="A634" s="9">
        <v>160980795</v>
      </c>
      <c r="B634" s="6">
        <v>44898</v>
      </c>
      <c r="C634" s="1"/>
      <c r="D634" s="1" t="s">
        <v>7</v>
      </c>
      <c r="E634" s="1">
        <v>39</v>
      </c>
      <c r="F634" s="1" t="s">
        <v>6</v>
      </c>
      <c r="G634" s="44" t="str">
        <f t="shared" si="18"/>
        <v/>
      </c>
      <c r="H634" s="10" t="str">
        <f t="shared" si="19"/>
        <v>Saturday</v>
      </c>
    </row>
    <row r="635" spans="1:8">
      <c r="A635" s="9">
        <v>167544686</v>
      </c>
      <c r="B635" s="6">
        <v>44898</v>
      </c>
      <c r="C635" s="1"/>
      <c r="D635" s="1" t="s">
        <v>7</v>
      </c>
      <c r="E635" s="1">
        <v>39</v>
      </c>
      <c r="F635" s="1" t="s">
        <v>6</v>
      </c>
      <c r="G635" s="44" t="str">
        <f t="shared" si="18"/>
        <v/>
      </c>
      <c r="H635" s="10" t="str">
        <f t="shared" si="19"/>
        <v>Saturday</v>
      </c>
    </row>
    <row r="636" spans="1:8">
      <c r="A636" s="9">
        <v>161968719</v>
      </c>
      <c r="B636" s="6">
        <v>44898</v>
      </c>
      <c r="C636" s="1"/>
      <c r="D636" s="1" t="s">
        <v>7</v>
      </c>
      <c r="E636" s="1">
        <v>39</v>
      </c>
      <c r="F636" s="1" t="s">
        <v>6</v>
      </c>
      <c r="G636" s="44" t="str">
        <f t="shared" si="18"/>
        <v/>
      </c>
      <c r="H636" s="10" t="str">
        <f t="shared" si="19"/>
        <v>Saturday</v>
      </c>
    </row>
    <row r="637" spans="1:8">
      <c r="A637" s="9">
        <v>159070152</v>
      </c>
      <c r="B637" s="6">
        <v>44898</v>
      </c>
      <c r="C637" s="1"/>
      <c r="D637" s="1" t="s">
        <v>7</v>
      </c>
      <c r="E637" s="1">
        <v>39</v>
      </c>
      <c r="F637" s="1" t="s">
        <v>6</v>
      </c>
      <c r="G637" s="44" t="str">
        <f t="shared" si="18"/>
        <v/>
      </c>
      <c r="H637" s="10" t="str">
        <f t="shared" si="19"/>
        <v>Saturday</v>
      </c>
    </row>
    <row r="638" spans="1:8">
      <c r="A638" s="9">
        <v>167445788</v>
      </c>
      <c r="B638" s="6">
        <v>44898</v>
      </c>
      <c r="C638" s="6">
        <v>44899</v>
      </c>
      <c r="D638" s="1" t="s">
        <v>8</v>
      </c>
      <c r="E638" s="1">
        <v>39</v>
      </c>
      <c r="F638" s="1" t="s">
        <v>6</v>
      </c>
      <c r="G638" s="44">
        <f t="shared" si="18"/>
        <v>1</v>
      </c>
      <c r="H638" s="10" t="str">
        <f t="shared" si="19"/>
        <v>Saturday</v>
      </c>
    </row>
    <row r="639" spans="1:8">
      <c r="A639" s="9">
        <v>167441263</v>
      </c>
      <c r="B639" s="6">
        <v>44898</v>
      </c>
      <c r="C639" s="6">
        <v>45087</v>
      </c>
      <c r="D639" s="1" t="s">
        <v>7</v>
      </c>
      <c r="E639" s="1">
        <v>39</v>
      </c>
      <c r="F639" s="1" t="s">
        <v>6</v>
      </c>
      <c r="G639" s="44">
        <f t="shared" si="18"/>
        <v>189</v>
      </c>
      <c r="H639" s="10" t="str">
        <f t="shared" si="19"/>
        <v>Saturday</v>
      </c>
    </row>
    <row r="640" spans="1:8">
      <c r="A640" s="9">
        <v>167586100</v>
      </c>
      <c r="B640" s="6">
        <v>44898</v>
      </c>
      <c r="C640" s="6">
        <v>44987</v>
      </c>
      <c r="D640" s="1" t="s">
        <v>7</v>
      </c>
      <c r="E640" s="1">
        <v>39</v>
      </c>
      <c r="F640" s="1" t="s">
        <v>6</v>
      </c>
      <c r="G640" s="44">
        <f t="shared" si="18"/>
        <v>89</v>
      </c>
      <c r="H640" s="10" t="str">
        <f t="shared" si="19"/>
        <v>Saturday</v>
      </c>
    </row>
    <row r="641" spans="1:8">
      <c r="A641" s="9">
        <v>139789436</v>
      </c>
      <c r="B641" s="6">
        <v>44898</v>
      </c>
      <c r="C641" s="6">
        <v>44955</v>
      </c>
      <c r="D641" s="1" t="s">
        <v>7</v>
      </c>
      <c r="E641" s="1">
        <v>39</v>
      </c>
      <c r="F641" s="1" t="s">
        <v>6</v>
      </c>
      <c r="G641" s="44">
        <f t="shared" si="18"/>
        <v>57</v>
      </c>
      <c r="H641" s="10" t="str">
        <f t="shared" si="19"/>
        <v>Saturday</v>
      </c>
    </row>
    <row r="642" spans="1:8">
      <c r="A642" s="9">
        <v>116319450</v>
      </c>
      <c r="B642" s="6">
        <v>44899</v>
      </c>
      <c r="C642" s="6">
        <v>45035</v>
      </c>
      <c r="D642" s="1" t="s">
        <v>7</v>
      </c>
      <c r="E642" s="1">
        <v>39</v>
      </c>
      <c r="F642" s="1" t="s">
        <v>6</v>
      </c>
      <c r="G642" s="44">
        <f t="shared" si="18"/>
        <v>136</v>
      </c>
      <c r="H642" s="10" t="str">
        <f t="shared" si="19"/>
        <v>Sunday</v>
      </c>
    </row>
    <row r="643" spans="1:8">
      <c r="A643" s="9">
        <v>162939264</v>
      </c>
      <c r="B643" s="6">
        <v>44899</v>
      </c>
      <c r="C643" s="6">
        <v>45050</v>
      </c>
      <c r="D643" s="1" t="s">
        <v>7</v>
      </c>
      <c r="E643" s="1">
        <v>39</v>
      </c>
      <c r="F643" s="1" t="s">
        <v>6</v>
      </c>
      <c r="G643" s="44">
        <f t="shared" ref="G643:G706" si="20">IF(C643="", "", DATEDIF(B643, C643, "D"))</f>
        <v>151</v>
      </c>
      <c r="H643" s="10" t="str">
        <f t="shared" ref="H643:H706" si="21">TEXT(B643, "dddd")</f>
        <v>Sunday</v>
      </c>
    </row>
    <row r="644" spans="1:8">
      <c r="A644" s="9">
        <v>167711417</v>
      </c>
      <c r="B644" s="6">
        <v>44899</v>
      </c>
      <c r="C644" s="6">
        <v>45010</v>
      </c>
      <c r="D644" s="1" t="s">
        <v>7</v>
      </c>
      <c r="E644" s="1">
        <v>39</v>
      </c>
      <c r="F644" s="1" t="s">
        <v>6</v>
      </c>
      <c r="G644" s="44">
        <f t="shared" si="20"/>
        <v>111</v>
      </c>
      <c r="H644" s="10" t="str">
        <f t="shared" si="21"/>
        <v>Sunday</v>
      </c>
    </row>
    <row r="645" spans="1:8">
      <c r="A645" s="9">
        <v>157381517</v>
      </c>
      <c r="B645" s="6">
        <v>44900</v>
      </c>
      <c r="C645" s="1"/>
      <c r="D645" s="1" t="s">
        <v>7</v>
      </c>
      <c r="E645" s="1">
        <v>39</v>
      </c>
      <c r="F645" s="1" t="s">
        <v>6</v>
      </c>
      <c r="G645" s="44" t="str">
        <f t="shared" si="20"/>
        <v/>
      </c>
      <c r="H645" s="10" t="str">
        <f t="shared" si="21"/>
        <v>Monday</v>
      </c>
    </row>
    <row r="646" spans="1:8">
      <c r="A646" s="9">
        <v>162912102</v>
      </c>
      <c r="B646" s="6">
        <v>44900</v>
      </c>
      <c r="C646" s="6">
        <v>44901</v>
      </c>
      <c r="D646" s="1" t="s">
        <v>7</v>
      </c>
      <c r="E646" s="1">
        <v>39</v>
      </c>
      <c r="F646" s="1" t="s">
        <v>6</v>
      </c>
      <c r="G646" s="44">
        <f t="shared" si="20"/>
        <v>1</v>
      </c>
      <c r="H646" s="10" t="str">
        <f t="shared" si="21"/>
        <v>Monday</v>
      </c>
    </row>
    <row r="647" spans="1:8">
      <c r="A647" s="9">
        <v>167833210</v>
      </c>
      <c r="B647" s="6">
        <v>44900</v>
      </c>
      <c r="C647" s="6">
        <v>45110</v>
      </c>
      <c r="D647" s="1" t="s">
        <v>7</v>
      </c>
      <c r="E647" s="1">
        <v>39</v>
      </c>
      <c r="F647" s="1" t="s">
        <v>6</v>
      </c>
      <c r="G647" s="44">
        <f t="shared" si="20"/>
        <v>210</v>
      </c>
      <c r="H647" s="10" t="str">
        <f t="shared" si="21"/>
        <v>Monday</v>
      </c>
    </row>
    <row r="648" spans="1:8">
      <c r="A648" s="9">
        <v>165676999</v>
      </c>
      <c r="B648" s="6">
        <v>44900</v>
      </c>
      <c r="C648" s="6">
        <v>44962</v>
      </c>
      <c r="D648" s="1" t="s">
        <v>7</v>
      </c>
      <c r="E648" s="1">
        <v>39</v>
      </c>
      <c r="F648" s="1" t="s">
        <v>6</v>
      </c>
      <c r="G648" s="44">
        <f t="shared" si="20"/>
        <v>62</v>
      </c>
      <c r="H648" s="10" t="str">
        <f t="shared" si="21"/>
        <v>Monday</v>
      </c>
    </row>
    <row r="649" spans="1:8">
      <c r="A649" s="9">
        <v>167253106</v>
      </c>
      <c r="B649" s="6">
        <v>44900</v>
      </c>
      <c r="C649" s="6">
        <v>44963</v>
      </c>
      <c r="D649" s="1" t="s">
        <v>7</v>
      </c>
      <c r="E649" s="1">
        <v>39</v>
      </c>
      <c r="F649" s="1" t="s">
        <v>6</v>
      </c>
      <c r="G649" s="44">
        <f t="shared" si="20"/>
        <v>63</v>
      </c>
      <c r="H649" s="10" t="str">
        <f t="shared" si="21"/>
        <v>Monday</v>
      </c>
    </row>
    <row r="650" spans="1:8">
      <c r="A650" s="9">
        <v>168022972</v>
      </c>
      <c r="B650" s="6">
        <v>44900</v>
      </c>
      <c r="C650" s="6">
        <v>44939</v>
      </c>
      <c r="D650" s="1" t="s">
        <v>7</v>
      </c>
      <c r="E650" s="1">
        <v>39</v>
      </c>
      <c r="F650" s="1" t="s">
        <v>6</v>
      </c>
      <c r="G650" s="44">
        <f t="shared" si="20"/>
        <v>39</v>
      </c>
      <c r="H650" s="10" t="str">
        <f t="shared" si="21"/>
        <v>Monday</v>
      </c>
    </row>
    <row r="651" spans="1:8">
      <c r="A651" s="9">
        <v>167315920</v>
      </c>
      <c r="B651" s="6">
        <v>44900</v>
      </c>
      <c r="C651" s="6">
        <v>44931</v>
      </c>
      <c r="D651" s="1" t="s">
        <v>7</v>
      </c>
      <c r="E651" s="1">
        <v>39</v>
      </c>
      <c r="F651" s="1" t="s">
        <v>6</v>
      </c>
      <c r="G651" s="44">
        <f t="shared" si="20"/>
        <v>31</v>
      </c>
      <c r="H651" s="10" t="str">
        <f t="shared" si="21"/>
        <v>Monday</v>
      </c>
    </row>
    <row r="652" spans="1:8">
      <c r="A652" s="9">
        <v>167928962</v>
      </c>
      <c r="B652" s="6">
        <v>44900</v>
      </c>
      <c r="C652" s="6">
        <v>44924</v>
      </c>
      <c r="D652" s="1" t="s">
        <v>7</v>
      </c>
      <c r="E652" s="1">
        <v>39</v>
      </c>
      <c r="F652" s="1" t="s">
        <v>6</v>
      </c>
      <c r="G652" s="44">
        <f t="shared" si="20"/>
        <v>24</v>
      </c>
      <c r="H652" s="10" t="str">
        <f t="shared" si="21"/>
        <v>Monday</v>
      </c>
    </row>
    <row r="653" spans="1:8">
      <c r="A653" s="9">
        <v>166211741</v>
      </c>
      <c r="B653" s="6">
        <v>44901</v>
      </c>
      <c r="C653" s="6">
        <v>45027</v>
      </c>
      <c r="D653" s="1" t="s">
        <v>7</v>
      </c>
      <c r="E653" s="1">
        <v>39</v>
      </c>
      <c r="F653" s="1" t="s">
        <v>6</v>
      </c>
      <c r="G653" s="44">
        <f t="shared" si="20"/>
        <v>126</v>
      </c>
      <c r="H653" s="10" t="str">
        <f t="shared" si="21"/>
        <v>Tuesday</v>
      </c>
    </row>
    <row r="654" spans="1:8">
      <c r="A654" s="9">
        <v>161450418</v>
      </c>
      <c r="B654" s="6">
        <v>44901</v>
      </c>
      <c r="C654" s="6">
        <v>45050</v>
      </c>
      <c r="D654" s="1" t="s">
        <v>7</v>
      </c>
      <c r="E654" s="1">
        <v>39</v>
      </c>
      <c r="F654" s="1" t="s">
        <v>6</v>
      </c>
      <c r="G654" s="44">
        <f t="shared" si="20"/>
        <v>149</v>
      </c>
      <c r="H654" s="10" t="str">
        <f t="shared" si="21"/>
        <v>Tuesday</v>
      </c>
    </row>
    <row r="655" spans="1:8">
      <c r="A655" s="9">
        <v>144961802</v>
      </c>
      <c r="B655" s="6">
        <v>44901</v>
      </c>
      <c r="C655" s="6">
        <v>44987</v>
      </c>
      <c r="D655" s="1" t="s">
        <v>7</v>
      </c>
      <c r="E655" s="1">
        <v>39</v>
      </c>
      <c r="F655" s="1" t="s">
        <v>6</v>
      </c>
      <c r="G655" s="44">
        <f t="shared" si="20"/>
        <v>86</v>
      </c>
      <c r="H655" s="10" t="str">
        <f t="shared" si="21"/>
        <v>Tuesday</v>
      </c>
    </row>
    <row r="656" spans="1:8">
      <c r="A656" s="9">
        <v>168137404</v>
      </c>
      <c r="B656" s="6">
        <v>44901</v>
      </c>
      <c r="C656" s="6">
        <v>44958</v>
      </c>
      <c r="D656" s="1" t="s">
        <v>7</v>
      </c>
      <c r="E656" s="1">
        <v>39</v>
      </c>
      <c r="F656" s="1" t="s">
        <v>6</v>
      </c>
      <c r="G656" s="44">
        <f t="shared" si="20"/>
        <v>57</v>
      </c>
      <c r="H656" s="10" t="str">
        <f t="shared" si="21"/>
        <v>Tuesday</v>
      </c>
    </row>
    <row r="657" spans="1:8">
      <c r="A657" s="9">
        <v>153441732</v>
      </c>
      <c r="B657" s="6">
        <v>44901</v>
      </c>
      <c r="C657" s="6">
        <v>44970</v>
      </c>
      <c r="D657" s="1" t="s">
        <v>7</v>
      </c>
      <c r="E657" s="1">
        <v>39</v>
      </c>
      <c r="F657" s="1" t="s">
        <v>6</v>
      </c>
      <c r="G657" s="44">
        <f t="shared" si="20"/>
        <v>69</v>
      </c>
      <c r="H657" s="10" t="str">
        <f t="shared" si="21"/>
        <v>Tuesday</v>
      </c>
    </row>
    <row r="658" spans="1:8">
      <c r="A658" s="9">
        <v>167649041</v>
      </c>
      <c r="B658" s="6">
        <v>44901</v>
      </c>
      <c r="C658" s="6">
        <v>44957</v>
      </c>
      <c r="D658" s="1" t="s">
        <v>7</v>
      </c>
      <c r="E658" s="1">
        <v>39</v>
      </c>
      <c r="F658" s="1" t="s">
        <v>6</v>
      </c>
      <c r="G658" s="44">
        <f t="shared" si="20"/>
        <v>56</v>
      </c>
      <c r="H658" s="10" t="str">
        <f t="shared" si="21"/>
        <v>Tuesday</v>
      </c>
    </row>
    <row r="659" spans="1:8">
      <c r="A659" s="9">
        <v>168089746</v>
      </c>
      <c r="B659" s="6">
        <v>44901</v>
      </c>
      <c r="C659" s="6">
        <v>44939</v>
      </c>
      <c r="D659" s="1" t="s">
        <v>7</v>
      </c>
      <c r="E659" s="1">
        <v>39</v>
      </c>
      <c r="F659" s="1" t="s">
        <v>6</v>
      </c>
      <c r="G659" s="44">
        <f t="shared" si="20"/>
        <v>38</v>
      </c>
      <c r="H659" s="10" t="str">
        <f t="shared" si="21"/>
        <v>Tuesday</v>
      </c>
    </row>
    <row r="660" spans="1:8">
      <c r="A660" s="9">
        <v>158177274</v>
      </c>
      <c r="B660" s="6">
        <v>44901</v>
      </c>
      <c r="C660" s="6">
        <v>44952</v>
      </c>
      <c r="D660" s="1" t="s">
        <v>7</v>
      </c>
      <c r="E660" s="1">
        <v>39</v>
      </c>
      <c r="F660" s="1" t="s">
        <v>6</v>
      </c>
      <c r="G660" s="44">
        <f t="shared" si="20"/>
        <v>51</v>
      </c>
      <c r="H660" s="10" t="str">
        <f t="shared" si="21"/>
        <v>Tuesday</v>
      </c>
    </row>
    <row r="661" spans="1:8">
      <c r="A661" s="9">
        <v>168061628</v>
      </c>
      <c r="B661" s="6">
        <v>44901</v>
      </c>
      <c r="C661" s="6">
        <v>44939</v>
      </c>
      <c r="D661" s="1" t="s">
        <v>7</v>
      </c>
      <c r="E661" s="1">
        <v>39</v>
      </c>
      <c r="F661" s="1" t="s">
        <v>6</v>
      </c>
      <c r="G661" s="44">
        <f t="shared" si="20"/>
        <v>38</v>
      </c>
      <c r="H661" s="10" t="str">
        <f t="shared" si="21"/>
        <v>Tuesday</v>
      </c>
    </row>
    <row r="662" spans="1:8">
      <c r="A662" s="9">
        <v>168436401</v>
      </c>
      <c r="B662" s="6">
        <v>44902</v>
      </c>
      <c r="C662" s="1"/>
      <c r="D662" s="1" t="s">
        <v>7</v>
      </c>
      <c r="E662" s="1">
        <v>39</v>
      </c>
      <c r="F662" s="1" t="s">
        <v>6</v>
      </c>
      <c r="G662" s="44" t="str">
        <f t="shared" si="20"/>
        <v/>
      </c>
      <c r="H662" s="10" t="str">
        <f t="shared" si="21"/>
        <v>Wednesday</v>
      </c>
    </row>
    <row r="663" spans="1:8">
      <c r="A663" s="9">
        <v>126770376</v>
      </c>
      <c r="B663" s="6">
        <v>44902</v>
      </c>
      <c r="C663" s="6">
        <v>44928</v>
      </c>
      <c r="D663" s="1" t="s">
        <v>7</v>
      </c>
      <c r="E663" s="1">
        <v>39</v>
      </c>
      <c r="F663" s="1" t="s">
        <v>6</v>
      </c>
      <c r="G663" s="44">
        <f t="shared" si="20"/>
        <v>26</v>
      </c>
      <c r="H663" s="10" t="str">
        <f t="shared" si="21"/>
        <v>Wednesday</v>
      </c>
    </row>
    <row r="664" spans="1:8">
      <c r="A664" s="9">
        <v>153468957</v>
      </c>
      <c r="B664" s="6">
        <v>44902</v>
      </c>
      <c r="C664" s="6">
        <v>44971</v>
      </c>
      <c r="D664" s="1" t="s">
        <v>7</v>
      </c>
      <c r="E664" s="1">
        <v>39</v>
      </c>
      <c r="F664" s="1" t="s">
        <v>6</v>
      </c>
      <c r="G664" s="44">
        <f t="shared" si="20"/>
        <v>69</v>
      </c>
      <c r="H664" s="10" t="str">
        <f t="shared" si="21"/>
        <v>Wednesday</v>
      </c>
    </row>
    <row r="665" spans="1:8">
      <c r="A665" s="9">
        <v>168336474</v>
      </c>
      <c r="B665" s="6">
        <v>44902</v>
      </c>
      <c r="C665" s="6">
        <v>44984</v>
      </c>
      <c r="D665" s="1" t="s">
        <v>7</v>
      </c>
      <c r="E665" s="1">
        <v>39</v>
      </c>
      <c r="F665" s="1" t="s">
        <v>6</v>
      </c>
      <c r="G665" s="44">
        <f t="shared" si="20"/>
        <v>82</v>
      </c>
      <c r="H665" s="10" t="str">
        <f t="shared" si="21"/>
        <v>Wednesday</v>
      </c>
    </row>
    <row r="666" spans="1:8">
      <c r="A666" s="9">
        <v>166929423</v>
      </c>
      <c r="B666" s="6">
        <v>44902</v>
      </c>
      <c r="C666" s="6">
        <v>44923</v>
      </c>
      <c r="D666" s="1" t="s">
        <v>7</v>
      </c>
      <c r="E666" s="1">
        <v>39</v>
      </c>
      <c r="F666" s="1" t="s">
        <v>6</v>
      </c>
      <c r="G666" s="44">
        <f t="shared" si="20"/>
        <v>21</v>
      </c>
      <c r="H666" s="10" t="str">
        <f t="shared" si="21"/>
        <v>Wednesday</v>
      </c>
    </row>
    <row r="667" spans="1:8">
      <c r="A667" s="9">
        <v>163990458</v>
      </c>
      <c r="B667" s="6">
        <v>44902</v>
      </c>
      <c r="C667" s="6">
        <v>44917</v>
      </c>
      <c r="D667" s="1" t="s">
        <v>7</v>
      </c>
      <c r="E667" s="1">
        <v>39</v>
      </c>
      <c r="F667" s="1" t="s">
        <v>6</v>
      </c>
      <c r="G667" s="44">
        <f t="shared" si="20"/>
        <v>15</v>
      </c>
      <c r="H667" s="10" t="str">
        <f t="shared" si="21"/>
        <v>Wednesday</v>
      </c>
    </row>
    <row r="668" spans="1:8">
      <c r="A668" s="9">
        <v>166411463</v>
      </c>
      <c r="B668" s="6">
        <v>44903</v>
      </c>
      <c r="C668" s="1"/>
      <c r="D668" s="1" t="s">
        <v>7</v>
      </c>
      <c r="E668" s="1">
        <v>39</v>
      </c>
      <c r="F668" s="1" t="s">
        <v>6</v>
      </c>
      <c r="G668" s="44" t="str">
        <f t="shared" si="20"/>
        <v/>
      </c>
      <c r="H668" s="10" t="str">
        <f t="shared" si="21"/>
        <v>Thursday</v>
      </c>
    </row>
    <row r="669" spans="1:8">
      <c r="A669" s="9">
        <v>168433088</v>
      </c>
      <c r="B669" s="6">
        <v>44903</v>
      </c>
      <c r="C669" s="1"/>
      <c r="D669" s="1" t="s">
        <v>7</v>
      </c>
      <c r="E669" s="1">
        <v>39</v>
      </c>
      <c r="F669" s="1" t="s">
        <v>6</v>
      </c>
      <c r="G669" s="44" t="str">
        <f t="shared" si="20"/>
        <v/>
      </c>
      <c r="H669" s="10" t="str">
        <f t="shared" si="21"/>
        <v>Thursday</v>
      </c>
    </row>
    <row r="670" spans="1:8">
      <c r="A670" s="9">
        <v>155426075</v>
      </c>
      <c r="B670" s="6">
        <v>44903</v>
      </c>
      <c r="C670" s="1"/>
      <c r="D670" s="1" t="s">
        <v>7</v>
      </c>
      <c r="E670" s="1">
        <v>39</v>
      </c>
      <c r="F670" s="1" t="s">
        <v>6</v>
      </c>
      <c r="G670" s="44" t="str">
        <f t="shared" si="20"/>
        <v/>
      </c>
      <c r="H670" s="10" t="str">
        <f t="shared" si="21"/>
        <v>Thursday</v>
      </c>
    </row>
    <row r="671" spans="1:8">
      <c r="A671" s="9">
        <v>168555694</v>
      </c>
      <c r="B671" s="6">
        <v>44903</v>
      </c>
      <c r="C671" s="6">
        <v>44904</v>
      </c>
      <c r="D671" s="1" t="s">
        <v>8</v>
      </c>
      <c r="E671" s="1">
        <v>39</v>
      </c>
      <c r="F671" s="1" t="s">
        <v>6</v>
      </c>
      <c r="G671" s="44">
        <f t="shared" si="20"/>
        <v>1</v>
      </c>
      <c r="H671" s="10" t="str">
        <f t="shared" si="21"/>
        <v>Thursday</v>
      </c>
    </row>
    <row r="672" spans="1:8">
      <c r="A672" s="9">
        <v>162912102</v>
      </c>
      <c r="B672" s="6">
        <v>44903</v>
      </c>
      <c r="C672" s="6">
        <v>45061</v>
      </c>
      <c r="D672" s="1" t="s">
        <v>7</v>
      </c>
      <c r="E672" s="1">
        <v>39</v>
      </c>
      <c r="F672" s="1" t="s">
        <v>6</v>
      </c>
      <c r="G672" s="44">
        <f t="shared" si="20"/>
        <v>158</v>
      </c>
      <c r="H672" s="10" t="str">
        <f t="shared" si="21"/>
        <v>Thursday</v>
      </c>
    </row>
    <row r="673" spans="1:8">
      <c r="A673" s="9">
        <v>168471192</v>
      </c>
      <c r="B673" s="6">
        <v>44903</v>
      </c>
      <c r="C673" s="6">
        <v>44960</v>
      </c>
      <c r="D673" s="1" t="s">
        <v>7</v>
      </c>
      <c r="E673" s="1">
        <v>39</v>
      </c>
      <c r="F673" s="1" t="s">
        <v>6</v>
      </c>
      <c r="G673" s="44">
        <f t="shared" si="20"/>
        <v>57</v>
      </c>
      <c r="H673" s="10" t="str">
        <f t="shared" si="21"/>
        <v>Thursday</v>
      </c>
    </row>
    <row r="674" spans="1:8">
      <c r="A674" s="9">
        <v>168825734</v>
      </c>
      <c r="B674" s="6">
        <v>44903</v>
      </c>
      <c r="C674" s="6">
        <v>44941</v>
      </c>
      <c r="D674" s="1" t="s">
        <v>7</v>
      </c>
      <c r="E674" s="1">
        <v>39</v>
      </c>
      <c r="F674" s="1" t="s">
        <v>6</v>
      </c>
      <c r="G674" s="44">
        <f t="shared" si="20"/>
        <v>38</v>
      </c>
      <c r="H674" s="10" t="str">
        <f t="shared" si="21"/>
        <v>Thursday</v>
      </c>
    </row>
    <row r="675" spans="1:8">
      <c r="A675" s="9">
        <v>163852568</v>
      </c>
      <c r="B675" s="6">
        <v>44903</v>
      </c>
      <c r="C675" s="6">
        <v>44907</v>
      </c>
      <c r="D675" s="1" t="s">
        <v>7</v>
      </c>
      <c r="E675" s="1">
        <v>39</v>
      </c>
      <c r="F675" s="1" t="s">
        <v>6</v>
      </c>
      <c r="G675" s="44">
        <f t="shared" si="20"/>
        <v>4</v>
      </c>
      <c r="H675" s="10" t="str">
        <f t="shared" si="21"/>
        <v>Thursday</v>
      </c>
    </row>
    <row r="676" spans="1:8">
      <c r="A676" s="9">
        <v>168460834</v>
      </c>
      <c r="B676" s="6">
        <v>44903</v>
      </c>
      <c r="C676" s="6">
        <v>44922</v>
      </c>
      <c r="D676" s="1" t="s">
        <v>7</v>
      </c>
      <c r="E676" s="1">
        <v>39</v>
      </c>
      <c r="F676" s="1" t="s">
        <v>6</v>
      </c>
      <c r="G676" s="44">
        <f t="shared" si="20"/>
        <v>19</v>
      </c>
      <c r="H676" s="10" t="str">
        <f t="shared" si="21"/>
        <v>Thursday</v>
      </c>
    </row>
    <row r="677" spans="1:8">
      <c r="A677" s="9">
        <v>169085351</v>
      </c>
      <c r="B677" s="6">
        <v>44904</v>
      </c>
      <c r="C677" s="6">
        <v>45112</v>
      </c>
      <c r="D677" s="1" t="s">
        <v>7</v>
      </c>
      <c r="E677" s="1">
        <v>39</v>
      </c>
      <c r="F677" s="1" t="s">
        <v>6</v>
      </c>
      <c r="G677" s="44">
        <f t="shared" si="20"/>
        <v>208</v>
      </c>
      <c r="H677" s="10" t="str">
        <f t="shared" si="21"/>
        <v>Friday</v>
      </c>
    </row>
    <row r="678" spans="1:8">
      <c r="A678" s="9">
        <v>168456070</v>
      </c>
      <c r="B678" s="6">
        <v>44904</v>
      </c>
      <c r="C678" s="6">
        <v>45038</v>
      </c>
      <c r="D678" s="1" t="s">
        <v>7</v>
      </c>
      <c r="E678" s="1">
        <v>39</v>
      </c>
      <c r="F678" s="1" t="s">
        <v>6</v>
      </c>
      <c r="G678" s="44">
        <f t="shared" si="20"/>
        <v>134</v>
      </c>
      <c r="H678" s="10" t="str">
        <f t="shared" si="21"/>
        <v>Friday</v>
      </c>
    </row>
    <row r="679" spans="1:8">
      <c r="A679" s="9">
        <v>168900021</v>
      </c>
      <c r="B679" s="6">
        <v>44904</v>
      </c>
      <c r="C679" s="6">
        <v>44963</v>
      </c>
      <c r="D679" s="1" t="s">
        <v>7</v>
      </c>
      <c r="E679" s="1">
        <v>39</v>
      </c>
      <c r="F679" s="1" t="s">
        <v>6</v>
      </c>
      <c r="G679" s="44">
        <f t="shared" si="20"/>
        <v>59</v>
      </c>
      <c r="H679" s="10" t="str">
        <f t="shared" si="21"/>
        <v>Friday</v>
      </c>
    </row>
    <row r="680" spans="1:8">
      <c r="A680" s="9">
        <v>169113748</v>
      </c>
      <c r="B680" s="6">
        <v>44904</v>
      </c>
      <c r="C680" s="6">
        <v>44939</v>
      </c>
      <c r="D680" s="1" t="s">
        <v>7</v>
      </c>
      <c r="E680" s="1">
        <v>39</v>
      </c>
      <c r="F680" s="1" t="s">
        <v>6</v>
      </c>
      <c r="G680" s="44">
        <f t="shared" si="20"/>
        <v>35</v>
      </c>
      <c r="H680" s="10" t="str">
        <f t="shared" si="21"/>
        <v>Friday</v>
      </c>
    </row>
    <row r="681" spans="1:8">
      <c r="A681" s="9">
        <v>162193491</v>
      </c>
      <c r="B681" s="6">
        <v>44904</v>
      </c>
      <c r="C681" s="6">
        <v>44946</v>
      </c>
      <c r="D681" s="1" t="s">
        <v>7</v>
      </c>
      <c r="E681" s="1">
        <v>39</v>
      </c>
      <c r="F681" s="1" t="s">
        <v>6</v>
      </c>
      <c r="G681" s="44">
        <f t="shared" si="20"/>
        <v>42</v>
      </c>
      <c r="H681" s="10" t="str">
        <f t="shared" si="21"/>
        <v>Friday</v>
      </c>
    </row>
    <row r="682" spans="1:8">
      <c r="A682" s="9">
        <v>167761722</v>
      </c>
      <c r="B682" s="6">
        <v>44904</v>
      </c>
      <c r="C682" s="6">
        <v>45123</v>
      </c>
      <c r="D682" s="1" t="s">
        <v>7</v>
      </c>
      <c r="E682" s="1">
        <v>39</v>
      </c>
      <c r="F682" s="1" t="s">
        <v>6</v>
      </c>
      <c r="G682" s="44">
        <f t="shared" si="20"/>
        <v>219</v>
      </c>
      <c r="H682" s="10" t="str">
        <f t="shared" si="21"/>
        <v>Friday</v>
      </c>
    </row>
    <row r="683" spans="1:8">
      <c r="A683" s="9">
        <v>169244937</v>
      </c>
      <c r="B683" s="6">
        <v>44905</v>
      </c>
      <c r="C683" s="6">
        <v>44989</v>
      </c>
      <c r="D683" s="1" t="s">
        <v>7</v>
      </c>
      <c r="E683" s="1">
        <v>39</v>
      </c>
      <c r="F683" s="1" t="s">
        <v>6</v>
      </c>
      <c r="G683" s="44">
        <f t="shared" si="20"/>
        <v>84</v>
      </c>
      <c r="H683" s="10" t="str">
        <f t="shared" si="21"/>
        <v>Saturday</v>
      </c>
    </row>
    <row r="684" spans="1:8">
      <c r="A684" s="9">
        <v>167923504</v>
      </c>
      <c r="B684" s="6">
        <v>44905</v>
      </c>
      <c r="C684" s="6">
        <v>44965</v>
      </c>
      <c r="D684" s="1" t="s">
        <v>7</v>
      </c>
      <c r="E684" s="1">
        <v>39</v>
      </c>
      <c r="F684" s="1" t="s">
        <v>6</v>
      </c>
      <c r="G684" s="44">
        <f t="shared" si="20"/>
        <v>60</v>
      </c>
      <c r="H684" s="10" t="str">
        <f t="shared" si="21"/>
        <v>Saturday</v>
      </c>
    </row>
    <row r="685" spans="1:8">
      <c r="A685" s="9">
        <v>167459469</v>
      </c>
      <c r="B685" s="6">
        <v>44905</v>
      </c>
      <c r="C685" s="6">
        <v>44940</v>
      </c>
      <c r="D685" s="1" t="s">
        <v>7</v>
      </c>
      <c r="E685" s="1">
        <v>39</v>
      </c>
      <c r="F685" s="1" t="s">
        <v>6</v>
      </c>
      <c r="G685" s="44">
        <f t="shared" si="20"/>
        <v>35</v>
      </c>
      <c r="H685" s="10" t="str">
        <f t="shared" si="21"/>
        <v>Saturday</v>
      </c>
    </row>
    <row r="686" spans="1:8">
      <c r="A686" s="9">
        <v>123169152</v>
      </c>
      <c r="B686" s="6">
        <v>44905</v>
      </c>
      <c r="C686" s="6">
        <v>44929</v>
      </c>
      <c r="D686" s="1" t="s">
        <v>7</v>
      </c>
      <c r="E686" s="1">
        <v>39</v>
      </c>
      <c r="F686" s="1" t="s">
        <v>6</v>
      </c>
      <c r="G686" s="44">
        <f t="shared" si="20"/>
        <v>24</v>
      </c>
      <c r="H686" s="10" t="str">
        <f t="shared" si="21"/>
        <v>Saturday</v>
      </c>
    </row>
    <row r="687" spans="1:8">
      <c r="A687" s="9">
        <v>153157541</v>
      </c>
      <c r="B687" s="6">
        <v>44906</v>
      </c>
      <c r="C687" s="1"/>
      <c r="D687" s="1" t="s">
        <v>7</v>
      </c>
      <c r="E687" s="1">
        <v>39</v>
      </c>
      <c r="F687" s="1" t="s">
        <v>6</v>
      </c>
      <c r="G687" s="44" t="str">
        <f t="shared" si="20"/>
        <v/>
      </c>
      <c r="H687" s="10" t="str">
        <f t="shared" si="21"/>
        <v>Sunday</v>
      </c>
    </row>
    <row r="688" spans="1:8">
      <c r="A688" s="9">
        <v>169133180</v>
      </c>
      <c r="B688" s="6">
        <v>44906</v>
      </c>
      <c r="C688" s="1"/>
      <c r="D688" s="1" t="s">
        <v>7</v>
      </c>
      <c r="E688" s="1">
        <v>39</v>
      </c>
      <c r="F688" s="1" t="s">
        <v>6</v>
      </c>
      <c r="G688" s="44" t="str">
        <f t="shared" si="20"/>
        <v/>
      </c>
      <c r="H688" s="10" t="str">
        <f t="shared" si="21"/>
        <v>Sunday</v>
      </c>
    </row>
    <row r="689" spans="1:8">
      <c r="A689" s="9">
        <v>129447970</v>
      </c>
      <c r="B689" s="6">
        <v>44906</v>
      </c>
      <c r="C689" s="6">
        <v>44907</v>
      </c>
      <c r="D689" s="1" t="s">
        <v>7</v>
      </c>
      <c r="E689" s="1">
        <v>39</v>
      </c>
      <c r="F689" s="1" t="s">
        <v>6</v>
      </c>
      <c r="G689" s="44">
        <f t="shared" si="20"/>
        <v>1</v>
      </c>
      <c r="H689" s="10" t="str">
        <f t="shared" si="21"/>
        <v>Sunday</v>
      </c>
    </row>
    <row r="690" spans="1:8">
      <c r="A690" s="9">
        <v>169388365</v>
      </c>
      <c r="B690" s="6">
        <v>44906</v>
      </c>
      <c r="C690" s="6">
        <v>45095</v>
      </c>
      <c r="D690" s="1" t="s">
        <v>7</v>
      </c>
      <c r="E690" s="1">
        <v>39</v>
      </c>
      <c r="F690" s="1" t="s">
        <v>6</v>
      </c>
      <c r="G690" s="44">
        <f t="shared" si="20"/>
        <v>189</v>
      </c>
      <c r="H690" s="10" t="str">
        <f t="shared" si="21"/>
        <v>Sunday</v>
      </c>
    </row>
    <row r="691" spans="1:8">
      <c r="A691" s="9">
        <v>130872019</v>
      </c>
      <c r="B691" s="6">
        <v>44906</v>
      </c>
      <c r="C691" s="6">
        <v>45027</v>
      </c>
      <c r="D691" s="1" t="s">
        <v>7</v>
      </c>
      <c r="E691" s="1">
        <v>39</v>
      </c>
      <c r="F691" s="1" t="s">
        <v>6</v>
      </c>
      <c r="G691" s="44">
        <f t="shared" si="20"/>
        <v>121</v>
      </c>
      <c r="H691" s="10" t="str">
        <f t="shared" si="21"/>
        <v>Sunday</v>
      </c>
    </row>
    <row r="692" spans="1:8">
      <c r="A692" s="9">
        <v>167674086</v>
      </c>
      <c r="B692" s="6">
        <v>44906</v>
      </c>
      <c r="C692" s="6">
        <v>45047</v>
      </c>
      <c r="D692" s="1" t="s">
        <v>7</v>
      </c>
      <c r="E692" s="1">
        <v>39</v>
      </c>
      <c r="F692" s="1" t="s">
        <v>6</v>
      </c>
      <c r="G692" s="44">
        <f t="shared" si="20"/>
        <v>141</v>
      </c>
      <c r="H692" s="10" t="str">
        <f t="shared" si="21"/>
        <v>Sunday</v>
      </c>
    </row>
    <row r="693" spans="1:8">
      <c r="A693" s="9">
        <v>169590994</v>
      </c>
      <c r="B693" s="6">
        <v>44906</v>
      </c>
      <c r="C693" s="6">
        <v>44983</v>
      </c>
      <c r="D693" s="1" t="s">
        <v>7</v>
      </c>
      <c r="E693" s="1">
        <v>39</v>
      </c>
      <c r="F693" s="1" t="s">
        <v>6</v>
      </c>
      <c r="G693" s="44">
        <f t="shared" si="20"/>
        <v>77</v>
      </c>
      <c r="H693" s="10" t="str">
        <f t="shared" si="21"/>
        <v>Sunday</v>
      </c>
    </row>
    <row r="694" spans="1:8">
      <c r="A694" s="9">
        <v>166199181</v>
      </c>
      <c r="B694" s="6">
        <v>44906</v>
      </c>
      <c r="C694" s="6">
        <v>44944</v>
      </c>
      <c r="D694" s="1" t="s">
        <v>7</v>
      </c>
      <c r="E694" s="1">
        <v>39</v>
      </c>
      <c r="F694" s="1" t="s">
        <v>6</v>
      </c>
      <c r="G694" s="44">
        <f t="shared" si="20"/>
        <v>38</v>
      </c>
      <c r="H694" s="10" t="str">
        <f t="shared" si="21"/>
        <v>Sunday</v>
      </c>
    </row>
    <row r="695" spans="1:8">
      <c r="A695" s="9">
        <v>169895510</v>
      </c>
      <c r="B695" s="6">
        <v>44907</v>
      </c>
      <c r="C695" s="1"/>
      <c r="D695" s="1" t="s">
        <v>7</v>
      </c>
      <c r="E695" s="1">
        <v>39</v>
      </c>
      <c r="F695" s="1" t="s">
        <v>6</v>
      </c>
      <c r="G695" s="44" t="str">
        <f t="shared" si="20"/>
        <v/>
      </c>
      <c r="H695" s="10" t="str">
        <f t="shared" si="21"/>
        <v>Monday</v>
      </c>
    </row>
    <row r="696" spans="1:8">
      <c r="A696" s="9">
        <v>169837410</v>
      </c>
      <c r="B696" s="6">
        <v>44907</v>
      </c>
      <c r="C696" s="1"/>
      <c r="D696" s="1" t="s">
        <v>7</v>
      </c>
      <c r="E696" s="1">
        <v>39</v>
      </c>
      <c r="F696" s="1" t="s">
        <v>6</v>
      </c>
      <c r="G696" s="44" t="str">
        <f t="shared" si="20"/>
        <v/>
      </c>
      <c r="H696" s="10" t="str">
        <f t="shared" si="21"/>
        <v>Monday</v>
      </c>
    </row>
    <row r="697" spans="1:8">
      <c r="A697" s="9">
        <v>169854397</v>
      </c>
      <c r="B697" s="6">
        <v>44907</v>
      </c>
      <c r="C697" s="1"/>
      <c r="D697" s="1" t="s">
        <v>8</v>
      </c>
      <c r="E697" s="1">
        <v>39</v>
      </c>
      <c r="F697" s="1" t="s">
        <v>6</v>
      </c>
      <c r="G697" s="44" t="str">
        <f t="shared" si="20"/>
        <v/>
      </c>
      <c r="H697" s="10" t="str">
        <f t="shared" si="21"/>
        <v>Monday</v>
      </c>
    </row>
    <row r="698" spans="1:8">
      <c r="A698" s="9">
        <v>145987169</v>
      </c>
      <c r="B698" s="6">
        <v>44907</v>
      </c>
      <c r="C698" s="6">
        <v>44953</v>
      </c>
      <c r="D698" s="1" t="s">
        <v>7</v>
      </c>
      <c r="E698" s="1">
        <v>39</v>
      </c>
      <c r="F698" s="1" t="s">
        <v>6</v>
      </c>
      <c r="G698" s="44">
        <f t="shared" si="20"/>
        <v>46</v>
      </c>
      <c r="H698" s="10" t="str">
        <f t="shared" si="21"/>
        <v>Monday</v>
      </c>
    </row>
    <row r="699" spans="1:8">
      <c r="A699" s="9">
        <v>169915574</v>
      </c>
      <c r="B699" s="6">
        <v>44907</v>
      </c>
      <c r="C699" s="6">
        <v>44998</v>
      </c>
      <c r="D699" s="1" t="s">
        <v>7</v>
      </c>
      <c r="E699" s="1">
        <v>39</v>
      </c>
      <c r="F699" s="1" t="s">
        <v>6</v>
      </c>
      <c r="G699" s="44">
        <f t="shared" si="20"/>
        <v>91</v>
      </c>
      <c r="H699" s="10" t="str">
        <f t="shared" si="21"/>
        <v>Monday</v>
      </c>
    </row>
    <row r="700" spans="1:8">
      <c r="A700" s="9">
        <v>164632485</v>
      </c>
      <c r="B700" s="6">
        <v>44907</v>
      </c>
      <c r="C700" s="6">
        <v>44992</v>
      </c>
      <c r="D700" s="1" t="s">
        <v>7</v>
      </c>
      <c r="E700" s="1">
        <v>39</v>
      </c>
      <c r="F700" s="1" t="s">
        <v>6</v>
      </c>
      <c r="G700" s="44">
        <f t="shared" si="20"/>
        <v>85</v>
      </c>
      <c r="H700" s="10" t="str">
        <f t="shared" si="21"/>
        <v>Monday</v>
      </c>
    </row>
    <row r="701" spans="1:8">
      <c r="A701" s="9">
        <v>169830063</v>
      </c>
      <c r="B701" s="6">
        <v>44907</v>
      </c>
      <c r="C701" s="6">
        <v>44956</v>
      </c>
      <c r="D701" s="1" t="s">
        <v>7</v>
      </c>
      <c r="E701" s="1">
        <v>39</v>
      </c>
      <c r="F701" s="1" t="s">
        <v>6</v>
      </c>
      <c r="G701" s="44">
        <f t="shared" si="20"/>
        <v>49</v>
      </c>
      <c r="H701" s="10" t="str">
        <f t="shared" si="21"/>
        <v>Monday</v>
      </c>
    </row>
    <row r="702" spans="1:8">
      <c r="A702" s="9">
        <v>162624984</v>
      </c>
      <c r="B702" s="6">
        <v>44907</v>
      </c>
      <c r="C702" s="6">
        <v>44949</v>
      </c>
      <c r="D702" s="1" t="s">
        <v>7</v>
      </c>
      <c r="E702" s="1">
        <v>39</v>
      </c>
      <c r="F702" s="1" t="s">
        <v>6</v>
      </c>
      <c r="G702" s="44">
        <f t="shared" si="20"/>
        <v>42</v>
      </c>
      <c r="H702" s="10" t="str">
        <f t="shared" si="21"/>
        <v>Monday</v>
      </c>
    </row>
    <row r="703" spans="1:8">
      <c r="A703" s="9">
        <v>169020452</v>
      </c>
      <c r="B703" s="6">
        <v>44907</v>
      </c>
      <c r="C703" s="6">
        <v>45147</v>
      </c>
      <c r="D703" s="1" t="s">
        <v>7</v>
      </c>
      <c r="E703" s="1">
        <v>39</v>
      </c>
      <c r="F703" s="1" t="s">
        <v>6</v>
      </c>
      <c r="G703" s="44">
        <f t="shared" si="20"/>
        <v>240</v>
      </c>
      <c r="H703" s="10" t="str">
        <f t="shared" si="21"/>
        <v>Monday</v>
      </c>
    </row>
    <row r="704" spans="1:8">
      <c r="A704" s="9">
        <v>170037760</v>
      </c>
      <c r="B704" s="6">
        <v>44908</v>
      </c>
      <c r="C704" s="1"/>
      <c r="D704" s="1" t="s">
        <v>7</v>
      </c>
      <c r="E704" s="1">
        <v>39</v>
      </c>
      <c r="F704" s="1" t="s">
        <v>6</v>
      </c>
      <c r="G704" s="44" t="str">
        <f t="shared" si="20"/>
        <v/>
      </c>
      <c r="H704" s="10" t="str">
        <f t="shared" si="21"/>
        <v>Tuesday</v>
      </c>
    </row>
    <row r="705" spans="1:8">
      <c r="A705" s="9">
        <v>116060198</v>
      </c>
      <c r="B705" s="6">
        <v>44908</v>
      </c>
      <c r="C705" s="6">
        <v>45005</v>
      </c>
      <c r="D705" s="1" t="s">
        <v>7</v>
      </c>
      <c r="E705" s="1">
        <v>39</v>
      </c>
      <c r="F705" s="1" t="s">
        <v>6</v>
      </c>
      <c r="G705" s="44">
        <f t="shared" si="20"/>
        <v>97</v>
      </c>
      <c r="H705" s="10" t="str">
        <f t="shared" si="21"/>
        <v>Tuesday</v>
      </c>
    </row>
    <row r="706" spans="1:8">
      <c r="A706" s="9">
        <v>129798657</v>
      </c>
      <c r="B706" s="6">
        <v>44908</v>
      </c>
      <c r="C706" s="6">
        <v>44998</v>
      </c>
      <c r="D706" s="1" t="s">
        <v>7</v>
      </c>
      <c r="E706" s="1">
        <v>39</v>
      </c>
      <c r="F706" s="1" t="s">
        <v>6</v>
      </c>
      <c r="G706" s="44">
        <f t="shared" si="20"/>
        <v>90</v>
      </c>
      <c r="H706" s="10" t="str">
        <f t="shared" si="21"/>
        <v>Tuesday</v>
      </c>
    </row>
    <row r="707" spans="1:8">
      <c r="A707" s="9">
        <v>170426615</v>
      </c>
      <c r="B707" s="6">
        <v>44908</v>
      </c>
      <c r="C707" s="6">
        <v>44970</v>
      </c>
      <c r="D707" s="1" t="s">
        <v>7</v>
      </c>
      <c r="E707" s="1">
        <v>39</v>
      </c>
      <c r="F707" s="1" t="s">
        <v>6</v>
      </c>
      <c r="G707" s="44">
        <f t="shared" ref="G707:G770" si="22">IF(C707="", "", DATEDIF(B707, C707, "D"))</f>
        <v>62</v>
      </c>
      <c r="H707" s="10" t="str">
        <f t="shared" ref="H707:H770" si="23">TEXT(B707, "dddd")</f>
        <v>Tuesday</v>
      </c>
    </row>
    <row r="708" spans="1:8">
      <c r="A708" s="9">
        <v>161574018</v>
      </c>
      <c r="B708" s="6">
        <v>44908</v>
      </c>
      <c r="C708" s="6">
        <v>44978</v>
      </c>
      <c r="D708" s="1" t="s">
        <v>7</v>
      </c>
      <c r="E708" s="1">
        <v>39</v>
      </c>
      <c r="F708" s="1" t="s">
        <v>6</v>
      </c>
      <c r="G708" s="44">
        <f t="shared" si="22"/>
        <v>70</v>
      </c>
      <c r="H708" s="10" t="str">
        <f t="shared" si="23"/>
        <v>Tuesday</v>
      </c>
    </row>
    <row r="709" spans="1:8">
      <c r="A709" s="9">
        <v>160272364</v>
      </c>
      <c r="B709" s="6">
        <v>44909</v>
      </c>
      <c r="C709" s="1"/>
      <c r="D709" s="1" t="s">
        <v>7</v>
      </c>
      <c r="E709" s="1">
        <v>39</v>
      </c>
      <c r="F709" s="1" t="s">
        <v>6</v>
      </c>
      <c r="G709" s="44" t="str">
        <f t="shared" si="22"/>
        <v/>
      </c>
      <c r="H709" s="10" t="str">
        <f t="shared" si="23"/>
        <v>Wednesday</v>
      </c>
    </row>
    <row r="710" spans="1:8">
      <c r="A710" s="9">
        <v>144938943</v>
      </c>
      <c r="B710" s="6">
        <v>44909</v>
      </c>
      <c r="C710" s="1"/>
      <c r="D710" s="1" t="s">
        <v>8</v>
      </c>
      <c r="E710" s="1">
        <v>39</v>
      </c>
      <c r="F710" s="1" t="s">
        <v>6</v>
      </c>
      <c r="G710" s="44" t="str">
        <f t="shared" si="22"/>
        <v/>
      </c>
      <c r="H710" s="10" t="str">
        <f t="shared" si="23"/>
        <v>Wednesday</v>
      </c>
    </row>
    <row r="711" spans="1:8">
      <c r="A711" s="9">
        <v>170004555</v>
      </c>
      <c r="B711" s="6">
        <v>44909</v>
      </c>
      <c r="C711" s="6">
        <v>44968</v>
      </c>
      <c r="D711" s="1" t="s">
        <v>7</v>
      </c>
      <c r="E711" s="1">
        <v>39</v>
      </c>
      <c r="F711" s="1" t="s">
        <v>6</v>
      </c>
      <c r="G711" s="44">
        <f t="shared" si="22"/>
        <v>59</v>
      </c>
      <c r="H711" s="10" t="str">
        <f t="shared" si="23"/>
        <v>Wednesday</v>
      </c>
    </row>
    <row r="712" spans="1:8">
      <c r="A712" s="9">
        <v>167673987</v>
      </c>
      <c r="B712" s="6">
        <v>44909</v>
      </c>
      <c r="C712" s="6">
        <v>44978</v>
      </c>
      <c r="D712" s="1" t="s">
        <v>7</v>
      </c>
      <c r="E712" s="1">
        <v>39</v>
      </c>
      <c r="F712" s="1" t="s">
        <v>6</v>
      </c>
      <c r="G712" s="44">
        <f t="shared" si="22"/>
        <v>69</v>
      </c>
      <c r="H712" s="10" t="str">
        <f t="shared" si="23"/>
        <v>Wednesday</v>
      </c>
    </row>
    <row r="713" spans="1:8">
      <c r="A713" s="9">
        <v>154448870</v>
      </c>
      <c r="B713" s="6">
        <v>44909</v>
      </c>
      <c r="C713" s="6">
        <v>44928</v>
      </c>
      <c r="D713" s="1" t="s">
        <v>7</v>
      </c>
      <c r="E713" s="1">
        <v>39</v>
      </c>
      <c r="F713" s="1" t="s">
        <v>6</v>
      </c>
      <c r="G713" s="44">
        <f t="shared" si="22"/>
        <v>19</v>
      </c>
      <c r="H713" s="10" t="str">
        <f t="shared" si="23"/>
        <v>Wednesday</v>
      </c>
    </row>
    <row r="714" spans="1:8">
      <c r="A714" s="9">
        <v>153508650</v>
      </c>
      <c r="B714" s="6">
        <v>44909</v>
      </c>
      <c r="C714" s="6">
        <v>44957</v>
      </c>
      <c r="D714" s="1" t="s">
        <v>7</v>
      </c>
      <c r="E714" s="1">
        <v>39</v>
      </c>
      <c r="F714" s="1" t="s">
        <v>6</v>
      </c>
      <c r="G714" s="44">
        <f t="shared" si="22"/>
        <v>48</v>
      </c>
      <c r="H714" s="10" t="str">
        <f t="shared" si="23"/>
        <v>Wednesday</v>
      </c>
    </row>
    <row r="715" spans="1:8">
      <c r="A715" s="9">
        <v>156521981</v>
      </c>
      <c r="B715" s="6">
        <v>44909</v>
      </c>
      <c r="C715" s="6">
        <v>44940</v>
      </c>
      <c r="D715" s="1" t="s">
        <v>7</v>
      </c>
      <c r="E715" s="1">
        <v>39</v>
      </c>
      <c r="F715" s="1" t="s">
        <v>6</v>
      </c>
      <c r="G715" s="44">
        <f t="shared" si="22"/>
        <v>31</v>
      </c>
      <c r="H715" s="10" t="str">
        <f t="shared" si="23"/>
        <v>Wednesday</v>
      </c>
    </row>
    <row r="716" spans="1:8">
      <c r="A716" s="9">
        <v>170897520</v>
      </c>
      <c r="B716" s="6">
        <v>44909</v>
      </c>
      <c r="C716" s="6">
        <v>45111</v>
      </c>
      <c r="D716" s="1" t="s">
        <v>7</v>
      </c>
      <c r="E716" s="1">
        <v>39</v>
      </c>
      <c r="F716" s="1" t="s">
        <v>6</v>
      </c>
      <c r="G716" s="44">
        <f t="shared" si="22"/>
        <v>202</v>
      </c>
      <c r="H716" s="10" t="str">
        <f t="shared" si="23"/>
        <v>Wednesday</v>
      </c>
    </row>
    <row r="717" spans="1:8">
      <c r="A717" s="9">
        <v>167076396</v>
      </c>
      <c r="B717" s="6">
        <v>44909</v>
      </c>
      <c r="C717" s="6">
        <v>45142</v>
      </c>
      <c r="D717" s="1" t="s">
        <v>7</v>
      </c>
      <c r="E717" s="1">
        <v>39</v>
      </c>
      <c r="F717" s="1" t="s">
        <v>6</v>
      </c>
      <c r="G717" s="44">
        <f t="shared" si="22"/>
        <v>233</v>
      </c>
      <c r="H717" s="10" t="str">
        <f t="shared" si="23"/>
        <v>Wednesday</v>
      </c>
    </row>
    <row r="718" spans="1:8">
      <c r="A718" s="9">
        <v>170968987</v>
      </c>
      <c r="B718" s="6">
        <v>44910</v>
      </c>
      <c r="C718" s="1"/>
      <c r="D718" s="1" t="s">
        <v>7</v>
      </c>
      <c r="E718" s="1">
        <v>39</v>
      </c>
      <c r="F718" s="1" t="s">
        <v>6</v>
      </c>
      <c r="G718" s="44" t="str">
        <f t="shared" si="22"/>
        <v/>
      </c>
      <c r="H718" s="10" t="str">
        <f t="shared" si="23"/>
        <v>Thursday</v>
      </c>
    </row>
    <row r="719" spans="1:8">
      <c r="A719" s="9">
        <v>170154956</v>
      </c>
      <c r="B719" s="6">
        <v>44910</v>
      </c>
      <c r="C719" s="6">
        <v>45034</v>
      </c>
      <c r="D719" s="1" t="s">
        <v>7</v>
      </c>
      <c r="E719" s="1">
        <v>39</v>
      </c>
      <c r="F719" s="1" t="s">
        <v>6</v>
      </c>
      <c r="G719" s="44">
        <f t="shared" si="22"/>
        <v>124</v>
      </c>
      <c r="H719" s="10" t="str">
        <f t="shared" si="23"/>
        <v>Thursday</v>
      </c>
    </row>
    <row r="720" spans="1:8">
      <c r="A720" s="9">
        <v>170976924</v>
      </c>
      <c r="B720" s="6">
        <v>44910</v>
      </c>
      <c r="C720" s="6">
        <v>45076</v>
      </c>
      <c r="D720" s="1" t="s">
        <v>7</v>
      </c>
      <c r="E720" s="1">
        <v>39</v>
      </c>
      <c r="F720" s="1" t="s">
        <v>6</v>
      </c>
      <c r="G720" s="44">
        <f t="shared" si="22"/>
        <v>166</v>
      </c>
      <c r="H720" s="10" t="str">
        <f t="shared" si="23"/>
        <v>Thursday</v>
      </c>
    </row>
    <row r="721" spans="1:8">
      <c r="A721" s="9">
        <v>171090027</v>
      </c>
      <c r="B721" s="6">
        <v>44910</v>
      </c>
      <c r="C721" s="6">
        <v>44999</v>
      </c>
      <c r="D721" s="1" t="s">
        <v>7</v>
      </c>
      <c r="E721" s="1">
        <v>39</v>
      </c>
      <c r="F721" s="1" t="s">
        <v>6</v>
      </c>
      <c r="G721" s="44">
        <f t="shared" si="22"/>
        <v>89</v>
      </c>
      <c r="H721" s="10" t="str">
        <f t="shared" si="23"/>
        <v>Thursday</v>
      </c>
    </row>
    <row r="722" spans="1:8">
      <c r="A722" s="9">
        <v>167135160</v>
      </c>
      <c r="B722" s="6">
        <v>44910</v>
      </c>
      <c r="C722" s="6">
        <v>44944</v>
      </c>
      <c r="D722" s="1" t="s">
        <v>7</v>
      </c>
      <c r="E722" s="1">
        <v>39</v>
      </c>
      <c r="F722" s="1" t="s">
        <v>6</v>
      </c>
      <c r="G722" s="44">
        <f t="shared" si="22"/>
        <v>34</v>
      </c>
      <c r="H722" s="10" t="str">
        <f t="shared" si="23"/>
        <v>Thursday</v>
      </c>
    </row>
    <row r="723" spans="1:8">
      <c r="A723" s="9">
        <v>171339244</v>
      </c>
      <c r="B723" s="6">
        <v>44910</v>
      </c>
      <c r="C723" s="6">
        <v>44910</v>
      </c>
      <c r="D723" s="1" t="s">
        <v>7</v>
      </c>
      <c r="E723" s="1">
        <v>39</v>
      </c>
      <c r="F723" s="1" t="s">
        <v>6</v>
      </c>
      <c r="G723" s="44">
        <f t="shared" si="22"/>
        <v>0</v>
      </c>
      <c r="H723" s="10" t="str">
        <f t="shared" si="23"/>
        <v>Thursday</v>
      </c>
    </row>
    <row r="724" spans="1:8">
      <c r="A724" s="9">
        <v>169285280</v>
      </c>
      <c r="B724" s="6">
        <v>44911</v>
      </c>
      <c r="C724" s="6">
        <v>44912</v>
      </c>
      <c r="D724" s="1" t="s">
        <v>8</v>
      </c>
      <c r="E724" s="1">
        <v>39</v>
      </c>
      <c r="F724" s="1" t="s">
        <v>6</v>
      </c>
      <c r="G724" s="44">
        <f t="shared" si="22"/>
        <v>1</v>
      </c>
      <c r="H724" s="10" t="str">
        <f t="shared" si="23"/>
        <v>Friday</v>
      </c>
    </row>
    <row r="725" spans="1:8">
      <c r="A725" s="9">
        <v>137315832</v>
      </c>
      <c r="B725" s="6">
        <v>44911</v>
      </c>
      <c r="C725" s="6">
        <v>45008</v>
      </c>
      <c r="D725" s="1" t="s">
        <v>7</v>
      </c>
      <c r="E725" s="1">
        <v>39</v>
      </c>
      <c r="F725" s="1" t="s">
        <v>6</v>
      </c>
      <c r="G725" s="44">
        <f t="shared" si="22"/>
        <v>97</v>
      </c>
      <c r="H725" s="10" t="str">
        <f t="shared" si="23"/>
        <v>Friday</v>
      </c>
    </row>
    <row r="726" spans="1:8">
      <c r="A726" s="9">
        <v>171286538</v>
      </c>
      <c r="B726" s="6">
        <v>44911</v>
      </c>
      <c r="C726" s="6">
        <v>45029</v>
      </c>
      <c r="D726" s="1" t="s">
        <v>7</v>
      </c>
      <c r="E726" s="1">
        <v>39</v>
      </c>
      <c r="F726" s="1" t="s">
        <v>6</v>
      </c>
      <c r="G726" s="44">
        <f t="shared" si="22"/>
        <v>118</v>
      </c>
      <c r="H726" s="10" t="str">
        <f t="shared" si="23"/>
        <v>Friday</v>
      </c>
    </row>
    <row r="727" spans="1:8">
      <c r="A727" s="9">
        <v>154531106</v>
      </c>
      <c r="B727" s="6">
        <v>44911</v>
      </c>
      <c r="C727" s="6">
        <v>45030</v>
      </c>
      <c r="D727" s="1" t="s">
        <v>7</v>
      </c>
      <c r="E727" s="1">
        <v>39</v>
      </c>
      <c r="F727" s="1" t="s">
        <v>6</v>
      </c>
      <c r="G727" s="44">
        <f t="shared" si="22"/>
        <v>119</v>
      </c>
      <c r="H727" s="10" t="str">
        <f t="shared" si="23"/>
        <v>Friday</v>
      </c>
    </row>
    <row r="728" spans="1:8">
      <c r="A728" s="9">
        <v>169998988</v>
      </c>
      <c r="B728" s="6">
        <v>44911</v>
      </c>
      <c r="C728" s="6">
        <v>45063</v>
      </c>
      <c r="D728" s="1" t="s">
        <v>7</v>
      </c>
      <c r="E728" s="1">
        <v>39</v>
      </c>
      <c r="F728" s="1" t="s">
        <v>6</v>
      </c>
      <c r="G728" s="44">
        <f t="shared" si="22"/>
        <v>152</v>
      </c>
      <c r="H728" s="10" t="str">
        <f t="shared" si="23"/>
        <v>Friday</v>
      </c>
    </row>
    <row r="729" spans="1:8">
      <c r="A729" s="9">
        <v>171860036</v>
      </c>
      <c r="B729" s="6">
        <v>44911</v>
      </c>
      <c r="C729" s="6">
        <v>45003</v>
      </c>
      <c r="D729" s="1" t="s">
        <v>7</v>
      </c>
      <c r="E729" s="1">
        <v>39</v>
      </c>
      <c r="F729" s="1" t="s">
        <v>6</v>
      </c>
      <c r="G729" s="44">
        <f t="shared" si="22"/>
        <v>92</v>
      </c>
      <c r="H729" s="10" t="str">
        <f t="shared" si="23"/>
        <v>Friday</v>
      </c>
    </row>
    <row r="730" spans="1:8">
      <c r="A730" s="9">
        <v>169906376</v>
      </c>
      <c r="B730" s="6">
        <v>44911</v>
      </c>
      <c r="C730" s="6">
        <v>44970</v>
      </c>
      <c r="D730" s="1" t="s">
        <v>7</v>
      </c>
      <c r="E730" s="1">
        <v>39</v>
      </c>
      <c r="F730" s="1" t="s">
        <v>6</v>
      </c>
      <c r="G730" s="44">
        <f t="shared" si="22"/>
        <v>59</v>
      </c>
      <c r="H730" s="10" t="str">
        <f t="shared" si="23"/>
        <v>Friday</v>
      </c>
    </row>
    <row r="731" spans="1:8">
      <c r="A731" s="9">
        <v>171681744</v>
      </c>
      <c r="B731" s="6">
        <v>44911</v>
      </c>
      <c r="C731" s="6">
        <v>44979</v>
      </c>
      <c r="D731" s="1" t="s">
        <v>7</v>
      </c>
      <c r="E731" s="1">
        <v>39</v>
      </c>
      <c r="F731" s="1" t="s">
        <v>6</v>
      </c>
      <c r="G731" s="44">
        <f t="shared" si="22"/>
        <v>68</v>
      </c>
      <c r="H731" s="10" t="str">
        <f t="shared" si="23"/>
        <v>Friday</v>
      </c>
    </row>
    <row r="732" spans="1:8">
      <c r="A732" s="9">
        <v>171375108</v>
      </c>
      <c r="B732" s="6">
        <v>44911</v>
      </c>
      <c r="C732" s="6">
        <v>44942</v>
      </c>
      <c r="D732" s="1" t="s">
        <v>7</v>
      </c>
      <c r="E732" s="1">
        <v>39</v>
      </c>
      <c r="F732" s="1" t="s">
        <v>6</v>
      </c>
      <c r="G732" s="44">
        <f t="shared" si="22"/>
        <v>31</v>
      </c>
      <c r="H732" s="10" t="str">
        <f t="shared" si="23"/>
        <v>Friday</v>
      </c>
    </row>
    <row r="733" spans="1:8">
      <c r="A733" s="9">
        <v>166358674</v>
      </c>
      <c r="B733" s="6">
        <v>44911</v>
      </c>
      <c r="C733" s="6">
        <v>44949</v>
      </c>
      <c r="D733" s="1" t="s">
        <v>7</v>
      </c>
      <c r="E733" s="1">
        <v>39</v>
      </c>
      <c r="F733" s="1" t="s">
        <v>6</v>
      </c>
      <c r="G733" s="44">
        <f t="shared" si="22"/>
        <v>38</v>
      </c>
      <c r="H733" s="10" t="str">
        <f t="shared" si="23"/>
        <v>Friday</v>
      </c>
    </row>
    <row r="734" spans="1:8">
      <c r="A734" s="9">
        <v>168696864</v>
      </c>
      <c r="B734" s="6">
        <v>44912</v>
      </c>
      <c r="C734" s="6">
        <v>44913</v>
      </c>
      <c r="D734" s="1" t="s">
        <v>7</v>
      </c>
      <c r="E734" s="1">
        <v>39</v>
      </c>
      <c r="F734" s="1" t="s">
        <v>6</v>
      </c>
      <c r="G734" s="44">
        <f t="shared" si="22"/>
        <v>1</v>
      </c>
      <c r="H734" s="10" t="str">
        <f t="shared" si="23"/>
        <v>Saturday</v>
      </c>
    </row>
    <row r="735" spans="1:8">
      <c r="A735" s="9">
        <v>149303812</v>
      </c>
      <c r="B735" s="6">
        <v>44912</v>
      </c>
      <c r="C735" s="6">
        <v>44977</v>
      </c>
      <c r="D735" s="1" t="s">
        <v>7</v>
      </c>
      <c r="E735" s="1">
        <v>39</v>
      </c>
      <c r="F735" s="1" t="s">
        <v>6</v>
      </c>
      <c r="G735" s="44">
        <f t="shared" si="22"/>
        <v>65</v>
      </c>
      <c r="H735" s="10" t="str">
        <f t="shared" si="23"/>
        <v>Saturday</v>
      </c>
    </row>
    <row r="736" spans="1:8">
      <c r="A736" s="9">
        <v>145969392</v>
      </c>
      <c r="B736" s="6">
        <v>44912</v>
      </c>
      <c r="C736" s="6">
        <v>44958</v>
      </c>
      <c r="D736" s="1" t="s">
        <v>7</v>
      </c>
      <c r="E736" s="1">
        <v>39</v>
      </c>
      <c r="F736" s="1" t="s">
        <v>6</v>
      </c>
      <c r="G736" s="44">
        <f t="shared" si="22"/>
        <v>46</v>
      </c>
      <c r="H736" s="10" t="str">
        <f t="shared" si="23"/>
        <v>Saturday</v>
      </c>
    </row>
    <row r="737" spans="1:8">
      <c r="A737" s="9">
        <v>169399624</v>
      </c>
      <c r="B737" s="6">
        <v>44912</v>
      </c>
      <c r="C737" s="6">
        <v>44967</v>
      </c>
      <c r="D737" s="1" t="s">
        <v>7</v>
      </c>
      <c r="E737" s="1">
        <v>39</v>
      </c>
      <c r="F737" s="1" t="s">
        <v>6</v>
      </c>
      <c r="G737" s="44">
        <f t="shared" si="22"/>
        <v>55</v>
      </c>
      <c r="H737" s="10" t="str">
        <f t="shared" si="23"/>
        <v>Saturday</v>
      </c>
    </row>
    <row r="738" spans="1:8">
      <c r="A738" s="9">
        <v>162423643</v>
      </c>
      <c r="B738" s="6">
        <v>44912</v>
      </c>
      <c r="C738" s="6">
        <v>44912</v>
      </c>
      <c r="D738" s="1" t="s">
        <v>7</v>
      </c>
      <c r="E738" s="1">
        <v>39</v>
      </c>
      <c r="F738" s="1" t="s">
        <v>6</v>
      </c>
      <c r="G738" s="44">
        <f t="shared" si="22"/>
        <v>0</v>
      </c>
      <c r="H738" s="10" t="str">
        <f t="shared" si="23"/>
        <v>Saturday</v>
      </c>
    </row>
    <row r="739" spans="1:8">
      <c r="A739" s="9">
        <v>171131528</v>
      </c>
      <c r="B739" s="6">
        <v>44913</v>
      </c>
      <c r="C739" s="1"/>
      <c r="D739" s="1" t="s">
        <v>7</v>
      </c>
      <c r="E739" s="1">
        <v>39</v>
      </c>
      <c r="F739" s="1" t="s">
        <v>6</v>
      </c>
      <c r="G739" s="44" t="str">
        <f t="shared" si="22"/>
        <v/>
      </c>
      <c r="H739" s="10" t="str">
        <f t="shared" si="23"/>
        <v>Sunday</v>
      </c>
    </row>
    <row r="740" spans="1:8">
      <c r="A740" s="9">
        <v>172370430</v>
      </c>
      <c r="B740" s="6">
        <v>44913</v>
      </c>
      <c r="C740" s="6">
        <v>44914</v>
      </c>
      <c r="D740" s="1" t="s">
        <v>8</v>
      </c>
      <c r="E740" s="1">
        <v>39</v>
      </c>
      <c r="F740" s="1" t="s">
        <v>6</v>
      </c>
      <c r="G740" s="44">
        <f t="shared" si="22"/>
        <v>1</v>
      </c>
      <c r="H740" s="10" t="str">
        <f t="shared" si="23"/>
        <v>Sunday</v>
      </c>
    </row>
    <row r="741" spans="1:8">
      <c r="A741" s="9">
        <v>122646091</v>
      </c>
      <c r="B741" s="6">
        <v>44913</v>
      </c>
      <c r="C741" s="6">
        <v>45006</v>
      </c>
      <c r="D741" s="1" t="s">
        <v>7</v>
      </c>
      <c r="E741" s="1">
        <v>39</v>
      </c>
      <c r="F741" s="1" t="s">
        <v>6</v>
      </c>
      <c r="G741" s="44">
        <f t="shared" si="22"/>
        <v>93</v>
      </c>
      <c r="H741" s="10" t="str">
        <f t="shared" si="23"/>
        <v>Sunday</v>
      </c>
    </row>
    <row r="742" spans="1:8">
      <c r="A742" s="9">
        <v>171688728</v>
      </c>
      <c r="B742" s="6">
        <v>44913</v>
      </c>
      <c r="C742" s="6">
        <v>44939</v>
      </c>
      <c r="D742" s="1" t="s">
        <v>7</v>
      </c>
      <c r="E742" s="1">
        <v>39</v>
      </c>
      <c r="F742" s="1" t="s">
        <v>6</v>
      </c>
      <c r="G742" s="44">
        <f t="shared" si="22"/>
        <v>26</v>
      </c>
      <c r="H742" s="10" t="str">
        <f t="shared" si="23"/>
        <v>Sunday</v>
      </c>
    </row>
    <row r="743" spans="1:8">
      <c r="A743" s="9">
        <v>173037778</v>
      </c>
      <c r="B743" s="6">
        <v>44913</v>
      </c>
      <c r="C743" s="6">
        <v>44953</v>
      </c>
      <c r="D743" s="1" t="s">
        <v>7</v>
      </c>
      <c r="E743" s="1">
        <v>39</v>
      </c>
      <c r="F743" s="1" t="s">
        <v>6</v>
      </c>
      <c r="G743" s="44">
        <f t="shared" si="22"/>
        <v>40</v>
      </c>
      <c r="H743" s="10" t="str">
        <f t="shared" si="23"/>
        <v>Sunday</v>
      </c>
    </row>
    <row r="744" spans="1:8">
      <c r="A744" s="9">
        <v>139247241</v>
      </c>
      <c r="B744" s="6">
        <v>44913</v>
      </c>
      <c r="C744" s="6">
        <v>44933</v>
      </c>
      <c r="D744" s="1" t="s">
        <v>7</v>
      </c>
      <c r="E744" s="1">
        <v>39</v>
      </c>
      <c r="F744" s="1" t="s">
        <v>6</v>
      </c>
      <c r="G744" s="44">
        <f t="shared" si="22"/>
        <v>20</v>
      </c>
      <c r="H744" s="10" t="str">
        <f t="shared" si="23"/>
        <v>Sunday</v>
      </c>
    </row>
    <row r="745" spans="1:8">
      <c r="A745" s="9">
        <v>138235674</v>
      </c>
      <c r="B745" s="6">
        <v>44914</v>
      </c>
      <c r="C745" s="1"/>
      <c r="D745" s="1" t="s">
        <v>7</v>
      </c>
      <c r="E745" s="1">
        <v>39</v>
      </c>
      <c r="F745" s="1" t="s">
        <v>6</v>
      </c>
      <c r="G745" s="44" t="str">
        <f t="shared" si="22"/>
        <v/>
      </c>
      <c r="H745" s="10" t="str">
        <f t="shared" si="23"/>
        <v>Monday</v>
      </c>
    </row>
    <row r="746" spans="1:8">
      <c r="A746" s="9">
        <v>173832314</v>
      </c>
      <c r="B746" s="6">
        <v>44914</v>
      </c>
      <c r="C746" s="6">
        <v>44983</v>
      </c>
      <c r="D746" s="1" t="s">
        <v>7</v>
      </c>
      <c r="E746" s="1">
        <v>39</v>
      </c>
      <c r="F746" s="1" t="s">
        <v>6</v>
      </c>
      <c r="G746" s="44">
        <f t="shared" si="22"/>
        <v>69</v>
      </c>
      <c r="H746" s="10" t="str">
        <f t="shared" si="23"/>
        <v>Monday</v>
      </c>
    </row>
    <row r="747" spans="1:8">
      <c r="A747" s="9">
        <v>170752898</v>
      </c>
      <c r="B747" s="6">
        <v>44914</v>
      </c>
      <c r="C747" s="6">
        <v>44980</v>
      </c>
      <c r="D747" s="1" t="s">
        <v>7</v>
      </c>
      <c r="E747" s="1">
        <v>39</v>
      </c>
      <c r="F747" s="1" t="s">
        <v>6</v>
      </c>
      <c r="G747" s="44">
        <f t="shared" si="22"/>
        <v>66</v>
      </c>
      <c r="H747" s="10" t="str">
        <f t="shared" si="23"/>
        <v>Monday</v>
      </c>
    </row>
    <row r="748" spans="1:8">
      <c r="A748" s="9">
        <v>172517999</v>
      </c>
      <c r="B748" s="6">
        <v>44914</v>
      </c>
      <c r="C748" s="6">
        <v>44952</v>
      </c>
      <c r="D748" s="1" t="s">
        <v>7</v>
      </c>
      <c r="E748" s="1">
        <v>39</v>
      </c>
      <c r="F748" s="1" t="s">
        <v>6</v>
      </c>
      <c r="G748" s="44">
        <f t="shared" si="22"/>
        <v>38</v>
      </c>
      <c r="H748" s="10" t="str">
        <f t="shared" si="23"/>
        <v>Monday</v>
      </c>
    </row>
    <row r="749" spans="1:8">
      <c r="A749" s="9">
        <v>150779000</v>
      </c>
      <c r="B749" s="6">
        <v>44914</v>
      </c>
      <c r="C749" s="6">
        <v>44928</v>
      </c>
      <c r="D749" s="1" t="s">
        <v>7</v>
      </c>
      <c r="E749" s="1">
        <v>39</v>
      </c>
      <c r="F749" s="1" t="s">
        <v>6</v>
      </c>
      <c r="G749" s="44">
        <f t="shared" si="22"/>
        <v>14</v>
      </c>
      <c r="H749" s="10" t="str">
        <f t="shared" si="23"/>
        <v>Monday</v>
      </c>
    </row>
    <row r="750" spans="1:8">
      <c r="A750" s="9">
        <v>171304646</v>
      </c>
      <c r="B750" s="6">
        <v>44914</v>
      </c>
      <c r="C750" s="6">
        <v>45164</v>
      </c>
      <c r="D750" s="1" t="s">
        <v>7</v>
      </c>
      <c r="E750" s="1">
        <v>39</v>
      </c>
      <c r="F750" s="1" t="s">
        <v>6</v>
      </c>
      <c r="G750" s="44">
        <f t="shared" si="22"/>
        <v>250</v>
      </c>
      <c r="H750" s="10" t="str">
        <f t="shared" si="23"/>
        <v>Monday</v>
      </c>
    </row>
    <row r="751" spans="1:8">
      <c r="A751" s="9">
        <v>168696864</v>
      </c>
      <c r="B751" s="6">
        <v>44915</v>
      </c>
      <c r="C751" s="1"/>
      <c r="D751" s="1" t="s">
        <v>7</v>
      </c>
      <c r="E751" s="1">
        <v>39</v>
      </c>
      <c r="F751" s="1" t="s">
        <v>6</v>
      </c>
      <c r="G751" s="44" t="str">
        <f t="shared" si="22"/>
        <v/>
      </c>
      <c r="H751" s="10" t="str">
        <f t="shared" si="23"/>
        <v>Tuesday</v>
      </c>
    </row>
    <row r="752" spans="1:8">
      <c r="A752" s="9">
        <v>174268714</v>
      </c>
      <c r="B752" s="6">
        <v>44915</v>
      </c>
      <c r="C752" s="1"/>
      <c r="D752" s="1" t="s">
        <v>7</v>
      </c>
      <c r="E752" s="1">
        <v>39</v>
      </c>
      <c r="F752" s="1" t="s">
        <v>6</v>
      </c>
      <c r="G752" s="44" t="str">
        <f t="shared" si="22"/>
        <v/>
      </c>
      <c r="H752" s="10" t="str">
        <f t="shared" si="23"/>
        <v>Tuesday</v>
      </c>
    </row>
    <row r="753" spans="1:8">
      <c r="A753" s="9">
        <v>147022677</v>
      </c>
      <c r="B753" s="6">
        <v>44915</v>
      </c>
      <c r="C753" s="1"/>
      <c r="D753" s="1" t="s">
        <v>7</v>
      </c>
      <c r="E753" s="1">
        <v>39</v>
      </c>
      <c r="F753" s="1" t="s">
        <v>6</v>
      </c>
      <c r="G753" s="44" t="str">
        <f t="shared" si="22"/>
        <v/>
      </c>
      <c r="H753" s="10" t="str">
        <f t="shared" si="23"/>
        <v>Tuesday</v>
      </c>
    </row>
    <row r="754" spans="1:8">
      <c r="A754" s="9">
        <v>156864062</v>
      </c>
      <c r="B754" s="6">
        <v>44915</v>
      </c>
      <c r="C754" s="6">
        <v>44916</v>
      </c>
      <c r="D754" s="1" t="s">
        <v>8</v>
      </c>
      <c r="E754" s="1">
        <v>39</v>
      </c>
      <c r="F754" s="1" t="s">
        <v>6</v>
      </c>
      <c r="G754" s="44">
        <f t="shared" si="22"/>
        <v>1</v>
      </c>
      <c r="H754" s="10" t="str">
        <f t="shared" si="23"/>
        <v>Tuesday</v>
      </c>
    </row>
    <row r="755" spans="1:8">
      <c r="A755" s="9">
        <v>123065349</v>
      </c>
      <c r="B755" s="6">
        <v>44915</v>
      </c>
      <c r="C755" s="6">
        <v>45012</v>
      </c>
      <c r="D755" s="1" t="s">
        <v>7</v>
      </c>
      <c r="E755" s="1">
        <v>39</v>
      </c>
      <c r="F755" s="1" t="s">
        <v>6</v>
      </c>
      <c r="G755" s="44">
        <f t="shared" si="22"/>
        <v>97</v>
      </c>
      <c r="H755" s="10" t="str">
        <f t="shared" si="23"/>
        <v>Tuesday</v>
      </c>
    </row>
    <row r="756" spans="1:8">
      <c r="A756" s="9">
        <v>174258180</v>
      </c>
      <c r="B756" s="6">
        <v>44915</v>
      </c>
      <c r="C756" s="6">
        <v>45045</v>
      </c>
      <c r="D756" s="1" t="s">
        <v>7</v>
      </c>
      <c r="E756" s="1">
        <v>39</v>
      </c>
      <c r="F756" s="1" t="s">
        <v>6</v>
      </c>
      <c r="G756" s="44">
        <f t="shared" si="22"/>
        <v>130</v>
      </c>
      <c r="H756" s="10" t="str">
        <f t="shared" si="23"/>
        <v>Tuesday</v>
      </c>
    </row>
    <row r="757" spans="1:8">
      <c r="A757" s="9">
        <v>174269667</v>
      </c>
      <c r="B757" s="6">
        <v>44915</v>
      </c>
      <c r="C757" s="6">
        <v>44988</v>
      </c>
      <c r="D757" s="1" t="s">
        <v>7</v>
      </c>
      <c r="E757" s="1">
        <v>39</v>
      </c>
      <c r="F757" s="1" t="s">
        <v>6</v>
      </c>
      <c r="G757" s="44">
        <f t="shared" si="22"/>
        <v>73</v>
      </c>
      <c r="H757" s="10" t="str">
        <f t="shared" si="23"/>
        <v>Tuesday</v>
      </c>
    </row>
    <row r="758" spans="1:8">
      <c r="A758" s="9">
        <v>171889946</v>
      </c>
      <c r="B758" s="6">
        <v>44915</v>
      </c>
      <c r="C758" s="6">
        <v>44967</v>
      </c>
      <c r="D758" s="1" t="s">
        <v>7</v>
      </c>
      <c r="E758" s="1">
        <v>39</v>
      </c>
      <c r="F758" s="1" t="s">
        <v>6</v>
      </c>
      <c r="G758" s="44">
        <f t="shared" si="22"/>
        <v>52</v>
      </c>
      <c r="H758" s="10" t="str">
        <f t="shared" si="23"/>
        <v>Tuesday</v>
      </c>
    </row>
    <row r="759" spans="1:8">
      <c r="A759" s="9">
        <v>171613468</v>
      </c>
      <c r="B759" s="6">
        <v>44915</v>
      </c>
      <c r="C759" s="6">
        <v>44979</v>
      </c>
      <c r="D759" s="1" t="s">
        <v>7</v>
      </c>
      <c r="E759" s="1">
        <v>39</v>
      </c>
      <c r="F759" s="1" t="s">
        <v>6</v>
      </c>
      <c r="G759" s="44">
        <f t="shared" si="22"/>
        <v>64</v>
      </c>
      <c r="H759" s="10" t="str">
        <f t="shared" si="23"/>
        <v>Tuesday</v>
      </c>
    </row>
    <row r="760" spans="1:8">
      <c r="A760" s="9">
        <v>122922737</v>
      </c>
      <c r="B760" s="6">
        <v>44916</v>
      </c>
      <c r="C760" s="1"/>
      <c r="D760" s="1" t="s">
        <v>7</v>
      </c>
      <c r="E760" s="1">
        <v>39</v>
      </c>
      <c r="F760" s="1" t="s">
        <v>6</v>
      </c>
      <c r="G760" s="44" t="str">
        <f t="shared" si="22"/>
        <v/>
      </c>
      <c r="H760" s="10" t="str">
        <f t="shared" si="23"/>
        <v>Wednesday</v>
      </c>
    </row>
    <row r="761" spans="1:8">
      <c r="A761" s="9">
        <v>174646924</v>
      </c>
      <c r="B761" s="6">
        <v>44916</v>
      </c>
      <c r="C761" s="6">
        <v>45013</v>
      </c>
      <c r="D761" s="1" t="s">
        <v>7</v>
      </c>
      <c r="E761" s="1">
        <v>39</v>
      </c>
      <c r="F761" s="1" t="s">
        <v>6</v>
      </c>
      <c r="G761" s="44">
        <f t="shared" si="22"/>
        <v>97</v>
      </c>
      <c r="H761" s="10" t="str">
        <f t="shared" si="23"/>
        <v>Wednesday</v>
      </c>
    </row>
    <row r="762" spans="1:8">
      <c r="A762" s="9">
        <v>174264280</v>
      </c>
      <c r="B762" s="6">
        <v>44916</v>
      </c>
      <c r="C762" s="6">
        <v>45013</v>
      </c>
      <c r="D762" s="1" t="s">
        <v>7</v>
      </c>
      <c r="E762" s="1">
        <v>39</v>
      </c>
      <c r="F762" s="1" t="s">
        <v>6</v>
      </c>
      <c r="G762" s="44">
        <f t="shared" si="22"/>
        <v>97</v>
      </c>
      <c r="H762" s="10" t="str">
        <f t="shared" si="23"/>
        <v>Wednesday</v>
      </c>
    </row>
    <row r="763" spans="1:8">
      <c r="A763" s="9">
        <v>174609120</v>
      </c>
      <c r="B763" s="6">
        <v>44916</v>
      </c>
      <c r="C763" s="6">
        <v>45003</v>
      </c>
      <c r="D763" s="1" t="s">
        <v>7</v>
      </c>
      <c r="E763" s="1">
        <v>39</v>
      </c>
      <c r="F763" s="1" t="s">
        <v>6</v>
      </c>
      <c r="G763" s="44">
        <f t="shared" si="22"/>
        <v>87</v>
      </c>
      <c r="H763" s="10" t="str">
        <f t="shared" si="23"/>
        <v>Wednesday</v>
      </c>
    </row>
    <row r="764" spans="1:8">
      <c r="A764" s="9">
        <v>174158995</v>
      </c>
      <c r="B764" s="6">
        <v>44916</v>
      </c>
      <c r="C764" s="6">
        <v>44982</v>
      </c>
      <c r="D764" s="1" t="s">
        <v>7</v>
      </c>
      <c r="E764" s="1">
        <v>39</v>
      </c>
      <c r="F764" s="1" t="s">
        <v>6</v>
      </c>
      <c r="G764" s="44">
        <f t="shared" si="22"/>
        <v>66</v>
      </c>
      <c r="H764" s="10" t="str">
        <f t="shared" si="23"/>
        <v>Wednesday</v>
      </c>
    </row>
    <row r="765" spans="1:8">
      <c r="A765" s="9">
        <v>174484311</v>
      </c>
      <c r="B765" s="6">
        <v>44916</v>
      </c>
      <c r="C765" s="6">
        <v>44982</v>
      </c>
      <c r="D765" s="1" t="s">
        <v>7</v>
      </c>
      <c r="E765" s="1">
        <v>39</v>
      </c>
      <c r="F765" s="1" t="s">
        <v>6</v>
      </c>
      <c r="G765" s="44">
        <f t="shared" si="22"/>
        <v>66</v>
      </c>
      <c r="H765" s="10" t="str">
        <f t="shared" si="23"/>
        <v>Wednesday</v>
      </c>
    </row>
    <row r="766" spans="1:8">
      <c r="A766" s="9">
        <v>169556175</v>
      </c>
      <c r="B766" s="6">
        <v>44916</v>
      </c>
      <c r="C766" s="6">
        <v>44948</v>
      </c>
      <c r="D766" s="1" t="s">
        <v>7</v>
      </c>
      <c r="E766" s="1">
        <v>39</v>
      </c>
      <c r="F766" s="1" t="s">
        <v>6</v>
      </c>
      <c r="G766" s="44">
        <f t="shared" si="22"/>
        <v>32</v>
      </c>
      <c r="H766" s="10" t="str">
        <f t="shared" si="23"/>
        <v>Wednesday</v>
      </c>
    </row>
    <row r="767" spans="1:8">
      <c r="A767" s="9">
        <v>153122282</v>
      </c>
      <c r="B767" s="6">
        <v>44916</v>
      </c>
      <c r="C767" s="6">
        <v>44916</v>
      </c>
      <c r="D767" s="1" t="s">
        <v>7</v>
      </c>
      <c r="E767" s="1">
        <v>39</v>
      </c>
      <c r="F767" s="1" t="s">
        <v>6</v>
      </c>
      <c r="G767" s="44">
        <f t="shared" si="22"/>
        <v>0</v>
      </c>
      <c r="H767" s="10" t="str">
        <f t="shared" si="23"/>
        <v>Wednesday</v>
      </c>
    </row>
    <row r="768" spans="1:8">
      <c r="A768" s="9">
        <v>174576654</v>
      </c>
      <c r="B768" s="6">
        <v>44916</v>
      </c>
      <c r="C768" s="6">
        <v>45114</v>
      </c>
      <c r="D768" s="1" t="s">
        <v>7</v>
      </c>
      <c r="E768" s="1">
        <v>39</v>
      </c>
      <c r="F768" s="1" t="s">
        <v>6</v>
      </c>
      <c r="G768" s="44">
        <f t="shared" si="22"/>
        <v>198</v>
      </c>
      <c r="H768" s="10" t="str">
        <f t="shared" si="23"/>
        <v>Wednesday</v>
      </c>
    </row>
    <row r="769" spans="1:8">
      <c r="A769" s="9">
        <v>154711077</v>
      </c>
      <c r="B769" s="6">
        <v>44917</v>
      </c>
      <c r="C769" s="1"/>
      <c r="D769" s="1" t="s">
        <v>7</v>
      </c>
      <c r="E769" s="1">
        <v>39</v>
      </c>
      <c r="F769" s="1" t="s">
        <v>6</v>
      </c>
      <c r="G769" s="44" t="str">
        <f t="shared" si="22"/>
        <v/>
      </c>
      <c r="H769" s="10" t="str">
        <f t="shared" si="23"/>
        <v>Thursday</v>
      </c>
    </row>
    <row r="770" spans="1:8">
      <c r="A770" s="9">
        <v>163619032</v>
      </c>
      <c r="B770" s="6">
        <v>44917</v>
      </c>
      <c r="C770" s="1"/>
      <c r="D770" s="1" t="s">
        <v>7</v>
      </c>
      <c r="E770" s="1">
        <v>39</v>
      </c>
      <c r="F770" s="1" t="s">
        <v>6</v>
      </c>
      <c r="G770" s="44" t="str">
        <f t="shared" si="22"/>
        <v/>
      </c>
      <c r="H770" s="10" t="str">
        <f t="shared" si="23"/>
        <v>Thursday</v>
      </c>
    </row>
    <row r="771" spans="1:8">
      <c r="A771" s="9">
        <v>171001864</v>
      </c>
      <c r="B771" s="6">
        <v>44917</v>
      </c>
      <c r="C771" s="1"/>
      <c r="D771" s="1" t="s">
        <v>7</v>
      </c>
      <c r="E771" s="1">
        <v>39</v>
      </c>
      <c r="F771" s="1" t="s">
        <v>6</v>
      </c>
      <c r="G771" s="44" t="str">
        <f t="shared" ref="G771:G834" si="24">IF(C771="", "", DATEDIF(B771, C771, "D"))</f>
        <v/>
      </c>
      <c r="H771" s="10" t="str">
        <f t="shared" ref="H771:H834" si="25">TEXT(B771, "dddd")</f>
        <v>Thursday</v>
      </c>
    </row>
    <row r="772" spans="1:8">
      <c r="A772" s="9">
        <v>151890014</v>
      </c>
      <c r="B772" s="6">
        <v>44917</v>
      </c>
      <c r="C772" s="1"/>
      <c r="D772" s="1" t="s">
        <v>7</v>
      </c>
      <c r="E772" s="1">
        <v>39</v>
      </c>
      <c r="F772" s="1" t="s">
        <v>6</v>
      </c>
      <c r="G772" s="44" t="str">
        <f t="shared" si="24"/>
        <v/>
      </c>
      <c r="H772" s="10" t="str">
        <f t="shared" si="25"/>
        <v>Thursday</v>
      </c>
    </row>
    <row r="773" spans="1:8">
      <c r="A773" s="9">
        <v>158575772</v>
      </c>
      <c r="B773" s="6">
        <v>44917</v>
      </c>
      <c r="C773" s="6">
        <v>44918</v>
      </c>
      <c r="D773" s="1" t="s">
        <v>7</v>
      </c>
      <c r="E773" s="1">
        <v>39</v>
      </c>
      <c r="F773" s="1" t="s">
        <v>6</v>
      </c>
      <c r="G773" s="44">
        <f t="shared" si="24"/>
        <v>1</v>
      </c>
      <c r="H773" s="10" t="str">
        <f t="shared" si="25"/>
        <v>Thursday</v>
      </c>
    </row>
    <row r="774" spans="1:8">
      <c r="A774" s="9">
        <v>164462665</v>
      </c>
      <c r="B774" s="6">
        <v>44917</v>
      </c>
      <c r="C774" s="6">
        <v>44918</v>
      </c>
      <c r="D774" s="1" t="s">
        <v>8</v>
      </c>
      <c r="E774" s="1">
        <v>39</v>
      </c>
      <c r="F774" s="1" t="s">
        <v>6</v>
      </c>
      <c r="G774" s="44">
        <f t="shared" si="24"/>
        <v>1</v>
      </c>
      <c r="H774" s="10" t="str">
        <f t="shared" si="25"/>
        <v>Thursday</v>
      </c>
    </row>
    <row r="775" spans="1:8">
      <c r="A775" s="9">
        <v>121830768</v>
      </c>
      <c r="B775" s="6">
        <v>44917</v>
      </c>
      <c r="C775" s="6">
        <v>44950</v>
      </c>
      <c r="D775" s="1" t="s">
        <v>7</v>
      </c>
      <c r="E775" s="1">
        <v>39</v>
      </c>
      <c r="F775" s="1" t="s">
        <v>6</v>
      </c>
      <c r="G775" s="44">
        <f t="shared" si="24"/>
        <v>33</v>
      </c>
      <c r="H775" s="10" t="str">
        <f t="shared" si="25"/>
        <v>Thursday</v>
      </c>
    </row>
    <row r="776" spans="1:8">
      <c r="A776" s="9">
        <v>174605216</v>
      </c>
      <c r="B776" s="6">
        <v>44917</v>
      </c>
      <c r="C776" s="6">
        <v>45058</v>
      </c>
      <c r="D776" s="1" t="s">
        <v>7</v>
      </c>
      <c r="E776" s="1">
        <v>39</v>
      </c>
      <c r="F776" s="1" t="s">
        <v>6</v>
      </c>
      <c r="G776" s="44">
        <f t="shared" si="24"/>
        <v>141</v>
      </c>
      <c r="H776" s="10" t="str">
        <f t="shared" si="25"/>
        <v>Thursday</v>
      </c>
    </row>
    <row r="777" spans="1:8">
      <c r="A777" s="9">
        <v>174655316</v>
      </c>
      <c r="B777" s="6">
        <v>44917</v>
      </c>
      <c r="C777" s="6">
        <v>45000</v>
      </c>
      <c r="D777" s="1" t="s">
        <v>7</v>
      </c>
      <c r="E777" s="1">
        <v>39</v>
      </c>
      <c r="F777" s="1" t="s">
        <v>6</v>
      </c>
      <c r="G777" s="44">
        <f t="shared" si="24"/>
        <v>83</v>
      </c>
      <c r="H777" s="10" t="str">
        <f t="shared" si="25"/>
        <v>Thursday</v>
      </c>
    </row>
    <row r="778" spans="1:8">
      <c r="A778" s="9">
        <v>174622570</v>
      </c>
      <c r="B778" s="6">
        <v>44917</v>
      </c>
      <c r="C778" s="6">
        <v>44927</v>
      </c>
      <c r="D778" s="1" t="s">
        <v>7</v>
      </c>
      <c r="E778" s="1">
        <v>39</v>
      </c>
      <c r="F778" s="1" t="s">
        <v>6</v>
      </c>
      <c r="G778" s="44">
        <f t="shared" si="24"/>
        <v>10</v>
      </c>
      <c r="H778" s="10" t="str">
        <f t="shared" si="25"/>
        <v>Thursday</v>
      </c>
    </row>
    <row r="779" spans="1:8">
      <c r="A779" s="9">
        <v>174720005</v>
      </c>
      <c r="B779" s="6">
        <v>44917</v>
      </c>
      <c r="C779" s="6">
        <v>44918</v>
      </c>
      <c r="D779" s="1" t="s">
        <v>7</v>
      </c>
      <c r="E779" s="1">
        <v>39</v>
      </c>
      <c r="F779" s="1" t="s">
        <v>6</v>
      </c>
      <c r="G779" s="44">
        <f t="shared" si="24"/>
        <v>1</v>
      </c>
      <c r="H779" s="10" t="str">
        <f t="shared" si="25"/>
        <v>Thursday</v>
      </c>
    </row>
    <row r="780" spans="1:8">
      <c r="A780" s="9">
        <v>174696512</v>
      </c>
      <c r="B780" s="6">
        <v>44918</v>
      </c>
      <c r="C780" s="1"/>
      <c r="D780" s="1" t="s">
        <v>7</v>
      </c>
      <c r="E780" s="1">
        <v>39</v>
      </c>
      <c r="F780" s="1" t="s">
        <v>6</v>
      </c>
      <c r="G780" s="44" t="str">
        <f t="shared" si="24"/>
        <v/>
      </c>
      <c r="H780" s="10" t="str">
        <f t="shared" si="25"/>
        <v>Friday</v>
      </c>
    </row>
    <row r="781" spans="1:8">
      <c r="A781" s="9">
        <v>175314293</v>
      </c>
      <c r="B781" s="6">
        <v>44918</v>
      </c>
      <c r="C781" s="1"/>
      <c r="D781" s="1" t="s">
        <v>7</v>
      </c>
      <c r="E781" s="1">
        <v>39</v>
      </c>
      <c r="F781" s="1" t="s">
        <v>6</v>
      </c>
      <c r="G781" s="44" t="str">
        <f t="shared" si="24"/>
        <v/>
      </c>
      <c r="H781" s="10" t="str">
        <f t="shared" si="25"/>
        <v>Friday</v>
      </c>
    </row>
    <row r="782" spans="1:8">
      <c r="A782" s="9">
        <v>175451863</v>
      </c>
      <c r="B782" s="6">
        <v>44918</v>
      </c>
      <c r="C782" s="6">
        <v>45005</v>
      </c>
      <c r="D782" s="1" t="s">
        <v>7</v>
      </c>
      <c r="E782" s="1">
        <v>39</v>
      </c>
      <c r="F782" s="1" t="s">
        <v>6</v>
      </c>
      <c r="G782" s="44">
        <f t="shared" si="24"/>
        <v>87</v>
      </c>
      <c r="H782" s="10" t="str">
        <f t="shared" si="25"/>
        <v>Friday</v>
      </c>
    </row>
    <row r="783" spans="1:8">
      <c r="A783" s="9">
        <v>174752844</v>
      </c>
      <c r="B783" s="6">
        <v>44918</v>
      </c>
      <c r="C783" s="6">
        <v>44956</v>
      </c>
      <c r="D783" s="1" t="s">
        <v>7</v>
      </c>
      <c r="E783" s="1">
        <v>39</v>
      </c>
      <c r="F783" s="1" t="s">
        <v>6</v>
      </c>
      <c r="G783" s="44">
        <f t="shared" si="24"/>
        <v>38</v>
      </c>
      <c r="H783" s="10" t="str">
        <f t="shared" si="25"/>
        <v>Friday</v>
      </c>
    </row>
    <row r="784" spans="1:8">
      <c r="A784" s="9">
        <v>175431141</v>
      </c>
      <c r="B784" s="6">
        <v>44919</v>
      </c>
      <c r="C784" s="1"/>
      <c r="D784" s="1" t="s">
        <v>7</v>
      </c>
      <c r="E784" s="1">
        <v>39</v>
      </c>
      <c r="F784" s="1" t="s">
        <v>6</v>
      </c>
      <c r="G784" s="44" t="str">
        <f t="shared" si="24"/>
        <v/>
      </c>
      <c r="H784" s="10" t="str">
        <f t="shared" si="25"/>
        <v>Saturday</v>
      </c>
    </row>
    <row r="785" spans="1:8">
      <c r="A785" s="9">
        <v>132228678</v>
      </c>
      <c r="B785" s="6">
        <v>44919</v>
      </c>
      <c r="C785" s="6">
        <v>44919</v>
      </c>
      <c r="D785" s="1" t="s">
        <v>7</v>
      </c>
      <c r="E785" s="1">
        <v>39</v>
      </c>
      <c r="F785" s="1" t="s">
        <v>6</v>
      </c>
      <c r="G785" s="44">
        <f t="shared" si="24"/>
        <v>0</v>
      </c>
      <c r="H785" s="10" t="str">
        <f t="shared" si="25"/>
        <v>Saturday</v>
      </c>
    </row>
    <row r="786" spans="1:8">
      <c r="A786" s="9">
        <v>161151062</v>
      </c>
      <c r="B786" s="6">
        <v>44919</v>
      </c>
      <c r="C786" s="6">
        <v>45035</v>
      </c>
      <c r="D786" s="1" t="s">
        <v>7</v>
      </c>
      <c r="E786" s="1">
        <v>39</v>
      </c>
      <c r="F786" s="1" t="s">
        <v>6</v>
      </c>
      <c r="G786" s="44">
        <f t="shared" si="24"/>
        <v>116</v>
      </c>
      <c r="H786" s="10" t="str">
        <f t="shared" si="25"/>
        <v>Saturday</v>
      </c>
    </row>
    <row r="787" spans="1:8">
      <c r="A787" s="9">
        <v>167653319</v>
      </c>
      <c r="B787" s="6">
        <v>44919</v>
      </c>
      <c r="C787" s="6">
        <v>44998</v>
      </c>
      <c r="D787" s="1" t="s">
        <v>7</v>
      </c>
      <c r="E787" s="1">
        <v>39</v>
      </c>
      <c r="F787" s="1" t="s">
        <v>6</v>
      </c>
      <c r="G787" s="44">
        <f t="shared" si="24"/>
        <v>79</v>
      </c>
      <c r="H787" s="10" t="str">
        <f t="shared" si="25"/>
        <v>Saturday</v>
      </c>
    </row>
    <row r="788" spans="1:8">
      <c r="A788" s="9">
        <v>171659515</v>
      </c>
      <c r="B788" s="6">
        <v>44919</v>
      </c>
      <c r="C788" s="6">
        <v>44949</v>
      </c>
      <c r="D788" s="1" t="s">
        <v>7</v>
      </c>
      <c r="E788" s="1">
        <v>39</v>
      </c>
      <c r="F788" s="1" t="s">
        <v>6</v>
      </c>
      <c r="G788" s="44">
        <f t="shared" si="24"/>
        <v>30</v>
      </c>
      <c r="H788" s="10" t="str">
        <f t="shared" si="25"/>
        <v>Saturday</v>
      </c>
    </row>
    <row r="789" spans="1:8">
      <c r="A789" s="9">
        <v>175720159</v>
      </c>
      <c r="B789" s="6">
        <v>44919</v>
      </c>
      <c r="C789" s="6">
        <v>44935</v>
      </c>
      <c r="D789" s="1" t="s">
        <v>7</v>
      </c>
      <c r="E789" s="1">
        <v>39</v>
      </c>
      <c r="F789" s="1" t="s">
        <v>6</v>
      </c>
      <c r="G789" s="44">
        <f t="shared" si="24"/>
        <v>16</v>
      </c>
      <c r="H789" s="10" t="str">
        <f t="shared" si="25"/>
        <v>Saturday</v>
      </c>
    </row>
    <row r="790" spans="1:8">
      <c r="A790" s="9">
        <v>170593141</v>
      </c>
      <c r="B790" s="6">
        <v>44919</v>
      </c>
      <c r="C790" s="6">
        <v>44934</v>
      </c>
      <c r="D790" s="1" t="s">
        <v>7</v>
      </c>
      <c r="E790" s="1">
        <v>39</v>
      </c>
      <c r="F790" s="1" t="s">
        <v>6</v>
      </c>
      <c r="G790" s="44">
        <f t="shared" si="24"/>
        <v>15</v>
      </c>
      <c r="H790" s="10" t="str">
        <f t="shared" si="25"/>
        <v>Saturday</v>
      </c>
    </row>
    <row r="791" spans="1:8">
      <c r="A791" s="9">
        <v>173981170</v>
      </c>
      <c r="B791" s="6">
        <v>44919</v>
      </c>
      <c r="C791" s="6">
        <v>44920</v>
      </c>
      <c r="D791" s="1" t="s">
        <v>7</v>
      </c>
      <c r="E791" s="1">
        <v>39</v>
      </c>
      <c r="F791" s="1" t="s">
        <v>6</v>
      </c>
      <c r="G791" s="44">
        <f t="shared" si="24"/>
        <v>1</v>
      </c>
      <c r="H791" s="10" t="str">
        <f t="shared" si="25"/>
        <v>Saturday</v>
      </c>
    </row>
    <row r="792" spans="1:8">
      <c r="A792" s="9">
        <v>175166391</v>
      </c>
      <c r="B792" s="6">
        <v>44920</v>
      </c>
      <c r="C792" s="1"/>
      <c r="D792" s="1" t="s">
        <v>7</v>
      </c>
      <c r="E792" s="1">
        <v>39</v>
      </c>
      <c r="F792" s="1" t="s">
        <v>6</v>
      </c>
      <c r="G792" s="44" t="str">
        <f t="shared" si="24"/>
        <v/>
      </c>
      <c r="H792" s="10" t="str">
        <f t="shared" si="25"/>
        <v>Sunday</v>
      </c>
    </row>
    <row r="793" spans="1:8">
      <c r="A793" s="9">
        <v>161175048</v>
      </c>
      <c r="B793" s="6">
        <v>44920</v>
      </c>
      <c r="C793" s="6">
        <v>44979</v>
      </c>
      <c r="D793" s="1" t="s">
        <v>7</v>
      </c>
      <c r="E793" s="1">
        <v>39</v>
      </c>
      <c r="F793" s="1" t="s">
        <v>6</v>
      </c>
      <c r="G793" s="44">
        <f t="shared" si="24"/>
        <v>59</v>
      </c>
      <c r="H793" s="10" t="str">
        <f t="shared" si="25"/>
        <v>Sunday</v>
      </c>
    </row>
    <row r="794" spans="1:8">
      <c r="A794" s="9">
        <v>164254865</v>
      </c>
      <c r="B794" s="6">
        <v>44920</v>
      </c>
      <c r="C794" s="6">
        <v>44950</v>
      </c>
      <c r="D794" s="1" t="s">
        <v>7</v>
      </c>
      <c r="E794" s="1">
        <v>39</v>
      </c>
      <c r="F794" s="1" t="s">
        <v>6</v>
      </c>
      <c r="G794" s="44">
        <f t="shared" si="24"/>
        <v>30</v>
      </c>
      <c r="H794" s="10" t="str">
        <f t="shared" si="25"/>
        <v>Sunday</v>
      </c>
    </row>
    <row r="795" spans="1:8">
      <c r="A795" s="9">
        <v>143248615</v>
      </c>
      <c r="B795" s="6">
        <v>44921</v>
      </c>
      <c r="C795" s="1"/>
      <c r="D795" s="1" t="s">
        <v>7</v>
      </c>
      <c r="E795" s="1">
        <v>39</v>
      </c>
      <c r="F795" s="1" t="s">
        <v>6</v>
      </c>
      <c r="G795" s="44" t="str">
        <f t="shared" si="24"/>
        <v/>
      </c>
      <c r="H795" s="10" t="str">
        <f t="shared" si="25"/>
        <v>Monday</v>
      </c>
    </row>
    <row r="796" spans="1:8">
      <c r="A796" s="9">
        <v>176032070</v>
      </c>
      <c r="B796" s="6">
        <v>44921</v>
      </c>
      <c r="C796" s="6">
        <v>44940</v>
      </c>
      <c r="D796" s="1" t="s">
        <v>7</v>
      </c>
      <c r="E796" s="1">
        <v>39</v>
      </c>
      <c r="F796" s="1" t="s">
        <v>6</v>
      </c>
      <c r="G796" s="44">
        <f t="shared" si="24"/>
        <v>19</v>
      </c>
      <c r="H796" s="10" t="str">
        <f t="shared" si="25"/>
        <v>Monday</v>
      </c>
    </row>
    <row r="797" spans="1:8">
      <c r="A797" s="9">
        <v>174132333</v>
      </c>
      <c r="B797" s="6">
        <v>44922</v>
      </c>
      <c r="C797" s="1"/>
      <c r="D797" s="1" t="s">
        <v>7</v>
      </c>
      <c r="E797" s="1">
        <v>39</v>
      </c>
      <c r="F797" s="1" t="s">
        <v>6</v>
      </c>
      <c r="G797" s="44" t="str">
        <f t="shared" si="24"/>
        <v/>
      </c>
      <c r="H797" s="10" t="str">
        <f t="shared" si="25"/>
        <v>Tuesday</v>
      </c>
    </row>
    <row r="798" spans="1:8">
      <c r="A798" s="9">
        <v>177051147</v>
      </c>
      <c r="B798" s="6">
        <v>44922</v>
      </c>
      <c r="C798" s="6">
        <v>44923</v>
      </c>
      <c r="D798" s="1" t="s">
        <v>7</v>
      </c>
      <c r="E798" s="1">
        <v>39</v>
      </c>
      <c r="F798" s="1" t="s">
        <v>6</v>
      </c>
      <c r="G798" s="44">
        <f t="shared" si="24"/>
        <v>1</v>
      </c>
      <c r="H798" s="10" t="str">
        <f t="shared" si="25"/>
        <v>Tuesday</v>
      </c>
    </row>
    <row r="799" spans="1:8">
      <c r="A799" s="9">
        <v>176571319</v>
      </c>
      <c r="B799" s="6">
        <v>44922</v>
      </c>
      <c r="C799" s="6">
        <v>45017</v>
      </c>
      <c r="D799" s="1" t="s">
        <v>7</v>
      </c>
      <c r="E799" s="1">
        <v>39</v>
      </c>
      <c r="F799" s="1" t="s">
        <v>6</v>
      </c>
      <c r="G799" s="44">
        <f t="shared" si="24"/>
        <v>95</v>
      </c>
      <c r="H799" s="10" t="str">
        <f t="shared" si="25"/>
        <v>Tuesday</v>
      </c>
    </row>
    <row r="800" spans="1:8">
      <c r="A800" s="9">
        <v>166932902</v>
      </c>
      <c r="B800" s="6">
        <v>44922</v>
      </c>
      <c r="C800" s="6">
        <v>44991</v>
      </c>
      <c r="D800" s="1" t="s">
        <v>7</v>
      </c>
      <c r="E800" s="1">
        <v>39</v>
      </c>
      <c r="F800" s="1" t="s">
        <v>6</v>
      </c>
      <c r="G800" s="44">
        <f t="shared" si="24"/>
        <v>69</v>
      </c>
      <c r="H800" s="10" t="str">
        <f t="shared" si="25"/>
        <v>Tuesday</v>
      </c>
    </row>
    <row r="801" spans="1:8">
      <c r="A801" s="9">
        <v>175851244</v>
      </c>
      <c r="B801" s="6">
        <v>44922</v>
      </c>
      <c r="C801" s="6">
        <v>44960</v>
      </c>
      <c r="D801" s="1" t="s">
        <v>7</v>
      </c>
      <c r="E801" s="1">
        <v>39</v>
      </c>
      <c r="F801" s="1" t="s">
        <v>6</v>
      </c>
      <c r="G801" s="44">
        <f t="shared" si="24"/>
        <v>38</v>
      </c>
      <c r="H801" s="10" t="str">
        <f t="shared" si="25"/>
        <v>Tuesday</v>
      </c>
    </row>
    <row r="802" spans="1:8">
      <c r="A802" s="9">
        <v>155613371</v>
      </c>
      <c r="B802" s="6">
        <v>44922</v>
      </c>
      <c r="C802" s="6">
        <v>44960</v>
      </c>
      <c r="D802" s="1" t="s">
        <v>7</v>
      </c>
      <c r="E802" s="1">
        <v>39</v>
      </c>
      <c r="F802" s="1" t="s">
        <v>6</v>
      </c>
      <c r="G802" s="44">
        <f t="shared" si="24"/>
        <v>38</v>
      </c>
      <c r="H802" s="10" t="str">
        <f t="shared" si="25"/>
        <v>Tuesday</v>
      </c>
    </row>
    <row r="803" spans="1:8">
      <c r="A803" s="9">
        <v>167678290</v>
      </c>
      <c r="B803" s="6">
        <v>44922</v>
      </c>
      <c r="C803" s="6">
        <v>44953</v>
      </c>
      <c r="D803" s="1" t="s">
        <v>7</v>
      </c>
      <c r="E803" s="1">
        <v>39</v>
      </c>
      <c r="F803" s="1" t="s">
        <v>6</v>
      </c>
      <c r="G803" s="44">
        <f t="shared" si="24"/>
        <v>31</v>
      </c>
      <c r="H803" s="10" t="str">
        <f t="shared" si="25"/>
        <v>Tuesday</v>
      </c>
    </row>
    <row r="804" spans="1:8">
      <c r="A804" s="9">
        <v>176995917</v>
      </c>
      <c r="B804" s="6">
        <v>44922</v>
      </c>
      <c r="C804" s="6">
        <v>45106</v>
      </c>
      <c r="D804" s="1" t="s">
        <v>7</v>
      </c>
      <c r="E804" s="1">
        <v>39</v>
      </c>
      <c r="F804" s="1" t="s">
        <v>6</v>
      </c>
      <c r="G804" s="44">
        <f t="shared" si="24"/>
        <v>184</v>
      </c>
      <c r="H804" s="10" t="str">
        <f t="shared" si="25"/>
        <v>Tuesday</v>
      </c>
    </row>
    <row r="805" spans="1:8">
      <c r="A805" s="9">
        <v>161187523</v>
      </c>
      <c r="B805" s="6">
        <v>44922</v>
      </c>
      <c r="C805" s="6">
        <v>45126</v>
      </c>
      <c r="D805" s="1" t="s">
        <v>7</v>
      </c>
      <c r="E805" s="1">
        <v>39</v>
      </c>
      <c r="F805" s="1" t="s">
        <v>6</v>
      </c>
      <c r="G805" s="44">
        <f t="shared" si="24"/>
        <v>204</v>
      </c>
      <c r="H805" s="10" t="str">
        <f t="shared" si="25"/>
        <v>Tuesday</v>
      </c>
    </row>
    <row r="806" spans="1:8">
      <c r="A806" s="9">
        <v>175884318</v>
      </c>
      <c r="B806" s="6">
        <v>44923</v>
      </c>
      <c r="C806" s="6">
        <v>44940</v>
      </c>
      <c r="D806" s="1" t="s">
        <v>7</v>
      </c>
      <c r="E806" s="1">
        <v>39</v>
      </c>
      <c r="F806" s="1" t="s">
        <v>6</v>
      </c>
      <c r="G806" s="44">
        <f t="shared" si="24"/>
        <v>17</v>
      </c>
      <c r="H806" s="10" t="str">
        <f t="shared" si="25"/>
        <v>Wednesday</v>
      </c>
    </row>
    <row r="807" spans="1:8">
      <c r="A807" s="9">
        <v>173911972</v>
      </c>
      <c r="B807" s="6">
        <v>44923</v>
      </c>
      <c r="C807" s="6">
        <v>45040</v>
      </c>
      <c r="D807" s="1" t="s">
        <v>7</v>
      </c>
      <c r="E807" s="1">
        <v>39</v>
      </c>
      <c r="F807" s="1" t="s">
        <v>6</v>
      </c>
      <c r="G807" s="44">
        <f t="shared" si="24"/>
        <v>117</v>
      </c>
      <c r="H807" s="10" t="str">
        <f t="shared" si="25"/>
        <v>Wednesday</v>
      </c>
    </row>
    <row r="808" spans="1:8">
      <c r="A808" s="9">
        <v>177696301</v>
      </c>
      <c r="B808" s="6">
        <v>44923</v>
      </c>
      <c r="C808" s="6">
        <v>45073</v>
      </c>
      <c r="D808" s="1" t="s">
        <v>7</v>
      </c>
      <c r="E808" s="1">
        <v>39</v>
      </c>
      <c r="F808" s="1" t="s">
        <v>6</v>
      </c>
      <c r="G808" s="44">
        <f t="shared" si="24"/>
        <v>150</v>
      </c>
      <c r="H808" s="10" t="str">
        <f t="shared" si="25"/>
        <v>Wednesday</v>
      </c>
    </row>
    <row r="809" spans="1:8">
      <c r="A809" s="9">
        <v>165744582</v>
      </c>
      <c r="B809" s="6">
        <v>44923</v>
      </c>
      <c r="C809" s="6">
        <v>44969</v>
      </c>
      <c r="D809" s="1" t="s">
        <v>7</v>
      </c>
      <c r="E809" s="1">
        <v>39</v>
      </c>
      <c r="F809" s="1" t="s">
        <v>6</v>
      </c>
      <c r="G809" s="44">
        <f t="shared" si="24"/>
        <v>46</v>
      </c>
      <c r="H809" s="10" t="str">
        <f t="shared" si="25"/>
        <v>Wednesday</v>
      </c>
    </row>
    <row r="810" spans="1:8">
      <c r="A810" s="9">
        <v>177323966</v>
      </c>
      <c r="B810" s="6">
        <v>44923</v>
      </c>
      <c r="C810" s="6">
        <v>44923</v>
      </c>
      <c r="D810" s="1" t="s">
        <v>7</v>
      </c>
      <c r="E810" s="1">
        <v>39</v>
      </c>
      <c r="F810" s="1" t="s">
        <v>6</v>
      </c>
      <c r="G810" s="44">
        <f t="shared" si="24"/>
        <v>0</v>
      </c>
      <c r="H810" s="10" t="str">
        <f t="shared" si="25"/>
        <v>Wednesday</v>
      </c>
    </row>
    <row r="811" spans="1:8">
      <c r="A811" s="9">
        <v>178355844</v>
      </c>
      <c r="B811" s="6">
        <v>44924</v>
      </c>
      <c r="C811" s="1"/>
      <c r="D811" s="1" t="s">
        <v>7</v>
      </c>
      <c r="E811" s="1">
        <v>39</v>
      </c>
      <c r="F811" s="1" t="s">
        <v>6</v>
      </c>
      <c r="G811" s="44" t="str">
        <f t="shared" si="24"/>
        <v/>
      </c>
      <c r="H811" s="10" t="str">
        <f t="shared" si="25"/>
        <v>Thursday</v>
      </c>
    </row>
    <row r="812" spans="1:8">
      <c r="A812" s="9">
        <v>176989743</v>
      </c>
      <c r="B812" s="6">
        <v>44924</v>
      </c>
      <c r="C812" s="1"/>
      <c r="D812" s="1" t="s">
        <v>7</v>
      </c>
      <c r="E812" s="1">
        <v>39</v>
      </c>
      <c r="F812" s="1" t="s">
        <v>6</v>
      </c>
      <c r="G812" s="44" t="str">
        <f t="shared" si="24"/>
        <v/>
      </c>
      <c r="H812" s="10" t="str">
        <f t="shared" si="25"/>
        <v>Thursday</v>
      </c>
    </row>
    <row r="813" spans="1:8">
      <c r="A813" s="9">
        <v>177971827</v>
      </c>
      <c r="B813" s="6">
        <v>44924</v>
      </c>
      <c r="C813" s="1"/>
      <c r="D813" s="1" t="s">
        <v>7</v>
      </c>
      <c r="E813" s="1">
        <v>39</v>
      </c>
      <c r="F813" s="1" t="s">
        <v>6</v>
      </c>
      <c r="G813" s="44" t="str">
        <f t="shared" si="24"/>
        <v/>
      </c>
      <c r="H813" s="10" t="str">
        <f t="shared" si="25"/>
        <v>Thursday</v>
      </c>
    </row>
    <row r="814" spans="1:8">
      <c r="A814" s="9">
        <v>131147038</v>
      </c>
      <c r="B814" s="6">
        <v>44924</v>
      </c>
      <c r="C814" s="6">
        <v>44970</v>
      </c>
      <c r="D814" s="1" t="s">
        <v>7</v>
      </c>
      <c r="E814" s="1">
        <v>39</v>
      </c>
      <c r="F814" s="1" t="s">
        <v>6</v>
      </c>
      <c r="G814" s="44">
        <f t="shared" si="24"/>
        <v>46</v>
      </c>
      <c r="H814" s="10" t="str">
        <f t="shared" si="25"/>
        <v>Thursday</v>
      </c>
    </row>
    <row r="815" spans="1:8">
      <c r="A815" s="9">
        <v>152142457</v>
      </c>
      <c r="B815" s="6">
        <v>44924</v>
      </c>
      <c r="C815" s="6">
        <v>44969</v>
      </c>
      <c r="D815" s="1" t="s">
        <v>7</v>
      </c>
      <c r="E815" s="1">
        <v>39</v>
      </c>
      <c r="F815" s="1" t="s">
        <v>6</v>
      </c>
      <c r="G815" s="44">
        <f t="shared" si="24"/>
        <v>45</v>
      </c>
      <c r="H815" s="10" t="str">
        <f t="shared" si="25"/>
        <v>Thursday</v>
      </c>
    </row>
    <row r="816" spans="1:8">
      <c r="A816" s="9">
        <v>174293226</v>
      </c>
      <c r="B816" s="6">
        <v>44924</v>
      </c>
      <c r="C816" s="6">
        <v>45083</v>
      </c>
      <c r="D816" s="1" t="s">
        <v>7</v>
      </c>
      <c r="E816" s="1">
        <v>39</v>
      </c>
      <c r="F816" s="1" t="s">
        <v>6</v>
      </c>
      <c r="G816" s="44">
        <f t="shared" si="24"/>
        <v>159</v>
      </c>
      <c r="H816" s="10" t="str">
        <f t="shared" si="25"/>
        <v>Thursday</v>
      </c>
    </row>
    <row r="817" spans="1:8">
      <c r="A817" s="9">
        <v>177051147</v>
      </c>
      <c r="B817" s="6">
        <v>44924</v>
      </c>
      <c r="C817" s="6">
        <v>45012</v>
      </c>
      <c r="D817" s="1" t="s">
        <v>7</v>
      </c>
      <c r="E817" s="1">
        <v>39</v>
      </c>
      <c r="F817" s="1" t="s">
        <v>6</v>
      </c>
      <c r="G817" s="44">
        <f t="shared" si="24"/>
        <v>88</v>
      </c>
      <c r="H817" s="10" t="str">
        <f t="shared" si="25"/>
        <v>Thursday</v>
      </c>
    </row>
    <row r="818" spans="1:8">
      <c r="A818" s="9">
        <v>177963240</v>
      </c>
      <c r="B818" s="6">
        <v>44924</v>
      </c>
      <c r="C818" s="6">
        <v>44953</v>
      </c>
      <c r="D818" s="1" t="s">
        <v>7</v>
      </c>
      <c r="E818" s="1">
        <v>39</v>
      </c>
      <c r="F818" s="1" t="s">
        <v>6</v>
      </c>
      <c r="G818" s="44">
        <f t="shared" si="24"/>
        <v>29</v>
      </c>
      <c r="H818" s="10" t="str">
        <f t="shared" si="25"/>
        <v>Thursday</v>
      </c>
    </row>
    <row r="819" spans="1:8">
      <c r="A819" s="9">
        <v>176639972</v>
      </c>
      <c r="B819" s="6">
        <v>44924</v>
      </c>
      <c r="C819" s="6">
        <v>44954</v>
      </c>
      <c r="D819" s="1" t="s">
        <v>7</v>
      </c>
      <c r="E819" s="1">
        <v>39</v>
      </c>
      <c r="F819" s="1" t="s">
        <v>6</v>
      </c>
      <c r="G819" s="44">
        <f t="shared" si="24"/>
        <v>30</v>
      </c>
      <c r="H819" s="10" t="str">
        <f t="shared" si="25"/>
        <v>Thursday</v>
      </c>
    </row>
    <row r="820" spans="1:8">
      <c r="A820" s="9">
        <v>175818000</v>
      </c>
      <c r="B820" s="6">
        <v>44925</v>
      </c>
      <c r="C820" s="6">
        <v>45086</v>
      </c>
      <c r="D820" s="1" t="s">
        <v>7</v>
      </c>
      <c r="E820" s="1">
        <v>39</v>
      </c>
      <c r="F820" s="1" t="s">
        <v>6</v>
      </c>
      <c r="G820" s="44">
        <f t="shared" si="24"/>
        <v>161</v>
      </c>
      <c r="H820" s="10" t="str">
        <f t="shared" si="25"/>
        <v>Friday</v>
      </c>
    </row>
    <row r="821" spans="1:8">
      <c r="A821" s="9">
        <v>117856836</v>
      </c>
      <c r="B821" s="6">
        <v>44925</v>
      </c>
      <c r="C821" s="6">
        <v>44959</v>
      </c>
      <c r="D821" s="1" t="s">
        <v>7</v>
      </c>
      <c r="E821" s="1">
        <v>39</v>
      </c>
      <c r="F821" s="1" t="s">
        <v>6</v>
      </c>
      <c r="G821" s="44">
        <f t="shared" si="24"/>
        <v>34</v>
      </c>
      <c r="H821" s="10" t="str">
        <f t="shared" si="25"/>
        <v>Friday</v>
      </c>
    </row>
    <row r="822" spans="1:8">
      <c r="A822" s="9">
        <v>177266058</v>
      </c>
      <c r="B822" s="6">
        <v>44925</v>
      </c>
      <c r="C822" s="6">
        <v>45022</v>
      </c>
      <c r="D822" s="1" t="s">
        <v>7</v>
      </c>
      <c r="E822" s="1">
        <v>39</v>
      </c>
      <c r="F822" s="1" t="s">
        <v>6</v>
      </c>
      <c r="G822" s="44">
        <f t="shared" si="24"/>
        <v>97</v>
      </c>
      <c r="H822" s="10" t="str">
        <f t="shared" si="25"/>
        <v>Friday</v>
      </c>
    </row>
    <row r="823" spans="1:8">
      <c r="A823" s="9">
        <v>174203866</v>
      </c>
      <c r="B823" s="6">
        <v>44925</v>
      </c>
      <c r="C823" s="6">
        <v>44985</v>
      </c>
      <c r="D823" s="1" t="s">
        <v>7</v>
      </c>
      <c r="E823" s="1">
        <v>39</v>
      </c>
      <c r="F823" s="1" t="s">
        <v>6</v>
      </c>
      <c r="G823" s="44">
        <f t="shared" si="24"/>
        <v>60</v>
      </c>
      <c r="H823" s="10" t="str">
        <f t="shared" si="25"/>
        <v>Friday</v>
      </c>
    </row>
    <row r="824" spans="1:8">
      <c r="A824" s="9">
        <v>174991614</v>
      </c>
      <c r="B824" s="6">
        <v>44925</v>
      </c>
      <c r="C824" s="6">
        <v>44956</v>
      </c>
      <c r="D824" s="1" t="s">
        <v>7</v>
      </c>
      <c r="E824" s="1">
        <v>39</v>
      </c>
      <c r="F824" s="1" t="s">
        <v>6</v>
      </c>
      <c r="G824" s="44">
        <f t="shared" si="24"/>
        <v>31</v>
      </c>
      <c r="H824" s="10" t="str">
        <f t="shared" si="25"/>
        <v>Friday</v>
      </c>
    </row>
    <row r="825" spans="1:8">
      <c r="A825" s="9">
        <v>175354348</v>
      </c>
      <c r="B825" s="6">
        <v>44925</v>
      </c>
      <c r="C825" s="6">
        <v>44947</v>
      </c>
      <c r="D825" s="1" t="s">
        <v>7</v>
      </c>
      <c r="E825" s="1">
        <v>39</v>
      </c>
      <c r="F825" s="1" t="s">
        <v>6</v>
      </c>
      <c r="G825" s="44">
        <f t="shared" si="24"/>
        <v>22</v>
      </c>
      <c r="H825" s="10" t="str">
        <f t="shared" si="25"/>
        <v>Friday</v>
      </c>
    </row>
    <row r="826" spans="1:8">
      <c r="A826" s="9">
        <v>176573512</v>
      </c>
      <c r="B826" s="6">
        <v>44925</v>
      </c>
      <c r="C826" s="6">
        <v>45110</v>
      </c>
      <c r="D826" s="1" t="s">
        <v>7</v>
      </c>
      <c r="E826" s="1">
        <v>39</v>
      </c>
      <c r="F826" s="1" t="s">
        <v>6</v>
      </c>
      <c r="G826" s="44">
        <f t="shared" si="24"/>
        <v>185</v>
      </c>
      <c r="H826" s="10" t="str">
        <f t="shared" si="25"/>
        <v>Friday</v>
      </c>
    </row>
    <row r="827" spans="1:8">
      <c r="A827" s="9">
        <v>178379352</v>
      </c>
      <c r="B827" s="6">
        <v>44926</v>
      </c>
      <c r="C827" s="6">
        <v>44928</v>
      </c>
      <c r="D827" s="1" t="s">
        <v>7</v>
      </c>
      <c r="E827" s="1">
        <v>39</v>
      </c>
      <c r="F827" s="1" t="s">
        <v>6</v>
      </c>
      <c r="G827" s="44">
        <f t="shared" si="24"/>
        <v>2</v>
      </c>
      <c r="H827" s="10" t="str">
        <f t="shared" si="25"/>
        <v>Saturday</v>
      </c>
    </row>
    <row r="828" spans="1:8">
      <c r="A828" s="9">
        <v>152980676</v>
      </c>
      <c r="B828" s="6">
        <v>44926</v>
      </c>
      <c r="C828" s="6">
        <v>44947</v>
      </c>
      <c r="D828" s="1" t="s">
        <v>7</v>
      </c>
      <c r="E828" s="1">
        <v>39</v>
      </c>
      <c r="F828" s="1" t="s">
        <v>6</v>
      </c>
      <c r="G828" s="44">
        <f t="shared" si="24"/>
        <v>21</v>
      </c>
      <c r="H828" s="10" t="str">
        <f t="shared" si="25"/>
        <v>Saturday</v>
      </c>
    </row>
    <row r="829" spans="1:8">
      <c r="A829" s="9">
        <v>179551652</v>
      </c>
      <c r="B829" s="6">
        <v>44926</v>
      </c>
      <c r="C829" s="6">
        <v>45053</v>
      </c>
      <c r="D829" s="1" t="s">
        <v>7</v>
      </c>
      <c r="E829" s="1">
        <v>39</v>
      </c>
      <c r="F829" s="1" t="s">
        <v>6</v>
      </c>
      <c r="G829" s="44">
        <f t="shared" si="24"/>
        <v>127</v>
      </c>
      <c r="H829" s="10" t="str">
        <f t="shared" si="25"/>
        <v>Saturday</v>
      </c>
    </row>
    <row r="830" spans="1:8">
      <c r="A830" s="9">
        <v>175899028</v>
      </c>
      <c r="B830" s="6">
        <v>44926</v>
      </c>
      <c r="C830" s="6">
        <v>45009</v>
      </c>
      <c r="D830" s="1" t="s">
        <v>7</v>
      </c>
      <c r="E830" s="1">
        <v>39</v>
      </c>
      <c r="F830" s="1" t="s">
        <v>6</v>
      </c>
      <c r="G830" s="44">
        <f t="shared" si="24"/>
        <v>83</v>
      </c>
      <c r="H830" s="10" t="str">
        <f t="shared" si="25"/>
        <v>Saturday</v>
      </c>
    </row>
    <row r="831" spans="1:8">
      <c r="A831" s="9">
        <v>148427368</v>
      </c>
      <c r="B831" s="6">
        <v>44926</v>
      </c>
      <c r="C831" s="6">
        <v>44964</v>
      </c>
      <c r="D831" s="1" t="s">
        <v>7</v>
      </c>
      <c r="E831" s="1">
        <v>39</v>
      </c>
      <c r="F831" s="1" t="s">
        <v>6</v>
      </c>
      <c r="G831" s="44">
        <f t="shared" si="24"/>
        <v>38</v>
      </c>
      <c r="H831" s="10" t="str">
        <f t="shared" si="25"/>
        <v>Saturday</v>
      </c>
    </row>
    <row r="832" spans="1:8">
      <c r="A832" s="9">
        <v>149335749</v>
      </c>
      <c r="B832" s="6">
        <v>44926</v>
      </c>
      <c r="C832" s="6">
        <v>44956</v>
      </c>
      <c r="D832" s="1" t="s">
        <v>7</v>
      </c>
      <c r="E832" s="1">
        <v>39</v>
      </c>
      <c r="F832" s="1" t="s">
        <v>6</v>
      </c>
      <c r="G832" s="44">
        <f t="shared" si="24"/>
        <v>30</v>
      </c>
      <c r="H832" s="10" t="str">
        <f t="shared" si="25"/>
        <v>Saturday</v>
      </c>
    </row>
    <row r="833" spans="1:8">
      <c r="A833" s="9">
        <v>179395204</v>
      </c>
      <c r="B833" s="6">
        <v>44926</v>
      </c>
      <c r="C833" s="6">
        <v>44942</v>
      </c>
      <c r="D833" s="1" t="s">
        <v>7</v>
      </c>
      <c r="E833" s="1">
        <v>39</v>
      </c>
      <c r="F833" s="1" t="s">
        <v>6</v>
      </c>
      <c r="G833" s="44">
        <f t="shared" si="24"/>
        <v>16</v>
      </c>
      <c r="H833" s="10" t="str">
        <f t="shared" si="25"/>
        <v>Saturday</v>
      </c>
    </row>
    <row r="834" spans="1:8">
      <c r="A834" s="9">
        <v>150870576</v>
      </c>
      <c r="B834" s="6">
        <v>44927</v>
      </c>
      <c r="C834" s="6">
        <v>45092</v>
      </c>
      <c r="D834" s="1" t="s">
        <v>7</v>
      </c>
      <c r="E834" s="1">
        <v>39</v>
      </c>
      <c r="F834" s="1" t="s">
        <v>6</v>
      </c>
      <c r="G834" s="44">
        <f t="shared" si="24"/>
        <v>165</v>
      </c>
      <c r="H834" s="10" t="str">
        <f t="shared" si="25"/>
        <v>Sunday</v>
      </c>
    </row>
    <row r="835" spans="1:8">
      <c r="A835" s="9">
        <v>176200716</v>
      </c>
      <c r="B835" s="6">
        <v>44927</v>
      </c>
      <c r="C835" s="6">
        <v>45040</v>
      </c>
      <c r="D835" s="1" t="s">
        <v>7</v>
      </c>
      <c r="E835" s="1">
        <v>39</v>
      </c>
      <c r="F835" s="1" t="s">
        <v>6</v>
      </c>
      <c r="G835" s="44">
        <f t="shared" ref="G835:G898" si="26">IF(C835="", "", DATEDIF(B835, C835, "D"))</f>
        <v>113</v>
      </c>
      <c r="H835" s="10" t="str">
        <f t="shared" ref="H835:H898" si="27">TEXT(B835, "dddd")</f>
        <v>Sunday</v>
      </c>
    </row>
    <row r="836" spans="1:8">
      <c r="A836" s="9">
        <v>178097351</v>
      </c>
      <c r="B836" s="6">
        <v>44927</v>
      </c>
      <c r="C836" s="6">
        <v>44965</v>
      </c>
      <c r="D836" s="1" t="s">
        <v>7</v>
      </c>
      <c r="E836" s="1">
        <v>39</v>
      </c>
      <c r="F836" s="1" t="s">
        <v>6</v>
      </c>
      <c r="G836" s="44">
        <f t="shared" si="26"/>
        <v>38</v>
      </c>
      <c r="H836" s="10" t="str">
        <f t="shared" si="27"/>
        <v>Sunday</v>
      </c>
    </row>
    <row r="837" spans="1:8">
      <c r="A837" s="9">
        <v>177238262</v>
      </c>
      <c r="B837" s="6">
        <v>44928</v>
      </c>
      <c r="C837" s="1"/>
      <c r="D837" s="1" t="s">
        <v>7</v>
      </c>
      <c r="E837" s="1">
        <v>39</v>
      </c>
      <c r="F837" s="1" t="s">
        <v>6</v>
      </c>
      <c r="G837" s="44" t="str">
        <f t="shared" si="26"/>
        <v/>
      </c>
      <c r="H837" s="10" t="str">
        <f t="shared" si="27"/>
        <v>Monday</v>
      </c>
    </row>
    <row r="838" spans="1:8">
      <c r="A838" s="9">
        <v>173131478</v>
      </c>
      <c r="B838" s="6">
        <v>44928</v>
      </c>
      <c r="C838" s="1"/>
      <c r="D838" s="1" t="s">
        <v>7</v>
      </c>
      <c r="E838" s="1">
        <v>39</v>
      </c>
      <c r="F838" s="1" t="s">
        <v>6</v>
      </c>
      <c r="G838" s="44" t="str">
        <f t="shared" si="26"/>
        <v/>
      </c>
      <c r="H838" s="10" t="str">
        <f t="shared" si="27"/>
        <v>Monday</v>
      </c>
    </row>
    <row r="839" spans="1:8">
      <c r="A839" s="9">
        <v>180123121</v>
      </c>
      <c r="B839" s="6">
        <v>44928</v>
      </c>
      <c r="C839" s="6">
        <v>44928</v>
      </c>
      <c r="D839" s="1" t="s">
        <v>8</v>
      </c>
      <c r="E839" s="1">
        <v>39</v>
      </c>
      <c r="F839" s="1" t="s">
        <v>6</v>
      </c>
      <c r="G839" s="44">
        <f t="shared" si="26"/>
        <v>0</v>
      </c>
      <c r="H839" s="10" t="str">
        <f t="shared" si="27"/>
        <v>Monday</v>
      </c>
    </row>
    <row r="840" spans="1:8">
      <c r="A840" s="9">
        <v>139136640</v>
      </c>
      <c r="B840" s="6">
        <v>44928</v>
      </c>
      <c r="C840" s="6">
        <v>44994</v>
      </c>
      <c r="D840" s="1" t="s">
        <v>7</v>
      </c>
      <c r="E840" s="1">
        <v>39</v>
      </c>
      <c r="F840" s="1" t="s">
        <v>6</v>
      </c>
      <c r="G840" s="44">
        <f t="shared" si="26"/>
        <v>66</v>
      </c>
      <c r="H840" s="10" t="str">
        <f t="shared" si="27"/>
        <v>Monday</v>
      </c>
    </row>
    <row r="841" spans="1:8">
      <c r="A841" s="9">
        <v>172951272</v>
      </c>
      <c r="B841" s="6">
        <v>44928</v>
      </c>
      <c r="C841" s="6">
        <v>45052</v>
      </c>
      <c r="D841" s="1" t="s">
        <v>7</v>
      </c>
      <c r="E841" s="1">
        <v>39</v>
      </c>
      <c r="F841" s="1" t="s">
        <v>6</v>
      </c>
      <c r="G841" s="44">
        <f t="shared" si="26"/>
        <v>124</v>
      </c>
      <c r="H841" s="10" t="str">
        <f t="shared" si="27"/>
        <v>Monday</v>
      </c>
    </row>
    <row r="842" spans="1:8">
      <c r="A842" s="9">
        <v>175473611</v>
      </c>
      <c r="B842" s="6">
        <v>44928</v>
      </c>
      <c r="C842" s="6">
        <v>45039</v>
      </c>
      <c r="D842" s="1" t="s">
        <v>7</v>
      </c>
      <c r="E842" s="1">
        <v>39</v>
      </c>
      <c r="F842" s="1" t="s">
        <v>6</v>
      </c>
      <c r="G842" s="44">
        <f t="shared" si="26"/>
        <v>111</v>
      </c>
      <c r="H842" s="10" t="str">
        <f t="shared" si="27"/>
        <v>Monday</v>
      </c>
    </row>
    <row r="843" spans="1:8">
      <c r="A843" s="9">
        <v>170776130</v>
      </c>
      <c r="B843" s="6">
        <v>44928</v>
      </c>
      <c r="C843" s="6">
        <v>45034</v>
      </c>
      <c r="D843" s="1" t="s">
        <v>7</v>
      </c>
      <c r="E843" s="1">
        <v>39</v>
      </c>
      <c r="F843" s="1" t="s">
        <v>6</v>
      </c>
      <c r="G843" s="44">
        <f t="shared" si="26"/>
        <v>106</v>
      </c>
      <c r="H843" s="10" t="str">
        <f t="shared" si="27"/>
        <v>Monday</v>
      </c>
    </row>
    <row r="844" spans="1:8">
      <c r="A844" s="9">
        <v>180558466</v>
      </c>
      <c r="B844" s="6">
        <v>44928</v>
      </c>
      <c r="C844" s="6">
        <v>45009</v>
      </c>
      <c r="D844" s="1" t="s">
        <v>7</v>
      </c>
      <c r="E844" s="1">
        <v>39</v>
      </c>
      <c r="F844" s="1" t="s">
        <v>6</v>
      </c>
      <c r="G844" s="44">
        <f t="shared" si="26"/>
        <v>81</v>
      </c>
      <c r="H844" s="10" t="str">
        <f t="shared" si="27"/>
        <v>Monday</v>
      </c>
    </row>
    <row r="845" spans="1:8">
      <c r="A845" s="9">
        <v>171398636</v>
      </c>
      <c r="B845" s="6">
        <v>44928</v>
      </c>
      <c r="C845" s="6">
        <v>44995</v>
      </c>
      <c r="D845" s="1" t="s">
        <v>7</v>
      </c>
      <c r="E845" s="1">
        <v>39</v>
      </c>
      <c r="F845" s="1" t="s">
        <v>6</v>
      </c>
      <c r="G845" s="44">
        <f t="shared" si="26"/>
        <v>67</v>
      </c>
      <c r="H845" s="10" t="str">
        <f t="shared" si="27"/>
        <v>Monday</v>
      </c>
    </row>
    <row r="846" spans="1:8">
      <c r="A846" s="9">
        <v>180424776</v>
      </c>
      <c r="B846" s="6">
        <v>44928</v>
      </c>
      <c r="C846" s="6">
        <v>45004</v>
      </c>
      <c r="D846" s="1" t="s">
        <v>7</v>
      </c>
      <c r="E846" s="1">
        <v>39</v>
      </c>
      <c r="F846" s="1" t="s">
        <v>6</v>
      </c>
      <c r="G846" s="44">
        <f t="shared" si="26"/>
        <v>76</v>
      </c>
      <c r="H846" s="10" t="str">
        <f t="shared" si="27"/>
        <v>Monday</v>
      </c>
    </row>
    <row r="847" spans="1:8">
      <c r="A847" s="9">
        <v>180198528</v>
      </c>
      <c r="B847" s="6">
        <v>44928</v>
      </c>
      <c r="C847" s="6">
        <v>44966</v>
      </c>
      <c r="D847" s="1" t="s">
        <v>7</v>
      </c>
      <c r="E847" s="1">
        <v>39</v>
      </c>
      <c r="F847" s="1" t="s">
        <v>6</v>
      </c>
      <c r="G847" s="44">
        <f t="shared" si="26"/>
        <v>38</v>
      </c>
      <c r="H847" s="10" t="str">
        <f t="shared" si="27"/>
        <v>Monday</v>
      </c>
    </row>
    <row r="848" spans="1:8">
      <c r="A848" s="9">
        <v>124634385</v>
      </c>
      <c r="B848" s="6">
        <v>44929</v>
      </c>
      <c r="C848" s="1"/>
      <c r="D848" s="1" t="s">
        <v>7</v>
      </c>
      <c r="E848" s="1">
        <v>39</v>
      </c>
      <c r="F848" s="1" t="s">
        <v>6</v>
      </c>
      <c r="G848" s="44" t="str">
        <f t="shared" si="26"/>
        <v/>
      </c>
      <c r="H848" s="10" t="str">
        <f t="shared" si="27"/>
        <v>Tuesday</v>
      </c>
    </row>
    <row r="849" spans="1:8">
      <c r="A849" s="9">
        <v>180740092</v>
      </c>
      <c r="B849" s="6">
        <v>44929</v>
      </c>
      <c r="C849" s="1"/>
      <c r="D849" s="1" t="s">
        <v>7</v>
      </c>
      <c r="E849" s="1">
        <v>39</v>
      </c>
      <c r="F849" s="1" t="s">
        <v>6</v>
      </c>
      <c r="G849" s="44" t="str">
        <f t="shared" si="26"/>
        <v/>
      </c>
      <c r="H849" s="10" t="str">
        <f t="shared" si="27"/>
        <v>Tuesday</v>
      </c>
    </row>
    <row r="850" spans="1:8">
      <c r="A850" s="9">
        <v>144385898</v>
      </c>
      <c r="B850" s="6">
        <v>44929</v>
      </c>
      <c r="C850" s="6">
        <v>45110</v>
      </c>
      <c r="D850" s="1" t="s">
        <v>7</v>
      </c>
      <c r="E850" s="1">
        <v>39</v>
      </c>
      <c r="F850" s="1" t="s">
        <v>6</v>
      </c>
      <c r="G850" s="44">
        <f t="shared" si="26"/>
        <v>181</v>
      </c>
      <c r="H850" s="10" t="str">
        <f t="shared" si="27"/>
        <v>Tuesday</v>
      </c>
    </row>
    <row r="851" spans="1:8">
      <c r="A851" s="9">
        <v>175138132</v>
      </c>
      <c r="B851" s="6">
        <v>44929</v>
      </c>
      <c r="C851" s="6">
        <v>45039</v>
      </c>
      <c r="D851" s="1" t="s">
        <v>7</v>
      </c>
      <c r="E851" s="1">
        <v>39</v>
      </c>
      <c r="F851" s="1" t="s">
        <v>6</v>
      </c>
      <c r="G851" s="44">
        <f t="shared" si="26"/>
        <v>110</v>
      </c>
      <c r="H851" s="10" t="str">
        <f t="shared" si="27"/>
        <v>Tuesday</v>
      </c>
    </row>
    <row r="852" spans="1:8">
      <c r="A852" s="9">
        <v>180968287</v>
      </c>
      <c r="B852" s="6">
        <v>44929</v>
      </c>
      <c r="C852" s="6">
        <v>45012</v>
      </c>
      <c r="D852" s="1" t="s">
        <v>7</v>
      </c>
      <c r="E852" s="1">
        <v>39</v>
      </c>
      <c r="F852" s="1" t="s">
        <v>6</v>
      </c>
      <c r="G852" s="44">
        <f t="shared" si="26"/>
        <v>83</v>
      </c>
      <c r="H852" s="10" t="str">
        <f t="shared" si="27"/>
        <v>Tuesday</v>
      </c>
    </row>
    <row r="853" spans="1:8">
      <c r="A853" s="9">
        <v>180959934</v>
      </c>
      <c r="B853" s="6">
        <v>44929</v>
      </c>
      <c r="C853" s="6">
        <v>44993</v>
      </c>
      <c r="D853" s="1" t="s">
        <v>7</v>
      </c>
      <c r="E853" s="1">
        <v>39</v>
      </c>
      <c r="F853" s="1" t="s">
        <v>6</v>
      </c>
      <c r="G853" s="44">
        <f t="shared" si="26"/>
        <v>64</v>
      </c>
      <c r="H853" s="10" t="str">
        <f t="shared" si="27"/>
        <v>Tuesday</v>
      </c>
    </row>
    <row r="854" spans="1:8">
      <c r="A854" s="9">
        <v>176445635</v>
      </c>
      <c r="B854" s="6">
        <v>44929</v>
      </c>
      <c r="C854" s="6">
        <v>44975</v>
      </c>
      <c r="D854" s="1" t="s">
        <v>7</v>
      </c>
      <c r="E854" s="1">
        <v>39</v>
      </c>
      <c r="F854" s="1" t="s">
        <v>6</v>
      </c>
      <c r="G854" s="44">
        <f t="shared" si="26"/>
        <v>46</v>
      </c>
      <c r="H854" s="10" t="str">
        <f t="shared" si="27"/>
        <v>Tuesday</v>
      </c>
    </row>
    <row r="855" spans="1:8">
      <c r="A855" s="9">
        <v>180798046</v>
      </c>
      <c r="B855" s="6">
        <v>44929</v>
      </c>
      <c r="C855" s="6">
        <v>44957</v>
      </c>
      <c r="D855" s="1" t="s">
        <v>7</v>
      </c>
      <c r="E855" s="1">
        <v>39</v>
      </c>
      <c r="F855" s="1" t="s">
        <v>6</v>
      </c>
      <c r="G855" s="44">
        <f t="shared" si="26"/>
        <v>28</v>
      </c>
      <c r="H855" s="10" t="str">
        <f t="shared" si="27"/>
        <v>Tuesday</v>
      </c>
    </row>
    <row r="856" spans="1:8">
      <c r="A856" s="9">
        <v>180718702</v>
      </c>
      <c r="B856" s="6">
        <v>44929</v>
      </c>
      <c r="C856" s="6">
        <v>44951</v>
      </c>
      <c r="D856" s="1" t="s">
        <v>7</v>
      </c>
      <c r="E856" s="1">
        <v>39</v>
      </c>
      <c r="F856" s="1" t="s">
        <v>6</v>
      </c>
      <c r="G856" s="44">
        <f t="shared" si="26"/>
        <v>22</v>
      </c>
      <c r="H856" s="10" t="str">
        <f t="shared" si="27"/>
        <v>Tuesday</v>
      </c>
    </row>
    <row r="857" spans="1:8">
      <c r="A857" s="9">
        <v>181052392</v>
      </c>
      <c r="B857" s="6">
        <v>44929</v>
      </c>
      <c r="C857" s="6">
        <v>45161</v>
      </c>
      <c r="D857" s="1" t="s">
        <v>7</v>
      </c>
      <c r="E857" s="1">
        <v>39</v>
      </c>
      <c r="F857" s="1" t="s">
        <v>6</v>
      </c>
      <c r="G857" s="44">
        <f t="shared" si="26"/>
        <v>232</v>
      </c>
      <c r="H857" s="10" t="str">
        <f t="shared" si="27"/>
        <v>Tuesday</v>
      </c>
    </row>
    <row r="858" spans="1:8">
      <c r="A858" s="9">
        <v>181717508</v>
      </c>
      <c r="B858" s="6">
        <v>44930</v>
      </c>
      <c r="C858" s="1"/>
      <c r="D858" s="1" t="s">
        <v>7</v>
      </c>
      <c r="E858" s="1">
        <v>39</v>
      </c>
      <c r="F858" s="1" t="s">
        <v>6</v>
      </c>
      <c r="G858" s="44" t="str">
        <f t="shared" si="26"/>
        <v/>
      </c>
      <c r="H858" s="10" t="str">
        <f t="shared" si="27"/>
        <v>Wednesday</v>
      </c>
    </row>
    <row r="859" spans="1:8">
      <c r="A859" s="9">
        <v>163103592</v>
      </c>
      <c r="B859" s="6">
        <v>44930</v>
      </c>
      <c r="C859" s="6">
        <v>44931</v>
      </c>
      <c r="D859" s="1" t="s">
        <v>8</v>
      </c>
      <c r="E859" s="1">
        <v>39</v>
      </c>
      <c r="F859" s="1" t="s">
        <v>6</v>
      </c>
      <c r="G859" s="44">
        <f t="shared" si="26"/>
        <v>1</v>
      </c>
      <c r="H859" s="10" t="str">
        <f t="shared" si="27"/>
        <v>Wednesday</v>
      </c>
    </row>
    <row r="860" spans="1:8">
      <c r="A860" s="9">
        <v>146860806</v>
      </c>
      <c r="B860" s="6">
        <v>44930</v>
      </c>
      <c r="C860" s="6">
        <v>44989</v>
      </c>
      <c r="D860" s="1" t="s">
        <v>7</v>
      </c>
      <c r="E860" s="1">
        <v>39</v>
      </c>
      <c r="F860" s="1" t="s">
        <v>6</v>
      </c>
      <c r="G860" s="44">
        <f t="shared" si="26"/>
        <v>59</v>
      </c>
      <c r="H860" s="10" t="str">
        <f t="shared" si="27"/>
        <v>Wednesday</v>
      </c>
    </row>
    <row r="861" spans="1:8">
      <c r="A861" s="9">
        <v>160532210</v>
      </c>
      <c r="B861" s="6">
        <v>44930</v>
      </c>
      <c r="C861" s="6">
        <v>44969</v>
      </c>
      <c r="D861" s="1" t="s">
        <v>7</v>
      </c>
      <c r="E861" s="1">
        <v>39</v>
      </c>
      <c r="F861" s="1" t="s">
        <v>6</v>
      </c>
      <c r="G861" s="44">
        <f t="shared" si="26"/>
        <v>39</v>
      </c>
      <c r="H861" s="10" t="str">
        <f t="shared" si="27"/>
        <v>Wednesday</v>
      </c>
    </row>
    <row r="862" spans="1:8">
      <c r="A862" s="9">
        <v>181003342</v>
      </c>
      <c r="B862" s="6">
        <v>44930</v>
      </c>
      <c r="C862" s="6">
        <v>44985</v>
      </c>
      <c r="D862" s="1" t="s">
        <v>7</v>
      </c>
      <c r="E862" s="1">
        <v>39</v>
      </c>
      <c r="F862" s="1" t="s">
        <v>6</v>
      </c>
      <c r="G862" s="44">
        <f t="shared" si="26"/>
        <v>55</v>
      </c>
      <c r="H862" s="10" t="str">
        <f t="shared" si="27"/>
        <v>Wednesday</v>
      </c>
    </row>
    <row r="863" spans="1:8">
      <c r="A863" s="9">
        <v>178661698</v>
      </c>
      <c r="B863" s="6">
        <v>44930</v>
      </c>
      <c r="C863" s="6">
        <v>45118</v>
      </c>
      <c r="D863" s="1" t="s">
        <v>7</v>
      </c>
      <c r="E863" s="1">
        <v>39</v>
      </c>
      <c r="F863" s="1" t="s">
        <v>6</v>
      </c>
      <c r="G863" s="44">
        <f t="shared" si="26"/>
        <v>188</v>
      </c>
      <c r="H863" s="10" t="str">
        <f t="shared" si="27"/>
        <v>Wednesday</v>
      </c>
    </row>
    <row r="864" spans="1:8">
      <c r="A864" s="9">
        <v>178928897</v>
      </c>
      <c r="B864" s="6">
        <v>44931</v>
      </c>
      <c r="C864" s="1"/>
      <c r="D864" s="1" t="s">
        <v>7</v>
      </c>
      <c r="E864" s="1">
        <v>39</v>
      </c>
      <c r="F864" s="1" t="s">
        <v>6</v>
      </c>
      <c r="G864" s="44" t="str">
        <f t="shared" si="26"/>
        <v/>
      </c>
      <c r="H864" s="10" t="str">
        <f t="shared" si="27"/>
        <v>Thursday</v>
      </c>
    </row>
    <row r="865" spans="1:8">
      <c r="A865" s="9">
        <v>181840814</v>
      </c>
      <c r="B865" s="6">
        <v>44931</v>
      </c>
      <c r="C865" s="1"/>
      <c r="D865" s="1" t="s">
        <v>7</v>
      </c>
      <c r="E865" s="1">
        <v>39</v>
      </c>
      <c r="F865" s="1" t="s">
        <v>6</v>
      </c>
      <c r="G865" s="44" t="str">
        <f t="shared" si="26"/>
        <v/>
      </c>
      <c r="H865" s="10" t="str">
        <f t="shared" si="27"/>
        <v>Thursday</v>
      </c>
    </row>
    <row r="866" spans="1:8">
      <c r="A866" s="9">
        <v>166930287</v>
      </c>
      <c r="B866" s="6">
        <v>44931</v>
      </c>
      <c r="C866" s="6">
        <v>44932</v>
      </c>
      <c r="D866" s="1" t="s">
        <v>8</v>
      </c>
      <c r="E866" s="1">
        <v>39</v>
      </c>
      <c r="F866" s="1" t="s">
        <v>6</v>
      </c>
      <c r="G866" s="44">
        <f t="shared" si="26"/>
        <v>1</v>
      </c>
      <c r="H866" s="10" t="str">
        <f t="shared" si="27"/>
        <v>Thursday</v>
      </c>
    </row>
    <row r="867" spans="1:8">
      <c r="A867" s="9">
        <v>155956314</v>
      </c>
      <c r="B867" s="6">
        <v>44931</v>
      </c>
      <c r="C867" s="6">
        <v>44931</v>
      </c>
      <c r="D867" s="1" t="s">
        <v>8</v>
      </c>
      <c r="E867" s="1">
        <v>39</v>
      </c>
      <c r="F867" s="1" t="s">
        <v>6</v>
      </c>
      <c r="G867" s="44">
        <f t="shared" si="26"/>
        <v>0</v>
      </c>
      <c r="H867" s="10" t="str">
        <f t="shared" si="27"/>
        <v>Thursday</v>
      </c>
    </row>
    <row r="868" spans="1:8">
      <c r="A868" s="9">
        <v>182408564</v>
      </c>
      <c r="B868" s="6">
        <v>44931</v>
      </c>
      <c r="C868" s="6">
        <v>45050</v>
      </c>
      <c r="D868" s="1" t="s">
        <v>7</v>
      </c>
      <c r="E868" s="1">
        <v>39</v>
      </c>
      <c r="F868" s="1" t="s">
        <v>6</v>
      </c>
      <c r="G868" s="44">
        <f t="shared" si="26"/>
        <v>119</v>
      </c>
      <c r="H868" s="10" t="str">
        <f t="shared" si="27"/>
        <v>Thursday</v>
      </c>
    </row>
    <row r="869" spans="1:8">
      <c r="A869" s="9">
        <v>182295766</v>
      </c>
      <c r="B869" s="6">
        <v>44931</v>
      </c>
      <c r="C869" s="6">
        <v>44997</v>
      </c>
      <c r="D869" s="1" t="s">
        <v>7</v>
      </c>
      <c r="E869" s="1">
        <v>39</v>
      </c>
      <c r="F869" s="1" t="s">
        <v>6</v>
      </c>
      <c r="G869" s="44">
        <f t="shared" si="26"/>
        <v>66</v>
      </c>
      <c r="H869" s="10" t="str">
        <f t="shared" si="27"/>
        <v>Thursday</v>
      </c>
    </row>
    <row r="870" spans="1:8">
      <c r="A870" s="9">
        <v>155881023</v>
      </c>
      <c r="B870" s="6">
        <v>44931</v>
      </c>
      <c r="C870" s="6">
        <v>44987</v>
      </c>
      <c r="D870" s="1" t="s">
        <v>7</v>
      </c>
      <c r="E870" s="1">
        <v>39</v>
      </c>
      <c r="F870" s="1" t="s">
        <v>6</v>
      </c>
      <c r="G870" s="44">
        <f t="shared" si="26"/>
        <v>56</v>
      </c>
      <c r="H870" s="10" t="str">
        <f t="shared" si="27"/>
        <v>Thursday</v>
      </c>
    </row>
    <row r="871" spans="1:8">
      <c r="A871" s="9">
        <v>152750569</v>
      </c>
      <c r="B871" s="6">
        <v>44931</v>
      </c>
      <c r="C871" s="6">
        <v>44969</v>
      </c>
      <c r="D871" s="1" t="s">
        <v>7</v>
      </c>
      <c r="E871" s="1">
        <v>39</v>
      </c>
      <c r="F871" s="1" t="s">
        <v>6</v>
      </c>
      <c r="G871" s="44">
        <f t="shared" si="26"/>
        <v>38</v>
      </c>
      <c r="H871" s="10" t="str">
        <f t="shared" si="27"/>
        <v>Thursday</v>
      </c>
    </row>
    <row r="872" spans="1:8">
      <c r="A872" s="9">
        <v>178345451</v>
      </c>
      <c r="B872" s="6">
        <v>44931</v>
      </c>
      <c r="C872" s="6">
        <v>44969</v>
      </c>
      <c r="D872" s="1" t="s">
        <v>7</v>
      </c>
      <c r="E872" s="1">
        <v>39</v>
      </c>
      <c r="F872" s="1" t="s">
        <v>6</v>
      </c>
      <c r="G872" s="44">
        <f t="shared" si="26"/>
        <v>38</v>
      </c>
      <c r="H872" s="10" t="str">
        <f t="shared" si="27"/>
        <v>Thursday</v>
      </c>
    </row>
    <row r="873" spans="1:8">
      <c r="A873" s="9">
        <v>179758181</v>
      </c>
      <c r="B873" s="6">
        <v>44932</v>
      </c>
      <c r="C873" s="1"/>
      <c r="D873" s="1" t="s">
        <v>7</v>
      </c>
      <c r="E873" s="1">
        <v>39</v>
      </c>
      <c r="F873" s="1" t="s">
        <v>6</v>
      </c>
      <c r="G873" s="44" t="str">
        <f t="shared" si="26"/>
        <v/>
      </c>
      <c r="H873" s="10" t="str">
        <f t="shared" si="27"/>
        <v>Friday</v>
      </c>
    </row>
    <row r="874" spans="1:8">
      <c r="A874" s="9">
        <v>167266048</v>
      </c>
      <c r="B874" s="6">
        <v>44932</v>
      </c>
      <c r="C874" s="1"/>
      <c r="D874" s="1" t="s">
        <v>7</v>
      </c>
      <c r="E874" s="1">
        <v>39</v>
      </c>
      <c r="F874" s="1" t="s">
        <v>6</v>
      </c>
      <c r="G874" s="44" t="str">
        <f t="shared" si="26"/>
        <v/>
      </c>
      <c r="H874" s="10" t="str">
        <f t="shared" si="27"/>
        <v>Friday</v>
      </c>
    </row>
    <row r="875" spans="1:8">
      <c r="A875" s="9">
        <v>182719870</v>
      </c>
      <c r="B875" s="6">
        <v>44932</v>
      </c>
      <c r="C875" s="6">
        <v>45050</v>
      </c>
      <c r="D875" s="1" t="s">
        <v>7</v>
      </c>
      <c r="E875" s="1">
        <v>39</v>
      </c>
      <c r="F875" s="1" t="s">
        <v>6</v>
      </c>
      <c r="G875" s="44">
        <f t="shared" si="26"/>
        <v>118</v>
      </c>
      <c r="H875" s="10" t="str">
        <f t="shared" si="27"/>
        <v>Friday</v>
      </c>
    </row>
    <row r="876" spans="1:8">
      <c r="A876" s="9">
        <v>182408430</v>
      </c>
      <c r="B876" s="6">
        <v>44932</v>
      </c>
      <c r="C876" s="6">
        <v>45056</v>
      </c>
      <c r="D876" s="1" t="s">
        <v>7</v>
      </c>
      <c r="E876" s="1">
        <v>39</v>
      </c>
      <c r="F876" s="1" t="s">
        <v>6</v>
      </c>
      <c r="G876" s="44">
        <f t="shared" si="26"/>
        <v>124</v>
      </c>
      <c r="H876" s="10" t="str">
        <f t="shared" si="27"/>
        <v>Friday</v>
      </c>
    </row>
    <row r="877" spans="1:8">
      <c r="A877" s="9">
        <v>181072524</v>
      </c>
      <c r="B877" s="6">
        <v>44932</v>
      </c>
      <c r="C877" s="6">
        <v>45107</v>
      </c>
      <c r="D877" s="1" t="s">
        <v>7</v>
      </c>
      <c r="E877" s="1">
        <v>39</v>
      </c>
      <c r="F877" s="1" t="s">
        <v>6</v>
      </c>
      <c r="G877" s="44">
        <f t="shared" si="26"/>
        <v>175</v>
      </c>
      <c r="H877" s="10" t="str">
        <f t="shared" si="27"/>
        <v>Friday</v>
      </c>
    </row>
    <row r="878" spans="1:8">
      <c r="A878" s="9">
        <v>182747824</v>
      </c>
      <c r="B878" s="6">
        <v>44932</v>
      </c>
      <c r="C878" s="6">
        <v>45029</v>
      </c>
      <c r="D878" s="1" t="s">
        <v>7</v>
      </c>
      <c r="E878" s="1">
        <v>39</v>
      </c>
      <c r="F878" s="1" t="s">
        <v>6</v>
      </c>
      <c r="G878" s="44">
        <f t="shared" si="26"/>
        <v>97</v>
      </c>
      <c r="H878" s="10" t="str">
        <f t="shared" si="27"/>
        <v>Friday</v>
      </c>
    </row>
    <row r="879" spans="1:8">
      <c r="A879" s="9">
        <v>182700534</v>
      </c>
      <c r="B879" s="6">
        <v>44932</v>
      </c>
      <c r="C879" s="6">
        <v>45011</v>
      </c>
      <c r="D879" s="1" t="s">
        <v>7</v>
      </c>
      <c r="E879" s="1">
        <v>39</v>
      </c>
      <c r="F879" s="1" t="s">
        <v>6</v>
      </c>
      <c r="G879" s="44">
        <f t="shared" si="26"/>
        <v>79</v>
      </c>
      <c r="H879" s="10" t="str">
        <f t="shared" si="27"/>
        <v>Friday</v>
      </c>
    </row>
    <row r="880" spans="1:8">
      <c r="A880" s="9">
        <v>182727349</v>
      </c>
      <c r="B880" s="6">
        <v>44932</v>
      </c>
      <c r="C880" s="6">
        <v>44963</v>
      </c>
      <c r="D880" s="1" t="s">
        <v>7</v>
      </c>
      <c r="E880" s="1">
        <v>39</v>
      </c>
      <c r="F880" s="1" t="s">
        <v>6</v>
      </c>
      <c r="G880" s="44">
        <f t="shared" si="26"/>
        <v>31</v>
      </c>
      <c r="H880" s="10" t="str">
        <f t="shared" si="27"/>
        <v>Friday</v>
      </c>
    </row>
    <row r="881" spans="1:8">
      <c r="A881" s="9">
        <v>182636324</v>
      </c>
      <c r="B881" s="6">
        <v>44932</v>
      </c>
      <c r="C881" s="6">
        <v>44960</v>
      </c>
      <c r="D881" s="1" t="s">
        <v>7</v>
      </c>
      <c r="E881" s="1">
        <v>39</v>
      </c>
      <c r="F881" s="1" t="s">
        <v>6</v>
      </c>
      <c r="G881" s="44">
        <f t="shared" si="26"/>
        <v>28</v>
      </c>
      <c r="H881" s="10" t="str">
        <f t="shared" si="27"/>
        <v>Friday</v>
      </c>
    </row>
    <row r="882" spans="1:8">
      <c r="A882" s="9">
        <v>170485769</v>
      </c>
      <c r="B882" s="6">
        <v>44932</v>
      </c>
      <c r="C882" s="6">
        <v>44932</v>
      </c>
      <c r="D882" s="1" t="s">
        <v>7</v>
      </c>
      <c r="E882" s="1">
        <v>39</v>
      </c>
      <c r="F882" s="1" t="s">
        <v>6</v>
      </c>
      <c r="G882" s="44">
        <f t="shared" si="26"/>
        <v>0</v>
      </c>
      <c r="H882" s="10" t="str">
        <f t="shared" si="27"/>
        <v>Friday</v>
      </c>
    </row>
    <row r="883" spans="1:8">
      <c r="A883" s="9">
        <v>182627508</v>
      </c>
      <c r="B883" s="6">
        <v>44932</v>
      </c>
      <c r="C883" s="6">
        <v>44932</v>
      </c>
      <c r="D883" s="1" t="s">
        <v>7</v>
      </c>
      <c r="E883" s="1">
        <v>39</v>
      </c>
      <c r="F883" s="1" t="s">
        <v>6</v>
      </c>
      <c r="G883" s="44">
        <f t="shared" si="26"/>
        <v>0</v>
      </c>
      <c r="H883" s="10" t="str">
        <f t="shared" si="27"/>
        <v>Friday</v>
      </c>
    </row>
    <row r="884" spans="1:8">
      <c r="A884" s="9">
        <v>182834016</v>
      </c>
      <c r="B884" s="6">
        <v>44933</v>
      </c>
      <c r="C884" s="6">
        <v>45091</v>
      </c>
      <c r="D884" s="1" t="s">
        <v>7</v>
      </c>
      <c r="E884" s="1">
        <v>39</v>
      </c>
      <c r="F884" s="1" t="s">
        <v>6</v>
      </c>
      <c r="G884" s="44">
        <f t="shared" si="26"/>
        <v>158</v>
      </c>
      <c r="H884" s="10" t="str">
        <f t="shared" si="27"/>
        <v>Saturday</v>
      </c>
    </row>
    <row r="885" spans="1:8">
      <c r="A885" s="9">
        <v>163535855</v>
      </c>
      <c r="B885" s="6">
        <v>44933</v>
      </c>
      <c r="C885" s="6">
        <v>45098</v>
      </c>
      <c r="D885" s="1" t="s">
        <v>7</v>
      </c>
      <c r="E885" s="1">
        <v>39</v>
      </c>
      <c r="F885" s="1" t="s">
        <v>6</v>
      </c>
      <c r="G885" s="44">
        <f t="shared" si="26"/>
        <v>165</v>
      </c>
      <c r="H885" s="10" t="str">
        <f t="shared" si="27"/>
        <v>Saturday</v>
      </c>
    </row>
    <row r="886" spans="1:8">
      <c r="A886" s="9">
        <v>183002853</v>
      </c>
      <c r="B886" s="6">
        <v>44933</v>
      </c>
      <c r="C886" s="6">
        <v>45024</v>
      </c>
      <c r="D886" s="1" t="s">
        <v>7</v>
      </c>
      <c r="E886" s="1">
        <v>39</v>
      </c>
      <c r="F886" s="1" t="s">
        <v>6</v>
      </c>
      <c r="G886" s="44">
        <f t="shared" si="26"/>
        <v>91</v>
      </c>
      <c r="H886" s="10" t="str">
        <f t="shared" si="27"/>
        <v>Saturday</v>
      </c>
    </row>
    <row r="887" spans="1:8">
      <c r="A887" s="9">
        <v>148338824</v>
      </c>
      <c r="B887" s="6">
        <v>44933</v>
      </c>
      <c r="C887" s="6">
        <v>44964</v>
      </c>
      <c r="D887" s="1" t="s">
        <v>7</v>
      </c>
      <c r="E887" s="1">
        <v>39</v>
      </c>
      <c r="F887" s="1" t="s">
        <v>6</v>
      </c>
      <c r="G887" s="44">
        <f t="shared" si="26"/>
        <v>31</v>
      </c>
      <c r="H887" s="10" t="str">
        <f t="shared" si="27"/>
        <v>Saturday</v>
      </c>
    </row>
    <row r="888" spans="1:8">
      <c r="A888" s="9">
        <v>181712692</v>
      </c>
      <c r="B888" s="6">
        <v>44933</v>
      </c>
      <c r="C888" s="6">
        <v>44933</v>
      </c>
      <c r="D888" s="1" t="s">
        <v>7</v>
      </c>
      <c r="E888" s="1">
        <v>39</v>
      </c>
      <c r="F888" s="1" t="s">
        <v>6</v>
      </c>
      <c r="G888" s="44">
        <f t="shared" si="26"/>
        <v>0</v>
      </c>
      <c r="H888" s="10" t="str">
        <f t="shared" si="27"/>
        <v>Saturday</v>
      </c>
    </row>
    <row r="889" spans="1:8">
      <c r="A889" s="9">
        <v>181770777</v>
      </c>
      <c r="B889" s="6">
        <v>44934</v>
      </c>
      <c r="C889" s="1"/>
      <c r="D889" s="1" t="s">
        <v>7</v>
      </c>
      <c r="E889" s="1">
        <v>39</v>
      </c>
      <c r="F889" s="1" t="s">
        <v>6</v>
      </c>
      <c r="G889" s="44" t="str">
        <f t="shared" si="26"/>
        <v/>
      </c>
      <c r="H889" s="10" t="str">
        <f t="shared" si="27"/>
        <v>Sunday</v>
      </c>
    </row>
    <row r="890" spans="1:8">
      <c r="A890" s="9">
        <v>161269602</v>
      </c>
      <c r="B890" s="6">
        <v>44934</v>
      </c>
      <c r="C890" s="6">
        <v>44934</v>
      </c>
      <c r="D890" s="1" t="s">
        <v>7</v>
      </c>
      <c r="E890" s="1">
        <v>39</v>
      </c>
      <c r="F890" s="1" t="s">
        <v>6</v>
      </c>
      <c r="G890" s="44">
        <f t="shared" si="26"/>
        <v>0</v>
      </c>
      <c r="H890" s="10" t="str">
        <f t="shared" si="27"/>
        <v>Sunday</v>
      </c>
    </row>
    <row r="891" spans="1:8">
      <c r="A891" s="9">
        <v>145799416</v>
      </c>
      <c r="B891" s="6">
        <v>44934</v>
      </c>
      <c r="C891" s="6">
        <v>44967</v>
      </c>
      <c r="D891" s="1" t="s">
        <v>7</v>
      </c>
      <c r="E891" s="1">
        <v>39</v>
      </c>
      <c r="F891" s="1" t="s">
        <v>6</v>
      </c>
      <c r="G891" s="44">
        <f t="shared" si="26"/>
        <v>33</v>
      </c>
      <c r="H891" s="10" t="str">
        <f t="shared" si="27"/>
        <v>Sunday</v>
      </c>
    </row>
    <row r="892" spans="1:8">
      <c r="A892" s="9">
        <v>182753953</v>
      </c>
      <c r="B892" s="6">
        <v>44934</v>
      </c>
      <c r="C892" s="6">
        <v>45019</v>
      </c>
      <c r="D892" s="1" t="s">
        <v>7</v>
      </c>
      <c r="E892" s="1">
        <v>39</v>
      </c>
      <c r="F892" s="1" t="s">
        <v>6</v>
      </c>
      <c r="G892" s="44">
        <f t="shared" si="26"/>
        <v>85</v>
      </c>
      <c r="H892" s="10" t="str">
        <f t="shared" si="27"/>
        <v>Sunday</v>
      </c>
    </row>
    <row r="893" spans="1:8">
      <c r="A893" s="9">
        <v>162944728</v>
      </c>
      <c r="B893" s="6">
        <v>44934</v>
      </c>
      <c r="C893" s="6">
        <v>44986</v>
      </c>
      <c r="D893" s="1" t="s">
        <v>7</v>
      </c>
      <c r="E893" s="1">
        <v>39</v>
      </c>
      <c r="F893" s="1" t="s">
        <v>6</v>
      </c>
      <c r="G893" s="44">
        <f t="shared" si="26"/>
        <v>52</v>
      </c>
      <c r="H893" s="10" t="str">
        <f t="shared" si="27"/>
        <v>Sunday</v>
      </c>
    </row>
    <row r="894" spans="1:8">
      <c r="A894" s="9">
        <v>161249852</v>
      </c>
      <c r="B894" s="6">
        <v>44934</v>
      </c>
      <c r="C894" s="6">
        <v>44941</v>
      </c>
      <c r="D894" s="1" t="s">
        <v>7</v>
      </c>
      <c r="E894" s="1">
        <v>39</v>
      </c>
      <c r="F894" s="1" t="s">
        <v>6</v>
      </c>
      <c r="G894" s="44">
        <f t="shared" si="26"/>
        <v>7</v>
      </c>
      <c r="H894" s="10" t="str">
        <f t="shared" si="27"/>
        <v>Sunday</v>
      </c>
    </row>
    <row r="895" spans="1:8">
      <c r="A895" s="9">
        <v>183916833</v>
      </c>
      <c r="B895" s="6">
        <v>44935</v>
      </c>
      <c r="C895" s="1"/>
      <c r="D895" s="1" t="s">
        <v>7</v>
      </c>
      <c r="E895" s="1">
        <v>39</v>
      </c>
      <c r="F895" s="1" t="s">
        <v>6</v>
      </c>
      <c r="G895" s="44" t="str">
        <f t="shared" si="26"/>
        <v/>
      </c>
      <c r="H895" s="10" t="str">
        <f t="shared" si="27"/>
        <v>Monday</v>
      </c>
    </row>
    <row r="896" spans="1:8">
      <c r="A896" s="9">
        <v>169141612</v>
      </c>
      <c r="B896" s="6">
        <v>44935</v>
      </c>
      <c r="C896" s="6">
        <v>44936</v>
      </c>
      <c r="D896" s="1" t="s">
        <v>8</v>
      </c>
      <c r="E896" s="1">
        <v>39</v>
      </c>
      <c r="F896" s="1" t="s">
        <v>6</v>
      </c>
      <c r="G896" s="44">
        <f t="shared" si="26"/>
        <v>1</v>
      </c>
      <c r="H896" s="10" t="str">
        <f t="shared" si="27"/>
        <v>Monday</v>
      </c>
    </row>
    <row r="897" spans="1:8">
      <c r="A897" s="9">
        <v>128768010</v>
      </c>
      <c r="B897" s="6">
        <v>44935</v>
      </c>
      <c r="C897" s="6">
        <v>44938</v>
      </c>
      <c r="D897" s="1" t="s">
        <v>7</v>
      </c>
      <c r="E897" s="1">
        <v>39</v>
      </c>
      <c r="F897" s="1" t="s">
        <v>6</v>
      </c>
      <c r="G897" s="44">
        <f t="shared" si="26"/>
        <v>3</v>
      </c>
      <c r="H897" s="10" t="str">
        <f t="shared" si="27"/>
        <v>Monday</v>
      </c>
    </row>
    <row r="898" spans="1:8">
      <c r="A898" s="9">
        <v>138520918</v>
      </c>
      <c r="B898" s="6">
        <v>44935</v>
      </c>
      <c r="C898" s="6">
        <v>44935</v>
      </c>
      <c r="D898" s="1" t="s">
        <v>7</v>
      </c>
      <c r="E898" s="1">
        <v>39</v>
      </c>
      <c r="F898" s="1" t="s">
        <v>6</v>
      </c>
      <c r="G898" s="44">
        <f t="shared" si="26"/>
        <v>0</v>
      </c>
      <c r="H898" s="10" t="str">
        <f t="shared" si="27"/>
        <v>Monday</v>
      </c>
    </row>
    <row r="899" spans="1:8">
      <c r="A899" s="9">
        <v>162946328</v>
      </c>
      <c r="B899" s="6">
        <v>44935</v>
      </c>
      <c r="C899" s="6">
        <v>45054</v>
      </c>
      <c r="D899" s="1" t="s">
        <v>7</v>
      </c>
      <c r="E899" s="1">
        <v>39</v>
      </c>
      <c r="F899" s="1" t="s">
        <v>6</v>
      </c>
      <c r="G899" s="44">
        <f t="shared" ref="G899:G962" si="28">IF(C899="", "", DATEDIF(B899, C899, "D"))</f>
        <v>119</v>
      </c>
      <c r="H899" s="10" t="str">
        <f t="shared" ref="H899:H962" si="29">TEXT(B899, "dddd")</f>
        <v>Monday</v>
      </c>
    </row>
    <row r="900" spans="1:8">
      <c r="A900" s="9">
        <v>182929556</v>
      </c>
      <c r="B900" s="6">
        <v>44935</v>
      </c>
      <c r="C900" s="6">
        <v>45026</v>
      </c>
      <c r="D900" s="1" t="s">
        <v>7</v>
      </c>
      <c r="E900" s="1">
        <v>39</v>
      </c>
      <c r="F900" s="1" t="s">
        <v>6</v>
      </c>
      <c r="G900" s="44">
        <f t="shared" si="28"/>
        <v>91</v>
      </c>
      <c r="H900" s="10" t="str">
        <f t="shared" si="29"/>
        <v>Monday</v>
      </c>
    </row>
    <row r="901" spans="1:8">
      <c r="A901" s="9">
        <v>153704184</v>
      </c>
      <c r="B901" s="6">
        <v>44935</v>
      </c>
      <c r="C901" s="6">
        <v>45024</v>
      </c>
      <c r="D901" s="1" t="s">
        <v>7</v>
      </c>
      <c r="E901" s="1">
        <v>39</v>
      </c>
      <c r="F901" s="1" t="s">
        <v>6</v>
      </c>
      <c r="G901" s="44">
        <f t="shared" si="28"/>
        <v>89</v>
      </c>
      <c r="H901" s="10" t="str">
        <f t="shared" si="29"/>
        <v>Monday</v>
      </c>
    </row>
    <row r="902" spans="1:8">
      <c r="A902" s="9">
        <v>136326172</v>
      </c>
      <c r="B902" s="6">
        <v>44935</v>
      </c>
      <c r="C902" s="6">
        <v>44993</v>
      </c>
      <c r="D902" s="1" t="s">
        <v>7</v>
      </c>
      <c r="E902" s="1">
        <v>39</v>
      </c>
      <c r="F902" s="1" t="s">
        <v>6</v>
      </c>
      <c r="G902" s="44">
        <f t="shared" si="28"/>
        <v>58</v>
      </c>
      <c r="H902" s="10" t="str">
        <f t="shared" si="29"/>
        <v>Monday</v>
      </c>
    </row>
    <row r="903" spans="1:8">
      <c r="A903" s="9">
        <v>182505210</v>
      </c>
      <c r="B903" s="6">
        <v>44935</v>
      </c>
      <c r="C903" s="6">
        <v>44965</v>
      </c>
      <c r="D903" s="1" t="s">
        <v>7</v>
      </c>
      <c r="E903" s="1">
        <v>39</v>
      </c>
      <c r="F903" s="1" t="s">
        <v>6</v>
      </c>
      <c r="G903" s="44">
        <f t="shared" si="28"/>
        <v>30</v>
      </c>
      <c r="H903" s="10" t="str">
        <f t="shared" si="29"/>
        <v>Monday</v>
      </c>
    </row>
    <row r="904" spans="1:8">
      <c r="A904" s="9">
        <v>184370857</v>
      </c>
      <c r="B904" s="6">
        <v>44936</v>
      </c>
      <c r="C904" s="1"/>
      <c r="D904" s="1" t="s">
        <v>7</v>
      </c>
      <c r="E904" s="1">
        <v>39</v>
      </c>
      <c r="F904" s="1" t="s">
        <v>6</v>
      </c>
      <c r="G904" s="44" t="str">
        <f t="shared" si="28"/>
        <v/>
      </c>
      <c r="H904" s="10" t="str">
        <f t="shared" si="29"/>
        <v>Tuesday</v>
      </c>
    </row>
    <row r="905" spans="1:8">
      <c r="A905" s="9">
        <v>184310344</v>
      </c>
      <c r="B905" s="6">
        <v>44936</v>
      </c>
      <c r="C905" s="6">
        <v>45027</v>
      </c>
      <c r="D905" s="1" t="s">
        <v>7</v>
      </c>
      <c r="E905" s="1">
        <v>39</v>
      </c>
      <c r="F905" s="1" t="s">
        <v>6</v>
      </c>
      <c r="G905" s="44">
        <f t="shared" si="28"/>
        <v>91</v>
      </c>
      <c r="H905" s="10" t="str">
        <f t="shared" si="29"/>
        <v>Tuesday</v>
      </c>
    </row>
    <row r="906" spans="1:8">
      <c r="A906" s="9">
        <v>183346055</v>
      </c>
      <c r="B906" s="6">
        <v>44936</v>
      </c>
      <c r="C906" s="6">
        <v>45002</v>
      </c>
      <c r="D906" s="1" t="s">
        <v>7</v>
      </c>
      <c r="E906" s="1">
        <v>39</v>
      </c>
      <c r="F906" s="1" t="s">
        <v>6</v>
      </c>
      <c r="G906" s="44">
        <f t="shared" si="28"/>
        <v>66</v>
      </c>
      <c r="H906" s="10" t="str">
        <f t="shared" si="29"/>
        <v>Tuesday</v>
      </c>
    </row>
    <row r="907" spans="1:8">
      <c r="A907" s="9">
        <v>178952278</v>
      </c>
      <c r="B907" s="6">
        <v>44936</v>
      </c>
      <c r="C907" s="6">
        <v>44996</v>
      </c>
      <c r="D907" s="1" t="s">
        <v>7</v>
      </c>
      <c r="E907" s="1">
        <v>39</v>
      </c>
      <c r="F907" s="1" t="s">
        <v>6</v>
      </c>
      <c r="G907" s="44">
        <f t="shared" si="28"/>
        <v>60</v>
      </c>
      <c r="H907" s="10" t="str">
        <f t="shared" si="29"/>
        <v>Tuesday</v>
      </c>
    </row>
    <row r="908" spans="1:8">
      <c r="A908" s="9">
        <v>184345202</v>
      </c>
      <c r="B908" s="6">
        <v>44936</v>
      </c>
      <c r="C908" s="6">
        <v>44980</v>
      </c>
      <c r="D908" s="1" t="s">
        <v>7</v>
      </c>
      <c r="E908" s="1">
        <v>39</v>
      </c>
      <c r="F908" s="1" t="s">
        <v>6</v>
      </c>
      <c r="G908" s="44">
        <f t="shared" si="28"/>
        <v>44</v>
      </c>
      <c r="H908" s="10" t="str">
        <f t="shared" si="29"/>
        <v>Tuesday</v>
      </c>
    </row>
    <row r="909" spans="1:8">
      <c r="A909" s="9">
        <v>182837162</v>
      </c>
      <c r="B909" s="6">
        <v>44936</v>
      </c>
      <c r="C909" s="6">
        <v>44962</v>
      </c>
      <c r="D909" s="1" t="s">
        <v>7</v>
      </c>
      <c r="E909" s="1">
        <v>39</v>
      </c>
      <c r="F909" s="1" t="s">
        <v>6</v>
      </c>
      <c r="G909" s="44">
        <f t="shared" si="28"/>
        <v>26</v>
      </c>
      <c r="H909" s="10" t="str">
        <f t="shared" si="29"/>
        <v>Tuesday</v>
      </c>
    </row>
    <row r="910" spans="1:8">
      <c r="A910" s="9">
        <v>182927038</v>
      </c>
      <c r="B910" s="6">
        <v>44936</v>
      </c>
      <c r="C910" s="6">
        <v>44975</v>
      </c>
      <c r="D910" s="1" t="s">
        <v>7</v>
      </c>
      <c r="E910" s="1">
        <v>39</v>
      </c>
      <c r="F910" s="1" t="s">
        <v>6</v>
      </c>
      <c r="G910" s="44">
        <f t="shared" si="28"/>
        <v>39</v>
      </c>
      <c r="H910" s="10" t="str">
        <f t="shared" si="29"/>
        <v>Tuesday</v>
      </c>
    </row>
    <row r="911" spans="1:8">
      <c r="A911" s="9">
        <v>181739784</v>
      </c>
      <c r="B911" s="6">
        <v>44936</v>
      </c>
      <c r="C911" s="6">
        <v>44965</v>
      </c>
      <c r="D911" s="1" t="s">
        <v>7</v>
      </c>
      <c r="E911" s="1">
        <v>39</v>
      </c>
      <c r="F911" s="1" t="s">
        <v>6</v>
      </c>
      <c r="G911" s="44">
        <f t="shared" si="28"/>
        <v>29</v>
      </c>
      <c r="H911" s="10" t="str">
        <f t="shared" si="29"/>
        <v>Tuesday</v>
      </c>
    </row>
    <row r="912" spans="1:8">
      <c r="A912" s="9">
        <v>178605410</v>
      </c>
      <c r="B912" s="6">
        <v>44936</v>
      </c>
      <c r="C912" s="6">
        <v>44974</v>
      </c>
      <c r="D912" s="1" t="s">
        <v>7</v>
      </c>
      <c r="E912" s="1">
        <v>39</v>
      </c>
      <c r="F912" s="1" t="s">
        <v>6</v>
      </c>
      <c r="G912" s="44">
        <f t="shared" si="28"/>
        <v>38</v>
      </c>
      <c r="H912" s="10" t="str">
        <f t="shared" si="29"/>
        <v>Tuesday</v>
      </c>
    </row>
    <row r="913" spans="1:8">
      <c r="A913" s="9">
        <v>184334484</v>
      </c>
      <c r="B913" s="6">
        <v>44937</v>
      </c>
      <c r="C913" s="1"/>
      <c r="D913" s="1" t="s">
        <v>7</v>
      </c>
      <c r="E913" s="1">
        <v>39</v>
      </c>
      <c r="F913" s="1" t="s">
        <v>6</v>
      </c>
      <c r="G913" s="44" t="str">
        <f t="shared" si="28"/>
        <v/>
      </c>
      <c r="H913" s="10" t="str">
        <f t="shared" si="29"/>
        <v>Wednesday</v>
      </c>
    </row>
    <row r="914" spans="1:8">
      <c r="A914" s="9">
        <v>181576265</v>
      </c>
      <c r="B914" s="6">
        <v>44937</v>
      </c>
      <c r="C914" s="1"/>
      <c r="D914" s="1" t="s">
        <v>7</v>
      </c>
      <c r="E914" s="1">
        <v>39</v>
      </c>
      <c r="F914" s="1" t="s">
        <v>6</v>
      </c>
      <c r="G914" s="44" t="str">
        <f t="shared" si="28"/>
        <v/>
      </c>
      <c r="H914" s="10" t="str">
        <f t="shared" si="29"/>
        <v>Wednesday</v>
      </c>
    </row>
    <row r="915" spans="1:8">
      <c r="A915" s="9">
        <v>183645116</v>
      </c>
      <c r="B915" s="6">
        <v>44937</v>
      </c>
      <c r="C915" s="1"/>
      <c r="D915" s="1" t="s">
        <v>7</v>
      </c>
      <c r="E915" s="1">
        <v>39</v>
      </c>
      <c r="F915" s="1" t="s">
        <v>6</v>
      </c>
      <c r="G915" s="44" t="str">
        <f t="shared" si="28"/>
        <v/>
      </c>
      <c r="H915" s="10" t="str">
        <f t="shared" si="29"/>
        <v>Wednesday</v>
      </c>
    </row>
    <row r="916" spans="1:8">
      <c r="A916" s="9">
        <v>184812094</v>
      </c>
      <c r="B916" s="6">
        <v>44937</v>
      </c>
      <c r="C916" s="6">
        <v>45023</v>
      </c>
      <c r="D916" s="1" t="s">
        <v>7</v>
      </c>
      <c r="E916" s="1">
        <v>39</v>
      </c>
      <c r="F916" s="1" t="s">
        <v>6</v>
      </c>
      <c r="G916" s="44">
        <f t="shared" si="28"/>
        <v>86</v>
      </c>
      <c r="H916" s="10" t="str">
        <f t="shared" si="29"/>
        <v>Wednesday</v>
      </c>
    </row>
    <row r="917" spans="1:8">
      <c r="A917" s="9">
        <v>152089648</v>
      </c>
      <c r="B917" s="6">
        <v>44937</v>
      </c>
      <c r="C917" s="6">
        <v>45003</v>
      </c>
      <c r="D917" s="1" t="s">
        <v>7</v>
      </c>
      <c r="E917" s="1">
        <v>39</v>
      </c>
      <c r="F917" s="1" t="s">
        <v>6</v>
      </c>
      <c r="G917" s="44">
        <f t="shared" si="28"/>
        <v>66</v>
      </c>
      <c r="H917" s="10" t="str">
        <f t="shared" si="29"/>
        <v>Wednesday</v>
      </c>
    </row>
    <row r="918" spans="1:8">
      <c r="A918" s="9">
        <v>148710968</v>
      </c>
      <c r="B918" s="6">
        <v>44937</v>
      </c>
      <c r="C918" s="6">
        <v>44964</v>
      </c>
      <c r="D918" s="1" t="s">
        <v>7</v>
      </c>
      <c r="E918" s="1">
        <v>39</v>
      </c>
      <c r="F918" s="1" t="s">
        <v>6</v>
      </c>
      <c r="G918" s="44">
        <f t="shared" si="28"/>
        <v>27</v>
      </c>
      <c r="H918" s="10" t="str">
        <f t="shared" si="29"/>
        <v>Wednesday</v>
      </c>
    </row>
    <row r="919" spans="1:8">
      <c r="A919" s="9">
        <v>183197132</v>
      </c>
      <c r="B919" s="6">
        <v>44938</v>
      </c>
      <c r="C919" s="1"/>
      <c r="D919" s="1" t="s">
        <v>7</v>
      </c>
      <c r="E919" s="1">
        <v>39</v>
      </c>
      <c r="F919" s="1" t="s">
        <v>6</v>
      </c>
      <c r="G919" s="44" t="str">
        <f t="shared" si="28"/>
        <v/>
      </c>
      <c r="H919" s="10" t="str">
        <f t="shared" si="29"/>
        <v>Thursday</v>
      </c>
    </row>
    <row r="920" spans="1:8">
      <c r="A920" s="9">
        <v>156239744</v>
      </c>
      <c r="B920" s="6">
        <v>44938</v>
      </c>
      <c r="C920" s="1"/>
      <c r="D920" s="1" t="s">
        <v>7</v>
      </c>
      <c r="E920" s="1">
        <v>39</v>
      </c>
      <c r="F920" s="1" t="s">
        <v>6</v>
      </c>
      <c r="G920" s="44" t="str">
        <f t="shared" si="28"/>
        <v/>
      </c>
      <c r="H920" s="10" t="str">
        <f t="shared" si="29"/>
        <v>Thursday</v>
      </c>
    </row>
    <row r="921" spans="1:8">
      <c r="A921" s="9">
        <v>184481262</v>
      </c>
      <c r="B921" s="6">
        <v>44938</v>
      </c>
      <c r="C921" s="1"/>
      <c r="D921" s="1" t="s">
        <v>7</v>
      </c>
      <c r="E921" s="1">
        <v>39</v>
      </c>
      <c r="F921" s="1" t="s">
        <v>6</v>
      </c>
      <c r="G921" s="44" t="str">
        <f t="shared" si="28"/>
        <v/>
      </c>
      <c r="H921" s="10" t="str">
        <f t="shared" si="29"/>
        <v>Thursday</v>
      </c>
    </row>
    <row r="922" spans="1:8">
      <c r="A922" s="9">
        <v>153186137</v>
      </c>
      <c r="B922" s="6">
        <v>44938</v>
      </c>
      <c r="C922" s="6">
        <v>44939</v>
      </c>
      <c r="D922" s="1" t="s">
        <v>7</v>
      </c>
      <c r="E922" s="1">
        <v>39</v>
      </c>
      <c r="F922" s="1" t="s">
        <v>6</v>
      </c>
      <c r="G922" s="44">
        <f t="shared" si="28"/>
        <v>1</v>
      </c>
      <c r="H922" s="10" t="str">
        <f t="shared" si="29"/>
        <v>Thursday</v>
      </c>
    </row>
    <row r="923" spans="1:8">
      <c r="A923" s="9">
        <v>185374268</v>
      </c>
      <c r="B923" s="6">
        <v>44938</v>
      </c>
      <c r="C923" s="6">
        <v>44939</v>
      </c>
      <c r="D923" s="1" t="s">
        <v>8</v>
      </c>
      <c r="E923" s="1">
        <v>39</v>
      </c>
      <c r="F923" s="1" t="s">
        <v>6</v>
      </c>
      <c r="G923" s="44">
        <f t="shared" si="28"/>
        <v>1</v>
      </c>
      <c r="H923" s="10" t="str">
        <f t="shared" si="29"/>
        <v>Thursday</v>
      </c>
    </row>
    <row r="924" spans="1:8">
      <c r="A924" s="9">
        <v>185367349</v>
      </c>
      <c r="B924" s="6">
        <v>44938</v>
      </c>
      <c r="C924" s="6">
        <v>44939</v>
      </c>
      <c r="D924" s="1" t="s">
        <v>8</v>
      </c>
      <c r="E924" s="1">
        <v>39</v>
      </c>
      <c r="F924" s="1" t="s">
        <v>6</v>
      </c>
      <c r="G924" s="44">
        <f t="shared" si="28"/>
        <v>1</v>
      </c>
      <c r="H924" s="10" t="str">
        <f t="shared" si="29"/>
        <v>Thursday</v>
      </c>
    </row>
    <row r="925" spans="1:8">
      <c r="A925" s="9">
        <v>150793080</v>
      </c>
      <c r="B925" s="6">
        <v>44938</v>
      </c>
      <c r="C925" s="6">
        <v>44986</v>
      </c>
      <c r="D925" s="1" t="s">
        <v>7</v>
      </c>
      <c r="E925" s="1">
        <v>39</v>
      </c>
      <c r="F925" s="1" t="s">
        <v>6</v>
      </c>
      <c r="G925" s="44">
        <f t="shared" si="28"/>
        <v>48</v>
      </c>
      <c r="H925" s="10" t="str">
        <f t="shared" si="29"/>
        <v>Thursday</v>
      </c>
    </row>
    <row r="926" spans="1:8">
      <c r="A926" s="9">
        <v>183406772</v>
      </c>
      <c r="B926" s="6">
        <v>44938</v>
      </c>
      <c r="C926" s="6">
        <v>44990</v>
      </c>
      <c r="D926" s="1" t="s">
        <v>7</v>
      </c>
      <c r="E926" s="1">
        <v>39</v>
      </c>
      <c r="F926" s="1" t="s">
        <v>6</v>
      </c>
      <c r="G926" s="44">
        <f t="shared" si="28"/>
        <v>52</v>
      </c>
      <c r="H926" s="10" t="str">
        <f t="shared" si="29"/>
        <v>Thursday</v>
      </c>
    </row>
    <row r="927" spans="1:8">
      <c r="A927" s="9">
        <v>175760281</v>
      </c>
      <c r="B927" s="6">
        <v>44938</v>
      </c>
      <c r="C927" s="6">
        <v>44969</v>
      </c>
      <c r="D927" s="1" t="s">
        <v>7</v>
      </c>
      <c r="E927" s="1">
        <v>39</v>
      </c>
      <c r="F927" s="1" t="s">
        <v>6</v>
      </c>
      <c r="G927" s="44">
        <f t="shared" si="28"/>
        <v>31</v>
      </c>
      <c r="H927" s="10" t="str">
        <f t="shared" si="29"/>
        <v>Thursday</v>
      </c>
    </row>
    <row r="928" spans="1:8">
      <c r="A928" s="9">
        <v>162095012</v>
      </c>
      <c r="B928" s="6">
        <v>44938</v>
      </c>
      <c r="C928" s="6">
        <v>44951</v>
      </c>
      <c r="D928" s="1" t="s">
        <v>7</v>
      </c>
      <c r="E928" s="1">
        <v>39</v>
      </c>
      <c r="F928" s="1" t="s">
        <v>6</v>
      </c>
      <c r="G928" s="44">
        <f t="shared" si="28"/>
        <v>13</v>
      </c>
      <c r="H928" s="10" t="str">
        <f t="shared" si="29"/>
        <v>Thursday</v>
      </c>
    </row>
    <row r="929" spans="1:8">
      <c r="A929" s="9">
        <v>179356036</v>
      </c>
      <c r="B929" s="6">
        <v>44938</v>
      </c>
      <c r="C929" s="6">
        <v>44938</v>
      </c>
      <c r="D929" s="1" t="s">
        <v>7</v>
      </c>
      <c r="E929" s="1">
        <v>39</v>
      </c>
      <c r="F929" s="1" t="s">
        <v>6</v>
      </c>
      <c r="G929" s="44">
        <f t="shared" si="28"/>
        <v>0</v>
      </c>
      <c r="H929" s="10" t="str">
        <f t="shared" si="29"/>
        <v>Thursday</v>
      </c>
    </row>
    <row r="930" spans="1:8">
      <c r="A930" s="9">
        <v>184567432</v>
      </c>
      <c r="B930" s="6">
        <v>44938</v>
      </c>
      <c r="C930" s="6">
        <v>44949</v>
      </c>
      <c r="D930" s="1" t="s">
        <v>7</v>
      </c>
      <c r="E930" s="1">
        <v>39</v>
      </c>
      <c r="F930" s="1" t="s">
        <v>6</v>
      </c>
      <c r="G930" s="44">
        <f t="shared" si="28"/>
        <v>11</v>
      </c>
      <c r="H930" s="10" t="str">
        <f t="shared" si="29"/>
        <v>Thursday</v>
      </c>
    </row>
    <row r="931" spans="1:8">
      <c r="A931" s="9">
        <v>185503171</v>
      </c>
      <c r="B931" s="6">
        <v>44938</v>
      </c>
      <c r="C931" s="6">
        <v>45112</v>
      </c>
      <c r="D931" s="1" t="s">
        <v>7</v>
      </c>
      <c r="E931" s="1">
        <v>39</v>
      </c>
      <c r="F931" s="1" t="s">
        <v>6</v>
      </c>
      <c r="G931" s="44">
        <f t="shared" si="28"/>
        <v>174</v>
      </c>
      <c r="H931" s="10" t="str">
        <f t="shared" si="29"/>
        <v>Thursday</v>
      </c>
    </row>
    <row r="932" spans="1:8">
      <c r="A932" s="9">
        <v>171922477</v>
      </c>
      <c r="B932" s="6">
        <v>44938</v>
      </c>
      <c r="C932" s="6">
        <v>45105</v>
      </c>
      <c r="D932" s="1" t="s">
        <v>7</v>
      </c>
      <c r="E932" s="1">
        <v>39</v>
      </c>
      <c r="F932" s="1" t="s">
        <v>6</v>
      </c>
      <c r="G932" s="44">
        <f t="shared" si="28"/>
        <v>167</v>
      </c>
      <c r="H932" s="10" t="str">
        <f t="shared" si="29"/>
        <v>Thursday</v>
      </c>
    </row>
    <row r="933" spans="1:8">
      <c r="A933" s="9">
        <v>144830936</v>
      </c>
      <c r="B933" s="6">
        <v>44938</v>
      </c>
      <c r="C933" s="6">
        <v>45134</v>
      </c>
      <c r="D933" s="1" t="s">
        <v>7</v>
      </c>
      <c r="E933" s="1">
        <v>39</v>
      </c>
      <c r="F933" s="1" t="s">
        <v>6</v>
      </c>
      <c r="G933" s="44">
        <f t="shared" si="28"/>
        <v>196</v>
      </c>
      <c r="H933" s="10" t="str">
        <f t="shared" si="29"/>
        <v>Thursday</v>
      </c>
    </row>
    <row r="934" spans="1:8">
      <c r="A934" s="9">
        <v>157474087</v>
      </c>
      <c r="B934" s="6">
        <v>44939</v>
      </c>
      <c r="C934" s="1"/>
      <c r="D934" s="1" t="s">
        <v>7</v>
      </c>
      <c r="E934" s="1">
        <v>39</v>
      </c>
      <c r="F934" s="1" t="s">
        <v>6</v>
      </c>
      <c r="G934" s="44" t="str">
        <f t="shared" si="28"/>
        <v/>
      </c>
      <c r="H934" s="10" t="str">
        <f t="shared" si="29"/>
        <v>Friday</v>
      </c>
    </row>
    <row r="935" spans="1:8">
      <c r="A935" s="9">
        <v>182350116</v>
      </c>
      <c r="B935" s="6">
        <v>44939</v>
      </c>
      <c r="C935" s="1"/>
      <c r="D935" s="1" t="s">
        <v>7</v>
      </c>
      <c r="E935" s="1">
        <v>39</v>
      </c>
      <c r="F935" s="1" t="s">
        <v>6</v>
      </c>
      <c r="G935" s="44" t="str">
        <f t="shared" si="28"/>
        <v/>
      </c>
      <c r="H935" s="10" t="str">
        <f t="shared" si="29"/>
        <v>Friday</v>
      </c>
    </row>
    <row r="936" spans="1:8">
      <c r="A936" s="9">
        <v>132867770</v>
      </c>
      <c r="B936" s="6">
        <v>44939</v>
      </c>
      <c r="C936" s="6">
        <v>44940</v>
      </c>
      <c r="D936" s="1" t="s">
        <v>7</v>
      </c>
      <c r="E936" s="1">
        <v>39</v>
      </c>
      <c r="F936" s="1" t="s">
        <v>6</v>
      </c>
      <c r="G936" s="44">
        <f t="shared" si="28"/>
        <v>1</v>
      </c>
      <c r="H936" s="10" t="str">
        <f t="shared" si="29"/>
        <v>Friday</v>
      </c>
    </row>
    <row r="937" spans="1:8">
      <c r="A937" s="9">
        <v>185561880</v>
      </c>
      <c r="B937" s="6">
        <v>44939</v>
      </c>
      <c r="C937" s="6">
        <v>44940</v>
      </c>
      <c r="D937" s="1" t="s">
        <v>8</v>
      </c>
      <c r="E937" s="1">
        <v>39</v>
      </c>
      <c r="F937" s="1" t="s">
        <v>6</v>
      </c>
      <c r="G937" s="44">
        <f t="shared" si="28"/>
        <v>1</v>
      </c>
      <c r="H937" s="10" t="str">
        <f t="shared" si="29"/>
        <v>Friday</v>
      </c>
    </row>
    <row r="938" spans="1:8">
      <c r="A938" s="9">
        <v>168884196</v>
      </c>
      <c r="B938" s="6">
        <v>44939</v>
      </c>
      <c r="C938" s="6">
        <v>45022</v>
      </c>
      <c r="D938" s="1" t="s">
        <v>7</v>
      </c>
      <c r="E938" s="1">
        <v>39</v>
      </c>
      <c r="F938" s="1" t="s">
        <v>6</v>
      </c>
      <c r="G938" s="44">
        <f t="shared" si="28"/>
        <v>83</v>
      </c>
      <c r="H938" s="10" t="str">
        <f t="shared" si="29"/>
        <v>Friday</v>
      </c>
    </row>
    <row r="939" spans="1:8">
      <c r="A939" s="9">
        <v>161269602</v>
      </c>
      <c r="B939" s="6">
        <v>44939</v>
      </c>
      <c r="C939" s="6">
        <v>44977</v>
      </c>
      <c r="D939" s="1" t="s">
        <v>7</v>
      </c>
      <c r="E939" s="1">
        <v>39</v>
      </c>
      <c r="F939" s="1" t="s">
        <v>6</v>
      </c>
      <c r="G939" s="44">
        <f t="shared" si="28"/>
        <v>38</v>
      </c>
      <c r="H939" s="10" t="str">
        <f t="shared" si="29"/>
        <v>Friday</v>
      </c>
    </row>
    <row r="940" spans="1:8">
      <c r="A940" s="9">
        <v>185729058</v>
      </c>
      <c r="B940" s="6">
        <v>44940</v>
      </c>
      <c r="C940" s="6">
        <v>45052</v>
      </c>
      <c r="D940" s="1" t="s">
        <v>7</v>
      </c>
      <c r="E940" s="1">
        <v>39</v>
      </c>
      <c r="F940" s="1" t="s">
        <v>6</v>
      </c>
      <c r="G940" s="44">
        <f t="shared" si="28"/>
        <v>112</v>
      </c>
      <c r="H940" s="10" t="str">
        <f t="shared" si="29"/>
        <v>Saturday</v>
      </c>
    </row>
    <row r="941" spans="1:8">
      <c r="A941" s="9">
        <v>182527446</v>
      </c>
      <c r="B941" s="6">
        <v>44940</v>
      </c>
      <c r="C941" s="6">
        <v>45050</v>
      </c>
      <c r="D941" s="1" t="s">
        <v>7</v>
      </c>
      <c r="E941" s="1">
        <v>39</v>
      </c>
      <c r="F941" s="1" t="s">
        <v>6</v>
      </c>
      <c r="G941" s="44">
        <f t="shared" si="28"/>
        <v>110</v>
      </c>
      <c r="H941" s="10" t="str">
        <f t="shared" si="29"/>
        <v>Saturday</v>
      </c>
    </row>
    <row r="942" spans="1:8">
      <c r="A942" s="9">
        <v>151217806</v>
      </c>
      <c r="B942" s="6">
        <v>44940</v>
      </c>
      <c r="C942" s="6">
        <v>44990</v>
      </c>
      <c r="D942" s="1" t="s">
        <v>7</v>
      </c>
      <c r="E942" s="1">
        <v>39</v>
      </c>
      <c r="F942" s="1" t="s">
        <v>6</v>
      </c>
      <c r="G942" s="44">
        <f t="shared" si="28"/>
        <v>50</v>
      </c>
      <c r="H942" s="10" t="str">
        <f t="shared" si="29"/>
        <v>Saturday</v>
      </c>
    </row>
    <row r="943" spans="1:8">
      <c r="A943" s="9">
        <v>181789030</v>
      </c>
      <c r="B943" s="6">
        <v>44940</v>
      </c>
      <c r="C943" s="6">
        <v>44962</v>
      </c>
      <c r="D943" s="1" t="s">
        <v>7</v>
      </c>
      <c r="E943" s="1">
        <v>39</v>
      </c>
      <c r="F943" s="1" t="s">
        <v>6</v>
      </c>
      <c r="G943" s="44">
        <f t="shared" si="28"/>
        <v>22</v>
      </c>
      <c r="H943" s="10" t="str">
        <f t="shared" si="29"/>
        <v>Saturday</v>
      </c>
    </row>
    <row r="944" spans="1:8">
      <c r="A944" s="9">
        <v>167939138</v>
      </c>
      <c r="B944" s="6">
        <v>44940</v>
      </c>
      <c r="C944" s="6">
        <v>45118</v>
      </c>
      <c r="D944" s="1" t="s">
        <v>7</v>
      </c>
      <c r="E944" s="1">
        <v>39</v>
      </c>
      <c r="F944" s="1" t="s">
        <v>6</v>
      </c>
      <c r="G944" s="44">
        <f t="shared" si="28"/>
        <v>178</v>
      </c>
      <c r="H944" s="10" t="str">
        <f t="shared" si="29"/>
        <v>Saturday</v>
      </c>
    </row>
    <row r="945" spans="1:8">
      <c r="A945" s="9">
        <v>168531226</v>
      </c>
      <c r="B945" s="6">
        <v>44940</v>
      </c>
      <c r="C945" s="6">
        <v>45151</v>
      </c>
      <c r="D945" s="1" t="s">
        <v>7</v>
      </c>
      <c r="E945" s="1">
        <v>39</v>
      </c>
      <c r="F945" s="1" t="s">
        <v>6</v>
      </c>
      <c r="G945" s="44">
        <f t="shared" si="28"/>
        <v>211</v>
      </c>
      <c r="H945" s="10" t="str">
        <f t="shared" si="29"/>
        <v>Saturday</v>
      </c>
    </row>
    <row r="946" spans="1:8">
      <c r="A946" s="9">
        <v>183965840</v>
      </c>
      <c r="B946" s="6">
        <v>44941</v>
      </c>
      <c r="C946" s="1"/>
      <c r="D946" s="1" t="s">
        <v>7</v>
      </c>
      <c r="E946" s="1">
        <v>39</v>
      </c>
      <c r="F946" s="1" t="s">
        <v>6</v>
      </c>
      <c r="G946" s="44" t="str">
        <f t="shared" si="28"/>
        <v/>
      </c>
      <c r="H946" s="10" t="str">
        <f t="shared" si="29"/>
        <v>Sunday</v>
      </c>
    </row>
    <row r="947" spans="1:8">
      <c r="A947" s="9">
        <v>185522938</v>
      </c>
      <c r="B947" s="6">
        <v>44941</v>
      </c>
      <c r="C947" s="6">
        <v>45049</v>
      </c>
      <c r="D947" s="1" t="s">
        <v>7</v>
      </c>
      <c r="E947" s="1">
        <v>39</v>
      </c>
      <c r="F947" s="1" t="s">
        <v>6</v>
      </c>
      <c r="G947" s="44">
        <f t="shared" si="28"/>
        <v>108</v>
      </c>
      <c r="H947" s="10" t="str">
        <f t="shared" si="29"/>
        <v>Sunday</v>
      </c>
    </row>
    <row r="948" spans="1:8">
      <c r="A948" s="9">
        <v>186413122</v>
      </c>
      <c r="B948" s="6">
        <v>44941</v>
      </c>
      <c r="C948" s="6">
        <v>45048</v>
      </c>
      <c r="D948" s="1" t="s">
        <v>7</v>
      </c>
      <c r="E948" s="1">
        <v>39</v>
      </c>
      <c r="F948" s="1" t="s">
        <v>6</v>
      </c>
      <c r="G948" s="44">
        <f t="shared" si="28"/>
        <v>107</v>
      </c>
      <c r="H948" s="10" t="str">
        <f t="shared" si="29"/>
        <v>Sunday</v>
      </c>
    </row>
    <row r="949" spans="1:8">
      <c r="A949" s="9">
        <v>186481916</v>
      </c>
      <c r="B949" s="6">
        <v>44941</v>
      </c>
      <c r="C949" s="6">
        <v>45032</v>
      </c>
      <c r="D949" s="1" t="s">
        <v>7</v>
      </c>
      <c r="E949" s="1">
        <v>39</v>
      </c>
      <c r="F949" s="1" t="s">
        <v>6</v>
      </c>
      <c r="G949" s="44">
        <f t="shared" si="28"/>
        <v>91</v>
      </c>
      <c r="H949" s="10" t="str">
        <f t="shared" si="29"/>
        <v>Sunday</v>
      </c>
    </row>
    <row r="950" spans="1:8">
      <c r="A950" s="9">
        <v>186177212</v>
      </c>
      <c r="B950" s="6">
        <v>44941</v>
      </c>
      <c r="C950" s="6">
        <v>44992</v>
      </c>
      <c r="D950" s="1" t="s">
        <v>7</v>
      </c>
      <c r="E950" s="1">
        <v>39</v>
      </c>
      <c r="F950" s="1" t="s">
        <v>6</v>
      </c>
      <c r="G950" s="44">
        <f t="shared" si="28"/>
        <v>51</v>
      </c>
      <c r="H950" s="10" t="str">
        <f t="shared" si="29"/>
        <v>Sunday</v>
      </c>
    </row>
    <row r="951" spans="1:8">
      <c r="A951" s="9">
        <v>184809175</v>
      </c>
      <c r="B951" s="6">
        <v>44941</v>
      </c>
      <c r="C951" s="6">
        <v>44992</v>
      </c>
      <c r="D951" s="1" t="s">
        <v>7</v>
      </c>
      <c r="E951" s="1">
        <v>39</v>
      </c>
      <c r="F951" s="1" t="s">
        <v>6</v>
      </c>
      <c r="G951" s="44">
        <f t="shared" si="28"/>
        <v>51</v>
      </c>
      <c r="H951" s="10" t="str">
        <f t="shared" si="29"/>
        <v>Sunday</v>
      </c>
    </row>
    <row r="952" spans="1:8">
      <c r="A952" s="9">
        <v>186690790</v>
      </c>
      <c r="B952" s="6">
        <v>44941</v>
      </c>
      <c r="C952" s="6">
        <v>44997</v>
      </c>
      <c r="D952" s="1" t="s">
        <v>7</v>
      </c>
      <c r="E952" s="1">
        <v>39</v>
      </c>
      <c r="F952" s="1" t="s">
        <v>6</v>
      </c>
      <c r="G952" s="44">
        <f t="shared" si="28"/>
        <v>56</v>
      </c>
      <c r="H952" s="10" t="str">
        <f t="shared" si="29"/>
        <v>Sunday</v>
      </c>
    </row>
    <row r="953" spans="1:8">
      <c r="A953" s="9">
        <v>185711685</v>
      </c>
      <c r="B953" s="6">
        <v>44941</v>
      </c>
      <c r="C953" s="6">
        <v>44963</v>
      </c>
      <c r="D953" s="1" t="s">
        <v>7</v>
      </c>
      <c r="E953" s="1">
        <v>39</v>
      </c>
      <c r="F953" s="1" t="s">
        <v>6</v>
      </c>
      <c r="G953" s="44">
        <f t="shared" si="28"/>
        <v>22</v>
      </c>
      <c r="H953" s="10" t="str">
        <f t="shared" si="29"/>
        <v>Sunday</v>
      </c>
    </row>
    <row r="954" spans="1:8">
      <c r="A954" s="9">
        <v>179509273</v>
      </c>
      <c r="B954" s="6">
        <v>44941</v>
      </c>
      <c r="C954" s="6">
        <v>45107</v>
      </c>
      <c r="D954" s="1" t="s">
        <v>7</v>
      </c>
      <c r="E954" s="1">
        <v>39</v>
      </c>
      <c r="F954" s="1" t="s">
        <v>6</v>
      </c>
      <c r="G954" s="44">
        <f t="shared" si="28"/>
        <v>166</v>
      </c>
      <c r="H954" s="10" t="str">
        <f t="shared" si="29"/>
        <v>Sunday</v>
      </c>
    </row>
    <row r="955" spans="1:8">
      <c r="A955" s="9">
        <v>186770408</v>
      </c>
      <c r="B955" s="6">
        <v>44942</v>
      </c>
      <c r="C955" s="1"/>
      <c r="D955" s="1" t="s">
        <v>7</v>
      </c>
      <c r="E955" s="1">
        <v>39</v>
      </c>
      <c r="F955" s="1" t="s">
        <v>6</v>
      </c>
      <c r="G955" s="44" t="str">
        <f t="shared" si="28"/>
        <v/>
      </c>
      <c r="H955" s="10" t="str">
        <f t="shared" si="29"/>
        <v>Monday</v>
      </c>
    </row>
    <row r="956" spans="1:8">
      <c r="A956" s="9">
        <v>181025165</v>
      </c>
      <c r="B956" s="6">
        <v>44942</v>
      </c>
      <c r="C956" s="1"/>
      <c r="D956" s="1" t="s">
        <v>7</v>
      </c>
      <c r="E956" s="1">
        <v>39</v>
      </c>
      <c r="F956" s="1" t="s">
        <v>6</v>
      </c>
      <c r="G956" s="44" t="str">
        <f t="shared" si="28"/>
        <v/>
      </c>
      <c r="H956" s="10" t="str">
        <f t="shared" si="29"/>
        <v>Monday</v>
      </c>
    </row>
    <row r="957" spans="1:8">
      <c r="A957" s="9">
        <v>157919304</v>
      </c>
      <c r="B957" s="6">
        <v>44942</v>
      </c>
      <c r="C957" s="6">
        <v>45062</v>
      </c>
      <c r="D957" s="1" t="s">
        <v>7</v>
      </c>
      <c r="E957" s="1">
        <v>39</v>
      </c>
      <c r="F957" s="1" t="s">
        <v>6</v>
      </c>
      <c r="G957" s="44">
        <f t="shared" si="28"/>
        <v>120</v>
      </c>
      <c r="H957" s="10" t="str">
        <f t="shared" si="29"/>
        <v>Monday</v>
      </c>
    </row>
    <row r="958" spans="1:8">
      <c r="A958" s="9">
        <v>187051266</v>
      </c>
      <c r="B958" s="6">
        <v>44942</v>
      </c>
      <c r="C958" s="6">
        <v>45077</v>
      </c>
      <c r="D958" s="1" t="s">
        <v>7</v>
      </c>
      <c r="E958" s="1">
        <v>39</v>
      </c>
      <c r="F958" s="1" t="s">
        <v>6</v>
      </c>
      <c r="G958" s="44">
        <f t="shared" si="28"/>
        <v>135</v>
      </c>
      <c r="H958" s="10" t="str">
        <f t="shared" si="29"/>
        <v>Monday</v>
      </c>
    </row>
    <row r="959" spans="1:8">
      <c r="A959" s="9">
        <v>179713052</v>
      </c>
      <c r="B959" s="6">
        <v>44942</v>
      </c>
      <c r="C959" s="6">
        <v>45031</v>
      </c>
      <c r="D959" s="1" t="s">
        <v>7</v>
      </c>
      <c r="E959" s="1">
        <v>39</v>
      </c>
      <c r="F959" s="1" t="s">
        <v>6</v>
      </c>
      <c r="G959" s="44">
        <f t="shared" si="28"/>
        <v>89</v>
      </c>
      <c r="H959" s="10" t="str">
        <f t="shared" si="29"/>
        <v>Monday</v>
      </c>
    </row>
    <row r="960" spans="1:8">
      <c r="A960" s="9">
        <v>185431487</v>
      </c>
      <c r="B960" s="6">
        <v>44942</v>
      </c>
      <c r="C960" s="6">
        <v>45042</v>
      </c>
      <c r="D960" s="1" t="s">
        <v>7</v>
      </c>
      <c r="E960" s="1">
        <v>39</v>
      </c>
      <c r="F960" s="1" t="s">
        <v>6</v>
      </c>
      <c r="G960" s="44">
        <f t="shared" si="28"/>
        <v>100</v>
      </c>
      <c r="H960" s="10" t="str">
        <f t="shared" si="29"/>
        <v>Monday</v>
      </c>
    </row>
    <row r="961" spans="1:8">
      <c r="A961" s="9">
        <v>157929345</v>
      </c>
      <c r="B961" s="6">
        <v>44942</v>
      </c>
      <c r="C961" s="6">
        <v>45023</v>
      </c>
      <c r="D961" s="1" t="s">
        <v>7</v>
      </c>
      <c r="E961" s="1">
        <v>39</v>
      </c>
      <c r="F961" s="1" t="s">
        <v>6</v>
      </c>
      <c r="G961" s="44">
        <f t="shared" si="28"/>
        <v>81</v>
      </c>
      <c r="H961" s="10" t="str">
        <f t="shared" si="29"/>
        <v>Monday</v>
      </c>
    </row>
    <row r="962" spans="1:8">
      <c r="A962" s="9">
        <v>154087095</v>
      </c>
      <c r="B962" s="6">
        <v>44942</v>
      </c>
      <c r="C962" s="6">
        <v>44998</v>
      </c>
      <c r="D962" s="1" t="s">
        <v>7</v>
      </c>
      <c r="E962" s="1">
        <v>39</v>
      </c>
      <c r="F962" s="1" t="s">
        <v>6</v>
      </c>
      <c r="G962" s="44">
        <f t="shared" si="28"/>
        <v>56</v>
      </c>
      <c r="H962" s="10" t="str">
        <f t="shared" si="29"/>
        <v>Monday</v>
      </c>
    </row>
    <row r="963" spans="1:8">
      <c r="A963" s="9">
        <v>186674235</v>
      </c>
      <c r="B963" s="6">
        <v>44942</v>
      </c>
      <c r="C963" s="6">
        <v>44999</v>
      </c>
      <c r="D963" s="1" t="s">
        <v>7</v>
      </c>
      <c r="E963" s="1">
        <v>39</v>
      </c>
      <c r="F963" s="1" t="s">
        <v>6</v>
      </c>
      <c r="G963" s="44">
        <f t="shared" ref="G963:G1026" si="30">IF(C963="", "", DATEDIF(B963, C963, "D"))</f>
        <v>57</v>
      </c>
      <c r="H963" s="10" t="str">
        <f t="shared" ref="H963:H1026" si="31">TEXT(B963, "dddd")</f>
        <v>Monday</v>
      </c>
    </row>
    <row r="964" spans="1:8">
      <c r="A964" s="9">
        <v>182656156</v>
      </c>
      <c r="B964" s="6">
        <v>44942</v>
      </c>
      <c r="C964" s="6">
        <v>44972</v>
      </c>
      <c r="D964" s="1" t="s">
        <v>7</v>
      </c>
      <c r="E964" s="1">
        <v>39</v>
      </c>
      <c r="F964" s="1" t="s">
        <v>6</v>
      </c>
      <c r="G964" s="44">
        <f t="shared" si="30"/>
        <v>30</v>
      </c>
      <c r="H964" s="10" t="str">
        <f t="shared" si="31"/>
        <v>Monday</v>
      </c>
    </row>
    <row r="965" spans="1:8">
      <c r="A965" s="9">
        <v>170319875</v>
      </c>
      <c r="B965" s="6">
        <v>44942</v>
      </c>
      <c r="C965" s="6">
        <v>44942</v>
      </c>
      <c r="D965" s="1" t="s">
        <v>7</v>
      </c>
      <c r="E965" s="1">
        <v>39</v>
      </c>
      <c r="F965" s="1" t="s">
        <v>6</v>
      </c>
      <c r="G965" s="44">
        <f t="shared" si="30"/>
        <v>0</v>
      </c>
      <c r="H965" s="10" t="str">
        <f t="shared" si="31"/>
        <v>Monday</v>
      </c>
    </row>
    <row r="966" spans="1:8">
      <c r="A966" s="9">
        <v>188226033</v>
      </c>
      <c r="B966" s="6">
        <v>44943</v>
      </c>
      <c r="C966" s="1"/>
      <c r="D966" s="1" t="s">
        <v>8</v>
      </c>
      <c r="E966" s="1">
        <v>39</v>
      </c>
      <c r="F966" s="1" t="s">
        <v>6</v>
      </c>
      <c r="G966" s="44" t="str">
        <f t="shared" si="30"/>
        <v/>
      </c>
      <c r="H966" s="10" t="str">
        <f t="shared" si="31"/>
        <v>Tuesday</v>
      </c>
    </row>
    <row r="967" spans="1:8">
      <c r="A967" s="9">
        <v>188137320</v>
      </c>
      <c r="B967" s="6">
        <v>44943</v>
      </c>
      <c r="C967" s="1"/>
      <c r="D967" s="1" t="s">
        <v>8</v>
      </c>
      <c r="E967" s="1">
        <v>39</v>
      </c>
      <c r="F967" s="1" t="s">
        <v>6</v>
      </c>
      <c r="G967" s="44" t="str">
        <f t="shared" si="30"/>
        <v/>
      </c>
      <c r="H967" s="10" t="str">
        <f t="shared" si="31"/>
        <v>Tuesday</v>
      </c>
    </row>
    <row r="968" spans="1:8">
      <c r="A968" s="9">
        <v>163220556</v>
      </c>
      <c r="B968" s="6">
        <v>44943</v>
      </c>
      <c r="C968" s="6">
        <v>44944</v>
      </c>
      <c r="D968" s="1" t="s">
        <v>7</v>
      </c>
      <c r="E968" s="1">
        <v>39</v>
      </c>
      <c r="F968" s="1" t="s">
        <v>6</v>
      </c>
      <c r="G968" s="44">
        <f t="shared" si="30"/>
        <v>1</v>
      </c>
      <c r="H968" s="10" t="str">
        <f t="shared" si="31"/>
        <v>Tuesday</v>
      </c>
    </row>
    <row r="969" spans="1:8">
      <c r="A969" s="9">
        <v>182960960</v>
      </c>
      <c r="B969" s="6">
        <v>44943</v>
      </c>
      <c r="C969" s="6">
        <v>45009</v>
      </c>
      <c r="D969" s="1" t="s">
        <v>7</v>
      </c>
      <c r="E969" s="1">
        <v>39</v>
      </c>
      <c r="F969" s="1" t="s">
        <v>6</v>
      </c>
      <c r="G969" s="44">
        <f t="shared" si="30"/>
        <v>66</v>
      </c>
      <c r="H969" s="10" t="str">
        <f t="shared" si="31"/>
        <v>Tuesday</v>
      </c>
    </row>
    <row r="970" spans="1:8">
      <c r="A970" s="9">
        <v>188175982</v>
      </c>
      <c r="B970" s="6">
        <v>44943</v>
      </c>
      <c r="C970" s="6">
        <v>44974</v>
      </c>
      <c r="D970" s="1" t="s">
        <v>7</v>
      </c>
      <c r="E970" s="1">
        <v>39</v>
      </c>
      <c r="F970" s="1" t="s">
        <v>6</v>
      </c>
      <c r="G970" s="44">
        <f t="shared" si="30"/>
        <v>31</v>
      </c>
      <c r="H970" s="10" t="str">
        <f t="shared" si="31"/>
        <v>Tuesday</v>
      </c>
    </row>
    <row r="971" spans="1:8">
      <c r="A971" s="9">
        <v>169729060</v>
      </c>
      <c r="B971" s="6">
        <v>44943</v>
      </c>
      <c r="C971" s="6">
        <v>44976</v>
      </c>
      <c r="D971" s="1" t="s">
        <v>7</v>
      </c>
      <c r="E971" s="1">
        <v>39</v>
      </c>
      <c r="F971" s="1" t="s">
        <v>6</v>
      </c>
      <c r="G971" s="44">
        <f t="shared" si="30"/>
        <v>33</v>
      </c>
      <c r="H971" s="10" t="str">
        <f t="shared" si="31"/>
        <v>Tuesday</v>
      </c>
    </row>
    <row r="972" spans="1:8">
      <c r="A972" s="9">
        <v>186841270</v>
      </c>
      <c r="B972" s="6">
        <v>44943</v>
      </c>
      <c r="C972" s="6">
        <v>44981</v>
      </c>
      <c r="D972" s="1" t="s">
        <v>7</v>
      </c>
      <c r="E972" s="1">
        <v>39</v>
      </c>
      <c r="F972" s="1" t="s">
        <v>6</v>
      </c>
      <c r="G972" s="44">
        <f t="shared" si="30"/>
        <v>38</v>
      </c>
      <c r="H972" s="10" t="str">
        <f t="shared" si="31"/>
        <v>Tuesday</v>
      </c>
    </row>
    <row r="973" spans="1:8">
      <c r="A973" s="9">
        <v>154563993</v>
      </c>
      <c r="B973" s="6">
        <v>44943</v>
      </c>
      <c r="C973" s="6">
        <v>44982</v>
      </c>
      <c r="D973" s="1" t="s">
        <v>7</v>
      </c>
      <c r="E973" s="1">
        <v>39</v>
      </c>
      <c r="F973" s="1" t="s">
        <v>6</v>
      </c>
      <c r="G973" s="44">
        <f t="shared" si="30"/>
        <v>39</v>
      </c>
      <c r="H973" s="10" t="str">
        <f t="shared" si="31"/>
        <v>Tuesday</v>
      </c>
    </row>
    <row r="974" spans="1:8">
      <c r="A974" s="9">
        <v>159767828</v>
      </c>
      <c r="B974" s="6">
        <v>44943</v>
      </c>
      <c r="C974" s="6">
        <v>44981</v>
      </c>
      <c r="D974" s="1" t="s">
        <v>7</v>
      </c>
      <c r="E974" s="1">
        <v>39</v>
      </c>
      <c r="F974" s="1" t="s">
        <v>6</v>
      </c>
      <c r="G974" s="44">
        <f t="shared" si="30"/>
        <v>38</v>
      </c>
      <c r="H974" s="10" t="str">
        <f t="shared" si="31"/>
        <v>Tuesday</v>
      </c>
    </row>
    <row r="975" spans="1:8">
      <c r="A975" s="9">
        <v>183186612</v>
      </c>
      <c r="B975" s="6">
        <v>44943</v>
      </c>
      <c r="C975" s="6">
        <v>45135</v>
      </c>
      <c r="D975" s="1" t="s">
        <v>7</v>
      </c>
      <c r="E975" s="1">
        <v>39</v>
      </c>
      <c r="F975" s="1" t="s">
        <v>6</v>
      </c>
      <c r="G975" s="44">
        <f t="shared" si="30"/>
        <v>192</v>
      </c>
      <c r="H975" s="10" t="str">
        <f t="shared" si="31"/>
        <v>Tuesday</v>
      </c>
    </row>
    <row r="976" spans="1:8">
      <c r="A976" s="9">
        <v>128603349</v>
      </c>
      <c r="B976" s="6">
        <v>44944</v>
      </c>
      <c r="C976" s="1"/>
      <c r="D976" s="1" t="s">
        <v>7</v>
      </c>
      <c r="E976" s="1">
        <v>39</v>
      </c>
      <c r="F976" s="1" t="s">
        <v>6</v>
      </c>
      <c r="G976" s="44" t="str">
        <f t="shared" si="30"/>
        <v/>
      </c>
      <c r="H976" s="10" t="str">
        <f t="shared" si="31"/>
        <v>Wednesday</v>
      </c>
    </row>
    <row r="977" spans="1:8">
      <c r="A977" s="9">
        <v>183736457</v>
      </c>
      <c r="B977" s="6">
        <v>44944</v>
      </c>
      <c r="C977" s="6">
        <v>44945</v>
      </c>
      <c r="D977" s="1" t="s">
        <v>8</v>
      </c>
      <c r="E977" s="1">
        <v>39</v>
      </c>
      <c r="F977" s="1" t="s">
        <v>6</v>
      </c>
      <c r="G977" s="44">
        <f t="shared" si="30"/>
        <v>1</v>
      </c>
      <c r="H977" s="10" t="str">
        <f t="shared" si="31"/>
        <v>Wednesday</v>
      </c>
    </row>
    <row r="978" spans="1:8">
      <c r="A978" s="9">
        <v>188115641</v>
      </c>
      <c r="B978" s="6">
        <v>44944</v>
      </c>
      <c r="C978" s="6">
        <v>44944</v>
      </c>
      <c r="D978" s="1" t="s">
        <v>8</v>
      </c>
      <c r="E978" s="1">
        <v>39</v>
      </c>
      <c r="F978" s="1" t="s">
        <v>6</v>
      </c>
      <c r="G978" s="44">
        <f t="shared" si="30"/>
        <v>0</v>
      </c>
      <c r="H978" s="10" t="str">
        <f t="shared" si="31"/>
        <v>Wednesday</v>
      </c>
    </row>
    <row r="979" spans="1:8">
      <c r="A979" s="9">
        <v>188460699</v>
      </c>
      <c r="B979" s="6">
        <v>44944</v>
      </c>
      <c r="C979" s="6">
        <v>44944</v>
      </c>
      <c r="D979" s="1" t="s">
        <v>8</v>
      </c>
      <c r="E979" s="1">
        <v>39</v>
      </c>
      <c r="F979" s="1" t="s">
        <v>6</v>
      </c>
      <c r="G979" s="44">
        <f t="shared" si="30"/>
        <v>0</v>
      </c>
      <c r="H979" s="10" t="str">
        <f t="shared" si="31"/>
        <v>Wednesday</v>
      </c>
    </row>
    <row r="980" spans="1:8">
      <c r="A980" s="9">
        <v>138228332</v>
      </c>
      <c r="B980" s="6">
        <v>44944</v>
      </c>
      <c r="C980" s="6">
        <v>44982</v>
      </c>
      <c r="D980" s="1" t="s">
        <v>7</v>
      </c>
      <c r="E980" s="1">
        <v>39</v>
      </c>
      <c r="F980" s="1" t="s">
        <v>6</v>
      </c>
      <c r="G980" s="44">
        <f t="shared" si="30"/>
        <v>38</v>
      </c>
      <c r="H980" s="10" t="str">
        <f t="shared" si="31"/>
        <v>Wednesday</v>
      </c>
    </row>
    <row r="981" spans="1:8">
      <c r="A981" s="9">
        <v>184143564</v>
      </c>
      <c r="B981" s="6">
        <v>44944</v>
      </c>
      <c r="C981" s="6">
        <v>45068</v>
      </c>
      <c r="D981" s="1" t="s">
        <v>7</v>
      </c>
      <c r="E981" s="1">
        <v>39</v>
      </c>
      <c r="F981" s="1" t="s">
        <v>6</v>
      </c>
      <c r="G981" s="44">
        <f t="shared" si="30"/>
        <v>124</v>
      </c>
      <c r="H981" s="10" t="str">
        <f t="shared" si="31"/>
        <v>Wednesday</v>
      </c>
    </row>
    <row r="982" spans="1:8">
      <c r="A982" s="9">
        <v>179508142</v>
      </c>
      <c r="B982" s="6">
        <v>44944</v>
      </c>
      <c r="C982" s="6">
        <v>45090</v>
      </c>
      <c r="D982" s="1" t="s">
        <v>7</v>
      </c>
      <c r="E982" s="1">
        <v>39</v>
      </c>
      <c r="F982" s="1" t="s">
        <v>6</v>
      </c>
      <c r="G982" s="44">
        <f t="shared" si="30"/>
        <v>146</v>
      </c>
      <c r="H982" s="10" t="str">
        <f t="shared" si="31"/>
        <v>Wednesday</v>
      </c>
    </row>
    <row r="983" spans="1:8">
      <c r="A983" s="9">
        <v>188269607</v>
      </c>
      <c r="B983" s="6">
        <v>44944</v>
      </c>
      <c r="C983" s="6">
        <v>45032</v>
      </c>
      <c r="D983" s="1" t="s">
        <v>7</v>
      </c>
      <c r="E983" s="1">
        <v>39</v>
      </c>
      <c r="F983" s="1" t="s">
        <v>6</v>
      </c>
      <c r="G983" s="44">
        <f t="shared" si="30"/>
        <v>88</v>
      </c>
      <c r="H983" s="10" t="str">
        <f t="shared" si="31"/>
        <v>Wednesday</v>
      </c>
    </row>
    <row r="984" spans="1:8">
      <c r="A984" s="9">
        <v>181890100</v>
      </c>
      <c r="B984" s="6">
        <v>44944</v>
      </c>
      <c r="C984" s="6">
        <v>45011</v>
      </c>
      <c r="D984" s="1" t="s">
        <v>7</v>
      </c>
      <c r="E984" s="1">
        <v>39</v>
      </c>
      <c r="F984" s="1" t="s">
        <v>6</v>
      </c>
      <c r="G984" s="44">
        <f t="shared" si="30"/>
        <v>67</v>
      </c>
      <c r="H984" s="10" t="str">
        <f t="shared" si="31"/>
        <v>Wednesday</v>
      </c>
    </row>
    <row r="985" spans="1:8">
      <c r="A985" s="9">
        <v>185642830</v>
      </c>
      <c r="B985" s="6">
        <v>44944</v>
      </c>
      <c r="C985" s="6">
        <v>44999</v>
      </c>
      <c r="D985" s="1" t="s">
        <v>7</v>
      </c>
      <c r="E985" s="1">
        <v>39</v>
      </c>
      <c r="F985" s="1" t="s">
        <v>6</v>
      </c>
      <c r="G985" s="44">
        <f t="shared" si="30"/>
        <v>55</v>
      </c>
      <c r="H985" s="10" t="str">
        <f t="shared" si="31"/>
        <v>Wednesday</v>
      </c>
    </row>
    <row r="986" spans="1:8">
      <c r="A986" s="9">
        <v>152223051</v>
      </c>
      <c r="B986" s="6">
        <v>44944</v>
      </c>
      <c r="C986" s="6">
        <v>44982</v>
      </c>
      <c r="D986" s="1" t="s">
        <v>7</v>
      </c>
      <c r="E986" s="1">
        <v>39</v>
      </c>
      <c r="F986" s="1" t="s">
        <v>6</v>
      </c>
      <c r="G986" s="44">
        <f t="shared" si="30"/>
        <v>38</v>
      </c>
      <c r="H986" s="10" t="str">
        <f t="shared" si="31"/>
        <v>Wednesday</v>
      </c>
    </row>
    <row r="987" spans="1:8">
      <c r="A987" s="9">
        <v>156067850</v>
      </c>
      <c r="B987" s="6">
        <v>44944</v>
      </c>
      <c r="C987" s="6">
        <v>44975</v>
      </c>
      <c r="D987" s="1" t="s">
        <v>7</v>
      </c>
      <c r="E987" s="1">
        <v>39</v>
      </c>
      <c r="F987" s="1" t="s">
        <v>6</v>
      </c>
      <c r="G987" s="44">
        <f t="shared" si="30"/>
        <v>31</v>
      </c>
      <c r="H987" s="10" t="str">
        <f t="shared" si="31"/>
        <v>Wednesday</v>
      </c>
    </row>
    <row r="988" spans="1:8">
      <c r="A988" s="9">
        <v>188701816</v>
      </c>
      <c r="B988" s="6">
        <v>44944</v>
      </c>
      <c r="C988" s="6">
        <v>44974</v>
      </c>
      <c r="D988" s="1" t="s">
        <v>7</v>
      </c>
      <c r="E988" s="1">
        <v>39</v>
      </c>
      <c r="F988" s="1" t="s">
        <v>6</v>
      </c>
      <c r="G988" s="44">
        <f t="shared" si="30"/>
        <v>30</v>
      </c>
      <c r="H988" s="10" t="str">
        <f t="shared" si="31"/>
        <v>Wednesday</v>
      </c>
    </row>
    <row r="989" spans="1:8">
      <c r="A989" s="9">
        <v>188133192</v>
      </c>
      <c r="B989" s="6">
        <v>44944</v>
      </c>
      <c r="C989" s="6">
        <v>44976</v>
      </c>
      <c r="D989" s="1" t="s">
        <v>7</v>
      </c>
      <c r="E989" s="1">
        <v>39</v>
      </c>
      <c r="F989" s="1" t="s">
        <v>6</v>
      </c>
      <c r="G989" s="44">
        <f t="shared" si="30"/>
        <v>32</v>
      </c>
      <c r="H989" s="10" t="str">
        <f t="shared" si="31"/>
        <v>Wednesday</v>
      </c>
    </row>
    <row r="990" spans="1:8">
      <c r="A990" s="9">
        <v>183936068</v>
      </c>
      <c r="B990" s="6">
        <v>44944</v>
      </c>
      <c r="C990" s="6">
        <v>45110</v>
      </c>
      <c r="D990" s="1" t="s">
        <v>7</v>
      </c>
      <c r="E990" s="1">
        <v>39</v>
      </c>
      <c r="F990" s="1" t="s">
        <v>6</v>
      </c>
      <c r="G990" s="44">
        <f t="shared" si="30"/>
        <v>166</v>
      </c>
      <c r="H990" s="10" t="str">
        <f t="shared" si="31"/>
        <v>Wednesday</v>
      </c>
    </row>
    <row r="991" spans="1:8">
      <c r="A991" s="9">
        <v>188119778</v>
      </c>
      <c r="B991" s="6">
        <v>44944</v>
      </c>
      <c r="C991" s="6">
        <v>45095</v>
      </c>
      <c r="D991" s="1" t="s">
        <v>7</v>
      </c>
      <c r="E991" s="1">
        <v>39</v>
      </c>
      <c r="F991" s="1" t="s">
        <v>6</v>
      </c>
      <c r="G991" s="44">
        <f t="shared" si="30"/>
        <v>151</v>
      </c>
      <c r="H991" s="10" t="str">
        <f t="shared" si="31"/>
        <v>Wednesday</v>
      </c>
    </row>
    <row r="992" spans="1:8">
      <c r="A992" s="9">
        <v>189410056</v>
      </c>
      <c r="B992" s="6">
        <v>44945</v>
      </c>
      <c r="C992" s="1"/>
      <c r="D992" s="1" t="s">
        <v>7</v>
      </c>
      <c r="E992" s="1">
        <v>39</v>
      </c>
      <c r="F992" s="1" t="s">
        <v>6</v>
      </c>
      <c r="G992" s="44" t="str">
        <f t="shared" si="30"/>
        <v/>
      </c>
      <c r="H992" s="10" t="str">
        <f t="shared" si="31"/>
        <v>Thursday</v>
      </c>
    </row>
    <row r="993" spans="1:8">
      <c r="A993" s="9">
        <v>184970659</v>
      </c>
      <c r="B993" s="6">
        <v>44945</v>
      </c>
      <c r="C993" s="1"/>
      <c r="D993" s="1" t="s">
        <v>7</v>
      </c>
      <c r="E993" s="1">
        <v>39</v>
      </c>
      <c r="F993" s="1" t="s">
        <v>6</v>
      </c>
      <c r="G993" s="44" t="str">
        <f t="shared" si="30"/>
        <v/>
      </c>
      <c r="H993" s="10" t="str">
        <f t="shared" si="31"/>
        <v>Thursday</v>
      </c>
    </row>
    <row r="994" spans="1:8">
      <c r="A994" s="9">
        <v>148476648</v>
      </c>
      <c r="B994" s="6">
        <v>44945</v>
      </c>
      <c r="C994" s="6">
        <v>45058</v>
      </c>
      <c r="D994" s="1" t="s">
        <v>7</v>
      </c>
      <c r="E994" s="1">
        <v>39</v>
      </c>
      <c r="F994" s="1" t="s">
        <v>6</v>
      </c>
      <c r="G994" s="44">
        <f t="shared" si="30"/>
        <v>113</v>
      </c>
      <c r="H994" s="10" t="str">
        <f t="shared" si="31"/>
        <v>Thursday</v>
      </c>
    </row>
    <row r="995" spans="1:8">
      <c r="A995" s="9">
        <v>189289885</v>
      </c>
      <c r="B995" s="6">
        <v>44945</v>
      </c>
      <c r="C995" s="6">
        <v>45036</v>
      </c>
      <c r="D995" s="1" t="s">
        <v>7</v>
      </c>
      <c r="E995" s="1">
        <v>39</v>
      </c>
      <c r="F995" s="1" t="s">
        <v>6</v>
      </c>
      <c r="G995" s="44">
        <f t="shared" si="30"/>
        <v>91</v>
      </c>
      <c r="H995" s="10" t="str">
        <f t="shared" si="31"/>
        <v>Thursday</v>
      </c>
    </row>
    <row r="996" spans="1:8">
      <c r="A996" s="9">
        <v>150442182</v>
      </c>
      <c r="B996" s="6">
        <v>44945</v>
      </c>
      <c r="C996" s="6">
        <v>45004</v>
      </c>
      <c r="D996" s="1" t="s">
        <v>7</v>
      </c>
      <c r="E996" s="1">
        <v>39</v>
      </c>
      <c r="F996" s="1" t="s">
        <v>6</v>
      </c>
      <c r="G996" s="44">
        <f t="shared" si="30"/>
        <v>59</v>
      </c>
      <c r="H996" s="10" t="str">
        <f t="shared" si="31"/>
        <v>Thursday</v>
      </c>
    </row>
    <row r="997" spans="1:8">
      <c r="A997" s="9">
        <v>184826230</v>
      </c>
      <c r="B997" s="6">
        <v>44945</v>
      </c>
      <c r="C997" s="6">
        <v>44972</v>
      </c>
      <c r="D997" s="1" t="s">
        <v>7</v>
      </c>
      <c r="E997" s="1">
        <v>39</v>
      </c>
      <c r="F997" s="1" t="s">
        <v>6</v>
      </c>
      <c r="G997" s="44">
        <f t="shared" si="30"/>
        <v>27</v>
      </c>
      <c r="H997" s="10" t="str">
        <f t="shared" si="31"/>
        <v>Thursday</v>
      </c>
    </row>
    <row r="998" spans="1:8">
      <c r="A998" s="9">
        <v>184786342</v>
      </c>
      <c r="B998" s="6">
        <v>44945</v>
      </c>
      <c r="C998" s="6">
        <v>44945</v>
      </c>
      <c r="D998" s="1" t="s">
        <v>7</v>
      </c>
      <c r="E998" s="1">
        <v>39</v>
      </c>
      <c r="F998" s="1" t="s">
        <v>6</v>
      </c>
      <c r="G998" s="44">
        <f t="shared" si="30"/>
        <v>0</v>
      </c>
      <c r="H998" s="10" t="str">
        <f t="shared" si="31"/>
        <v>Thursday</v>
      </c>
    </row>
    <row r="999" spans="1:8">
      <c r="A999" s="9">
        <v>181565760</v>
      </c>
      <c r="B999" s="6">
        <v>44945</v>
      </c>
      <c r="C999" s="6">
        <v>44952</v>
      </c>
      <c r="D999" s="1" t="s">
        <v>7</v>
      </c>
      <c r="E999" s="1">
        <v>39</v>
      </c>
      <c r="F999" s="1" t="s">
        <v>6</v>
      </c>
      <c r="G999" s="44">
        <f t="shared" si="30"/>
        <v>7</v>
      </c>
      <c r="H999" s="10" t="str">
        <f t="shared" si="31"/>
        <v>Thursday</v>
      </c>
    </row>
    <row r="1000" spans="1:8">
      <c r="A1000" s="9">
        <v>189278478</v>
      </c>
      <c r="B1000" s="6">
        <v>44946</v>
      </c>
      <c r="C1000" s="1"/>
      <c r="D1000" s="1" t="s">
        <v>7</v>
      </c>
      <c r="E1000" s="1">
        <v>39</v>
      </c>
      <c r="F1000" s="1" t="s">
        <v>6</v>
      </c>
      <c r="G1000" s="44" t="str">
        <f t="shared" si="30"/>
        <v/>
      </c>
      <c r="H1000" s="10" t="str">
        <f t="shared" si="31"/>
        <v>Friday</v>
      </c>
    </row>
    <row r="1001" spans="1:8">
      <c r="A1001" s="9">
        <v>184066428</v>
      </c>
      <c r="B1001" s="6">
        <v>44946</v>
      </c>
      <c r="C1001" s="1"/>
      <c r="D1001" s="1" t="s">
        <v>7</v>
      </c>
      <c r="E1001" s="1">
        <v>39</v>
      </c>
      <c r="F1001" s="1" t="s">
        <v>6</v>
      </c>
      <c r="G1001" s="44" t="str">
        <f t="shared" si="30"/>
        <v/>
      </c>
      <c r="H1001" s="10" t="str">
        <f t="shared" si="31"/>
        <v>Friday</v>
      </c>
    </row>
    <row r="1002" spans="1:8">
      <c r="A1002" s="9">
        <v>135771077</v>
      </c>
      <c r="B1002" s="6">
        <v>44946</v>
      </c>
      <c r="C1002" s="1"/>
      <c r="D1002" s="1" t="s">
        <v>7</v>
      </c>
      <c r="E1002" s="1">
        <v>39</v>
      </c>
      <c r="F1002" s="1" t="s">
        <v>6</v>
      </c>
      <c r="G1002" s="44" t="str">
        <f t="shared" si="30"/>
        <v/>
      </c>
      <c r="H1002" s="10" t="str">
        <f t="shared" si="31"/>
        <v>Friday</v>
      </c>
    </row>
    <row r="1003" spans="1:8">
      <c r="A1003" s="9">
        <v>184831280</v>
      </c>
      <c r="B1003" s="6">
        <v>44946</v>
      </c>
      <c r="C1003" s="6">
        <v>45055</v>
      </c>
      <c r="D1003" s="1" t="s">
        <v>7</v>
      </c>
      <c r="E1003" s="1">
        <v>39</v>
      </c>
      <c r="F1003" s="1" t="s">
        <v>6</v>
      </c>
      <c r="G1003" s="44">
        <f t="shared" si="30"/>
        <v>109</v>
      </c>
      <c r="H1003" s="10" t="str">
        <f t="shared" si="31"/>
        <v>Friday</v>
      </c>
    </row>
    <row r="1004" spans="1:8">
      <c r="A1004" s="9">
        <v>188828652</v>
      </c>
      <c r="B1004" s="6">
        <v>44946</v>
      </c>
      <c r="C1004" s="6">
        <v>45047</v>
      </c>
      <c r="D1004" s="1" t="s">
        <v>7</v>
      </c>
      <c r="E1004" s="1">
        <v>39</v>
      </c>
      <c r="F1004" s="1" t="s">
        <v>6</v>
      </c>
      <c r="G1004" s="44">
        <f t="shared" si="30"/>
        <v>101</v>
      </c>
      <c r="H1004" s="10" t="str">
        <f t="shared" si="31"/>
        <v>Friday</v>
      </c>
    </row>
    <row r="1005" spans="1:8">
      <c r="A1005" s="9">
        <v>188666673</v>
      </c>
      <c r="B1005" s="6">
        <v>44946</v>
      </c>
      <c r="C1005" s="6">
        <v>44993</v>
      </c>
      <c r="D1005" s="1" t="s">
        <v>7</v>
      </c>
      <c r="E1005" s="1">
        <v>39</v>
      </c>
      <c r="F1005" s="1" t="s">
        <v>6</v>
      </c>
      <c r="G1005" s="44">
        <f t="shared" si="30"/>
        <v>47</v>
      </c>
      <c r="H1005" s="10" t="str">
        <f t="shared" si="31"/>
        <v>Friday</v>
      </c>
    </row>
    <row r="1006" spans="1:8">
      <c r="A1006" s="9">
        <v>189880452</v>
      </c>
      <c r="B1006" s="6">
        <v>44946</v>
      </c>
      <c r="C1006" s="6">
        <v>44976</v>
      </c>
      <c r="D1006" s="1" t="s">
        <v>7</v>
      </c>
      <c r="E1006" s="1">
        <v>39</v>
      </c>
      <c r="F1006" s="1" t="s">
        <v>6</v>
      </c>
      <c r="G1006" s="44">
        <f t="shared" si="30"/>
        <v>30</v>
      </c>
      <c r="H1006" s="10" t="str">
        <f t="shared" si="31"/>
        <v>Friday</v>
      </c>
    </row>
    <row r="1007" spans="1:8">
      <c r="A1007" s="9">
        <v>160986271</v>
      </c>
      <c r="B1007" s="6">
        <v>44946</v>
      </c>
      <c r="C1007" s="6">
        <v>44984</v>
      </c>
      <c r="D1007" s="1" t="s">
        <v>7</v>
      </c>
      <c r="E1007" s="1">
        <v>39</v>
      </c>
      <c r="F1007" s="1" t="s">
        <v>6</v>
      </c>
      <c r="G1007" s="44">
        <f t="shared" si="30"/>
        <v>38</v>
      </c>
      <c r="H1007" s="10" t="str">
        <f t="shared" si="31"/>
        <v>Friday</v>
      </c>
    </row>
    <row r="1008" spans="1:8">
      <c r="A1008" s="9">
        <v>187895888</v>
      </c>
      <c r="B1008" s="6">
        <v>44946</v>
      </c>
      <c r="C1008" s="6">
        <v>44970</v>
      </c>
      <c r="D1008" s="1" t="s">
        <v>7</v>
      </c>
      <c r="E1008" s="1">
        <v>39</v>
      </c>
      <c r="F1008" s="1" t="s">
        <v>6</v>
      </c>
      <c r="G1008" s="44">
        <f t="shared" si="30"/>
        <v>24</v>
      </c>
      <c r="H1008" s="10" t="str">
        <f t="shared" si="31"/>
        <v>Friday</v>
      </c>
    </row>
    <row r="1009" spans="1:8">
      <c r="A1009" s="9">
        <v>190871376</v>
      </c>
      <c r="B1009" s="6">
        <v>44947</v>
      </c>
      <c r="C1009" s="1"/>
      <c r="D1009" s="1" t="s">
        <v>7</v>
      </c>
      <c r="E1009" s="1">
        <v>39</v>
      </c>
      <c r="F1009" s="1" t="s">
        <v>6</v>
      </c>
      <c r="G1009" s="44" t="str">
        <f t="shared" si="30"/>
        <v/>
      </c>
      <c r="H1009" s="10" t="str">
        <f t="shared" si="31"/>
        <v>Saturday</v>
      </c>
    </row>
    <row r="1010" spans="1:8">
      <c r="A1010" s="9">
        <v>166750222</v>
      </c>
      <c r="B1010" s="6">
        <v>44947</v>
      </c>
      <c r="C1010" s="6">
        <v>45048</v>
      </c>
      <c r="D1010" s="1" t="s">
        <v>7</v>
      </c>
      <c r="E1010" s="1">
        <v>39</v>
      </c>
      <c r="F1010" s="1" t="s">
        <v>6</v>
      </c>
      <c r="G1010" s="44">
        <f t="shared" si="30"/>
        <v>101</v>
      </c>
      <c r="H1010" s="10" t="str">
        <f t="shared" si="31"/>
        <v>Saturday</v>
      </c>
    </row>
    <row r="1011" spans="1:8">
      <c r="A1011" s="9">
        <v>189360536</v>
      </c>
      <c r="B1011" s="6">
        <v>44947</v>
      </c>
      <c r="C1011" s="6">
        <v>45041</v>
      </c>
      <c r="D1011" s="1" t="s">
        <v>7</v>
      </c>
      <c r="E1011" s="1">
        <v>39</v>
      </c>
      <c r="F1011" s="1" t="s">
        <v>6</v>
      </c>
      <c r="G1011" s="44">
        <f t="shared" si="30"/>
        <v>94</v>
      </c>
      <c r="H1011" s="10" t="str">
        <f t="shared" si="31"/>
        <v>Saturday</v>
      </c>
    </row>
    <row r="1012" spans="1:8">
      <c r="A1012" s="9">
        <v>188197564</v>
      </c>
      <c r="B1012" s="6">
        <v>44947</v>
      </c>
      <c r="C1012" s="6">
        <v>45036</v>
      </c>
      <c r="D1012" s="1" t="s">
        <v>7</v>
      </c>
      <c r="E1012" s="1">
        <v>39</v>
      </c>
      <c r="F1012" s="1" t="s">
        <v>6</v>
      </c>
      <c r="G1012" s="44">
        <f t="shared" si="30"/>
        <v>89</v>
      </c>
      <c r="H1012" s="10" t="str">
        <f t="shared" si="31"/>
        <v>Saturday</v>
      </c>
    </row>
    <row r="1013" spans="1:8">
      <c r="A1013" s="9">
        <v>191034251</v>
      </c>
      <c r="B1013" s="6">
        <v>44947</v>
      </c>
      <c r="C1013" s="6">
        <v>44972</v>
      </c>
      <c r="D1013" s="1" t="s">
        <v>7</v>
      </c>
      <c r="E1013" s="1">
        <v>39</v>
      </c>
      <c r="F1013" s="1" t="s">
        <v>6</v>
      </c>
      <c r="G1013" s="44">
        <f t="shared" si="30"/>
        <v>25</v>
      </c>
      <c r="H1013" s="10" t="str">
        <f t="shared" si="31"/>
        <v>Saturday</v>
      </c>
    </row>
    <row r="1014" spans="1:8">
      <c r="A1014" s="9">
        <v>182972593</v>
      </c>
      <c r="B1014" s="6">
        <v>44947</v>
      </c>
      <c r="C1014" s="6">
        <v>44960</v>
      </c>
      <c r="D1014" s="1" t="s">
        <v>7</v>
      </c>
      <c r="E1014" s="1">
        <v>39</v>
      </c>
      <c r="F1014" s="1" t="s">
        <v>6</v>
      </c>
      <c r="G1014" s="44">
        <f t="shared" si="30"/>
        <v>13</v>
      </c>
      <c r="H1014" s="10" t="str">
        <f t="shared" si="31"/>
        <v>Saturday</v>
      </c>
    </row>
    <row r="1015" spans="1:8">
      <c r="A1015" s="9">
        <v>182958960</v>
      </c>
      <c r="B1015" s="6">
        <v>44948</v>
      </c>
      <c r="C1015" s="6">
        <v>44949</v>
      </c>
      <c r="D1015" s="1" t="s">
        <v>7</v>
      </c>
      <c r="E1015" s="1">
        <v>39</v>
      </c>
      <c r="F1015" s="1" t="s">
        <v>6</v>
      </c>
      <c r="G1015" s="44">
        <f t="shared" si="30"/>
        <v>1</v>
      </c>
      <c r="H1015" s="10" t="str">
        <f t="shared" si="31"/>
        <v>Sunday</v>
      </c>
    </row>
    <row r="1016" spans="1:8">
      <c r="A1016" s="9">
        <v>163220556</v>
      </c>
      <c r="B1016" s="6">
        <v>44948</v>
      </c>
      <c r="C1016" s="6">
        <v>44994</v>
      </c>
      <c r="D1016" s="1" t="s">
        <v>7</v>
      </c>
      <c r="E1016" s="1">
        <v>39</v>
      </c>
      <c r="F1016" s="1" t="s">
        <v>6</v>
      </c>
      <c r="G1016" s="44">
        <f t="shared" si="30"/>
        <v>46</v>
      </c>
      <c r="H1016" s="10" t="str">
        <f t="shared" si="31"/>
        <v>Sunday</v>
      </c>
    </row>
    <row r="1017" spans="1:8">
      <c r="A1017" s="9">
        <v>191730833</v>
      </c>
      <c r="B1017" s="6">
        <v>44948</v>
      </c>
      <c r="C1017" s="6">
        <v>45006</v>
      </c>
      <c r="D1017" s="1" t="s">
        <v>7</v>
      </c>
      <c r="E1017" s="1">
        <v>39</v>
      </c>
      <c r="F1017" s="1" t="s">
        <v>6</v>
      </c>
      <c r="G1017" s="44">
        <f t="shared" si="30"/>
        <v>58</v>
      </c>
      <c r="H1017" s="10" t="str">
        <f t="shared" si="31"/>
        <v>Sunday</v>
      </c>
    </row>
    <row r="1018" spans="1:8">
      <c r="A1018" s="9">
        <v>189680563</v>
      </c>
      <c r="B1018" s="6">
        <v>44948</v>
      </c>
      <c r="C1018" s="6">
        <v>45006</v>
      </c>
      <c r="D1018" s="1" t="s">
        <v>7</v>
      </c>
      <c r="E1018" s="1">
        <v>39</v>
      </c>
      <c r="F1018" s="1" t="s">
        <v>6</v>
      </c>
      <c r="G1018" s="44">
        <f t="shared" si="30"/>
        <v>58</v>
      </c>
      <c r="H1018" s="10" t="str">
        <f t="shared" si="31"/>
        <v>Sunday</v>
      </c>
    </row>
    <row r="1019" spans="1:8">
      <c r="A1019" s="9">
        <v>190666110</v>
      </c>
      <c r="B1019" s="6">
        <v>44949</v>
      </c>
      <c r="C1019" s="1"/>
      <c r="D1019" s="1" t="s">
        <v>7</v>
      </c>
      <c r="E1019" s="1">
        <v>39</v>
      </c>
      <c r="F1019" s="1" t="s">
        <v>6</v>
      </c>
      <c r="G1019" s="44" t="str">
        <f t="shared" si="30"/>
        <v/>
      </c>
      <c r="H1019" s="10" t="str">
        <f t="shared" si="31"/>
        <v>Monday</v>
      </c>
    </row>
    <row r="1020" spans="1:8">
      <c r="A1020" s="9">
        <v>180622613</v>
      </c>
      <c r="B1020" s="6">
        <v>44949</v>
      </c>
      <c r="C1020" s="1"/>
      <c r="D1020" s="1" t="s">
        <v>7</v>
      </c>
      <c r="E1020" s="1">
        <v>39</v>
      </c>
      <c r="F1020" s="1" t="s">
        <v>6</v>
      </c>
      <c r="G1020" s="44" t="str">
        <f t="shared" si="30"/>
        <v/>
      </c>
      <c r="H1020" s="10" t="str">
        <f t="shared" si="31"/>
        <v>Monday</v>
      </c>
    </row>
    <row r="1021" spans="1:8">
      <c r="A1021" s="9">
        <v>188827172</v>
      </c>
      <c r="B1021" s="6">
        <v>44949</v>
      </c>
      <c r="C1021" s="1"/>
      <c r="D1021" s="1" t="s">
        <v>7</v>
      </c>
      <c r="E1021" s="1">
        <v>39</v>
      </c>
      <c r="F1021" s="1" t="s">
        <v>6</v>
      </c>
      <c r="G1021" s="44" t="str">
        <f t="shared" si="30"/>
        <v/>
      </c>
      <c r="H1021" s="10" t="str">
        <f t="shared" si="31"/>
        <v>Monday</v>
      </c>
    </row>
    <row r="1022" spans="1:8">
      <c r="A1022" s="9">
        <v>188068965</v>
      </c>
      <c r="B1022" s="6">
        <v>44949</v>
      </c>
      <c r="C1022" s="6">
        <v>45076</v>
      </c>
      <c r="D1022" s="1" t="s">
        <v>7</v>
      </c>
      <c r="E1022" s="1">
        <v>39</v>
      </c>
      <c r="F1022" s="1" t="s">
        <v>6</v>
      </c>
      <c r="G1022" s="44">
        <f t="shared" si="30"/>
        <v>127</v>
      </c>
      <c r="H1022" s="10" t="str">
        <f t="shared" si="31"/>
        <v>Monday</v>
      </c>
    </row>
    <row r="1023" spans="1:8">
      <c r="A1023" s="9">
        <v>182958960</v>
      </c>
      <c r="B1023" s="6">
        <v>44949</v>
      </c>
      <c r="C1023" s="6">
        <v>44987</v>
      </c>
      <c r="D1023" s="1" t="s">
        <v>7</v>
      </c>
      <c r="E1023" s="1">
        <v>39</v>
      </c>
      <c r="F1023" s="1" t="s">
        <v>6</v>
      </c>
      <c r="G1023" s="44">
        <f t="shared" si="30"/>
        <v>38</v>
      </c>
      <c r="H1023" s="10" t="str">
        <f t="shared" si="31"/>
        <v>Monday</v>
      </c>
    </row>
    <row r="1024" spans="1:8">
      <c r="A1024" s="9">
        <v>191999674</v>
      </c>
      <c r="B1024" s="6">
        <v>44949</v>
      </c>
      <c r="C1024" s="6">
        <v>44970</v>
      </c>
      <c r="D1024" s="1" t="s">
        <v>7</v>
      </c>
      <c r="E1024" s="1">
        <v>39</v>
      </c>
      <c r="F1024" s="1" t="s">
        <v>6</v>
      </c>
      <c r="G1024" s="44">
        <f t="shared" si="30"/>
        <v>21</v>
      </c>
      <c r="H1024" s="10" t="str">
        <f t="shared" si="31"/>
        <v>Monday</v>
      </c>
    </row>
    <row r="1025" spans="1:8">
      <c r="A1025" s="9">
        <v>183451114</v>
      </c>
      <c r="B1025" s="6">
        <v>44949</v>
      </c>
      <c r="C1025" s="6">
        <v>45168</v>
      </c>
      <c r="D1025" s="1" t="s">
        <v>7</v>
      </c>
      <c r="E1025" s="1">
        <v>39</v>
      </c>
      <c r="F1025" s="1" t="s">
        <v>6</v>
      </c>
      <c r="G1025" s="44">
        <f t="shared" si="30"/>
        <v>219</v>
      </c>
      <c r="H1025" s="10" t="str">
        <f t="shared" si="31"/>
        <v>Monday</v>
      </c>
    </row>
    <row r="1026" spans="1:8">
      <c r="A1026" s="9">
        <v>191807491</v>
      </c>
      <c r="B1026" s="6">
        <v>44950</v>
      </c>
      <c r="C1026" s="1"/>
      <c r="D1026" s="1" t="s">
        <v>7</v>
      </c>
      <c r="E1026" s="1">
        <v>39</v>
      </c>
      <c r="F1026" s="1" t="s">
        <v>6</v>
      </c>
      <c r="G1026" s="44" t="str">
        <f t="shared" si="30"/>
        <v/>
      </c>
      <c r="H1026" s="10" t="str">
        <f t="shared" si="31"/>
        <v>Tuesday</v>
      </c>
    </row>
    <row r="1027" spans="1:8">
      <c r="A1027" s="9">
        <v>157833252</v>
      </c>
      <c r="B1027" s="6">
        <v>44950</v>
      </c>
      <c r="C1027" s="6">
        <v>45176</v>
      </c>
      <c r="D1027" s="1" t="s">
        <v>7</v>
      </c>
      <c r="E1027" s="1">
        <v>39</v>
      </c>
      <c r="F1027" s="1" t="s">
        <v>6</v>
      </c>
      <c r="G1027" s="44">
        <f t="shared" ref="G1027:G1090" si="32">IF(C1027="", "", DATEDIF(B1027, C1027, "D"))</f>
        <v>226</v>
      </c>
      <c r="H1027" s="10" t="str">
        <f t="shared" ref="H1027:H1090" si="33">TEXT(B1027, "dddd")</f>
        <v>Tuesday</v>
      </c>
    </row>
    <row r="1028" spans="1:8">
      <c r="A1028" s="9">
        <v>188162430</v>
      </c>
      <c r="B1028" s="6">
        <v>44950</v>
      </c>
      <c r="C1028" s="6">
        <v>45093</v>
      </c>
      <c r="D1028" s="1" t="s">
        <v>7</v>
      </c>
      <c r="E1028" s="1">
        <v>39</v>
      </c>
      <c r="F1028" s="1" t="s">
        <v>6</v>
      </c>
      <c r="G1028" s="44">
        <f t="shared" si="32"/>
        <v>143</v>
      </c>
      <c r="H1028" s="10" t="str">
        <f t="shared" si="33"/>
        <v>Tuesday</v>
      </c>
    </row>
    <row r="1029" spans="1:8">
      <c r="A1029" s="9">
        <v>190733249</v>
      </c>
      <c r="B1029" s="6">
        <v>44950</v>
      </c>
      <c r="C1029" s="6">
        <v>45005</v>
      </c>
      <c r="D1029" s="1" t="s">
        <v>7</v>
      </c>
      <c r="E1029" s="1">
        <v>39</v>
      </c>
      <c r="F1029" s="1" t="s">
        <v>6</v>
      </c>
      <c r="G1029" s="44">
        <f t="shared" si="32"/>
        <v>55</v>
      </c>
      <c r="H1029" s="10" t="str">
        <f t="shared" si="33"/>
        <v>Tuesday</v>
      </c>
    </row>
    <row r="1030" spans="1:8">
      <c r="A1030" s="9">
        <v>192539054</v>
      </c>
      <c r="B1030" s="6">
        <v>44950</v>
      </c>
      <c r="C1030" s="6">
        <v>44985</v>
      </c>
      <c r="D1030" s="1" t="s">
        <v>7</v>
      </c>
      <c r="E1030" s="1">
        <v>39</v>
      </c>
      <c r="F1030" s="1" t="s">
        <v>6</v>
      </c>
      <c r="G1030" s="44">
        <f t="shared" si="32"/>
        <v>35</v>
      </c>
      <c r="H1030" s="10" t="str">
        <f t="shared" si="33"/>
        <v>Tuesday</v>
      </c>
    </row>
    <row r="1031" spans="1:8">
      <c r="A1031" s="9">
        <v>193572822</v>
      </c>
      <c r="B1031" s="6">
        <v>44950</v>
      </c>
      <c r="C1031" s="6">
        <v>44977</v>
      </c>
      <c r="D1031" s="1" t="s">
        <v>7</v>
      </c>
      <c r="E1031" s="1">
        <v>39</v>
      </c>
      <c r="F1031" s="1" t="s">
        <v>6</v>
      </c>
      <c r="G1031" s="44">
        <f t="shared" si="32"/>
        <v>27</v>
      </c>
      <c r="H1031" s="10" t="str">
        <f t="shared" si="33"/>
        <v>Tuesday</v>
      </c>
    </row>
    <row r="1032" spans="1:8">
      <c r="A1032" s="9">
        <v>141399368</v>
      </c>
      <c r="B1032" s="6">
        <v>44951</v>
      </c>
      <c r="C1032" s="1"/>
      <c r="D1032" s="1" t="s">
        <v>7</v>
      </c>
      <c r="E1032" s="1">
        <v>39</v>
      </c>
      <c r="F1032" s="1" t="s">
        <v>6</v>
      </c>
      <c r="G1032" s="44" t="str">
        <f t="shared" si="32"/>
        <v/>
      </c>
      <c r="H1032" s="10" t="str">
        <f t="shared" si="33"/>
        <v>Wednesday</v>
      </c>
    </row>
    <row r="1033" spans="1:8">
      <c r="A1033" s="9">
        <v>193285633</v>
      </c>
      <c r="B1033" s="6">
        <v>44951</v>
      </c>
      <c r="C1033" s="1"/>
      <c r="D1033" s="1" t="s">
        <v>7</v>
      </c>
      <c r="E1033" s="1">
        <v>39</v>
      </c>
      <c r="F1033" s="1" t="s">
        <v>6</v>
      </c>
      <c r="G1033" s="44" t="str">
        <f t="shared" si="32"/>
        <v/>
      </c>
      <c r="H1033" s="10" t="str">
        <f t="shared" si="33"/>
        <v>Wednesday</v>
      </c>
    </row>
    <row r="1034" spans="1:8">
      <c r="A1034" s="9">
        <v>193891378</v>
      </c>
      <c r="B1034" s="6">
        <v>44951</v>
      </c>
      <c r="C1034" s="1"/>
      <c r="D1034" s="1" t="s">
        <v>7</v>
      </c>
      <c r="E1034" s="1">
        <v>39</v>
      </c>
      <c r="F1034" s="1" t="s">
        <v>6</v>
      </c>
      <c r="G1034" s="44" t="str">
        <f t="shared" si="32"/>
        <v/>
      </c>
      <c r="H1034" s="10" t="str">
        <f t="shared" si="33"/>
        <v>Wednesday</v>
      </c>
    </row>
    <row r="1035" spans="1:8">
      <c r="A1035" s="9">
        <v>153628260</v>
      </c>
      <c r="B1035" s="6">
        <v>44951</v>
      </c>
      <c r="C1035" s="6">
        <v>44952</v>
      </c>
      <c r="D1035" s="1" t="s">
        <v>7</v>
      </c>
      <c r="E1035" s="1">
        <v>39</v>
      </c>
      <c r="F1035" s="1" t="s">
        <v>6</v>
      </c>
      <c r="G1035" s="44">
        <f t="shared" si="32"/>
        <v>1</v>
      </c>
      <c r="H1035" s="10" t="str">
        <f t="shared" si="33"/>
        <v>Wednesday</v>
      </c>
    </row>
    <row r="1036" spans="1:8">
      <c r="A1036" s="9">
        <v>194719566</v>
      </c>
      <c r="B1036" s="6">
        <v>44951</v>
      </c>
      <c r="C1036" s="6">
        <v>44951</v>
      </c>
      <c r="D1036" s="1" t="s">
        <v>8</v>
      </c>
      <c r="E1036" s="1">
        <v>39</v>
      </c>
      <c r="F1036" s="1" t="s">
        <v>6</v>
      </c>
      <c r="G1036" s="44">
        <f t="shared" si="32"/>
        <v>0</v>
      </c>
      <c r="H1036" s="10" t="str">
        <f t="shared" si="33"/>
        <v>Wednesday</v>
      </c>
    </row>
    <row r="1037" spans="1:8">
      <c r="A1037" s="9">
        <v>176559401</v>
      </c>
      <c r="B1037" s="6">
        <v>44951</v>
      </c>
      <c r="C1037" s="6">
        <v>44951</v>
      </c>
      <c r="D1037" s="1" t="s">
        <v>8</v>
      </c>
      <c r="E1037" s="1">
        <v>39</v>
      </c>
      <c r="F1037" s="1" t="s">
        <v>6</v>
      </c>
      <c r="G1037" s="44">
        <f t="shared" si="32"/>
        <v>0</v>
      </c>
      <c r="H1037" s="10" t="str">
        <f t="shared" si="33"/>
        <v>Wednesday</v>
      </c>
    </row>
    <row r="1038" spans="1:8">
      <c r="A1038" s="9">
        <v>150178354</v>
      </c>
      <c r="B1038" s="6">
        <v>44951</v>
      </c>
      <c r="C1038" s="6">
        <v>45071</v>
      </c>
      <c r="D1038" s="1" t="s">
        <v>7</v>
      </c>
      <c r="E1038" s="1">
        <v>39</v>
      </c>
      <c r="F1038" s="1" t="s">
        <v>6</v>
      </c>
      <c r="G1038" s="44">
        <f t="shared" si="32"/>
        <v>120</v>
      </c>
      <c r="H1038" s="10" t="str">
        <f t="shared" si="33"/>
        <v>Wednesday</v>
      </c>
    </row>
    <row r="1039" spans="1:8">
      <c r="A1039" s="9">
        <v>192395073</v>
      </c>
      <c r="B1039" s="6">
        <v>44951</v>
      </c>
      <c r="C1039" s="6">
        <v>45022</v>
      </c>
      <c r="D1039" s="1" t="s">
        <v>7</v>
      </c>
      <c r="E1039" s="1">
        <v>39</v>
      </c>
      <c r="F1039" s="1" t="s">
        <v>6</v>
      </c>
      <c r="G1039" s="44">
        <f t="shared" si="32"/>
        <v>71</v>
      </c>
      <c r="H1039" s="10" t="str">
        <f t="shared" si="33"/>
        <v>Wednesday</v>
      </c>
    </row>
    <row r="1040" spans="1:8">
      <c r="A1040" s="9">
        <v>152690237</v>
      </c>
      <c r="B1040" s="6">
        <v>44951</v>
      </c>
      <c r="C1040" s="6">
        <v>45007</v>
      </c>
      <c r="D1040" s="1" t="s">
        <v>7</v>
      </c>
      <c r="E1040" s="1">
        <v>39</v>
      </c>
      <c r="F1040" s="1" t="s">
        <v>6</v>
      </c>
      <c r="G1040" s="44">
        <f t="shared" si="32"/>
        <v>56</v>
      </c>
      <c r="H1040" s="10" t="str">
        <f t="shared" si="33"/>
        <v>Wednesday</v>
      </c>
    </row>
    <row r="1041" spans="1:8">
      <c r="A1041" s="9">
        <v>151572886</v>
      </c>
      <c r="B1041" s="6">
        <v>44951</v>
      </c>
      <c r="C1041" s="6">
        <v>44997</v>
      </c>
      <c r="D1041" s="1" t="s">
        <v>7</v>
      </c>
      <c r="E1041" s="1">
        <v>39</v>
      </c>
      <c r="F1041" s="1" t="s">
        <v>6</v>
      </c>
      <c r="G1041" s="44">
        <f t="shared" si="32"/>
        <v>46</v>
      </c>
      <c r="H1041" s="10" t="str">
        <f t="shared" si="33"/>
        <v>Wednesday</v>
      </c>
    </row>
    <row r="1042" spans="1:8">
      <c r="A1042" s="9">
        <v>193869975</v>
      </c>
      <c r="B1042" s="6">
        <v>44951</v>
      </c>
      <c r="C1042" s="6">
        <v>45000</v>
      </c>
      <c r="D1042" s="1" t="s">
        <v>7</v>
      </c>
      <c r="E1042" s="1">
        <v>39</v>
      </c>
      <c r="F1042" s="1" t="s">
        <v>6</v>
      </c>
      <c r="G1042" s="44">
        <f t="shared" si="32"/>
        <v>49</v>
      </c>
      <c r="H1042" s="10" t="str">
        <f t="shared" si="33"/>
        <v>Wednesday</v>
      </c>
    </row>
    <row r="1043" spans="1:8">
      <c r="A1043" s="9">
        <v>175077871</v>
      </c>
      <c r="B1043" s="6">
        <v>44951</v>
      </c>
      <c r="C1043" s="6">
        <v>45000</v>
      </c>
      <c r="D1043" s="1" t="s">
        <v>7</v>
      </c>
      <c r="E1043" s="1">
        <v>39</v>
      </c>
      <c r="F1043" s="1" t="s">
        <v>6</v>
      </c>
      <c r="G1043" s="44">
        <f t="shared" si="32"/>
        <v>49</v>
      </c>
      <c r="H1043" s="10" t="str">
        <f t="shared" si="33"/>
        <v>Wednesday</v>
      </c>
    </row>
    <row r="1044" spans="1:8">
      <c r="A1044" s="9">
        <v>193229869</v>
      </c>
      <c r="B1044" s="6">
        <v>44951</v>
      </c>
      <c r="C1044" s="6">
        <v>44986</v>
      </c>
      <c r="D1044" s="1" t="s">
        <v>7</v>
      </c>
      <c r="E1044" s="1">
        <v>39</v>
      </c>
      <c r="F1044" s="1" t="s">
        <v>6</v>
      </c>
      <c r="G1044" s="44">
        <f t="shared" si="32"/>
        <v>35</v>
      </c>
      <c r="H1044" s="10" t="str">
        <f t="shared" si="33"/>
        <v>Wednesday</v>
      </c>
    </row>
    <row r="1045" spans="1:8">
      <c r="A1045" s="9">
        <v>189257579</v>
      </c>
      <c r="B1045" s="6">
        <v>44952</v>
      </c>
      <c r="C1045" s="1"/>
      <c r="D1045" s="1" t="s">
        <v>7</v>
      </c>
      <c r="E1045" s="1">
        <v>39</v>
      </c>
      <c r="F1045" s="1" t="s">
        <v>6</v>
      </c>
      <c r="G1045" s="44" t="str">
        <f t="shared" si="32"/>
        <v/>
      </c>
      <c r="H1045" s="10" t="str">
        <f t="shared" si="33"/>
        <v>Thursday</v>
      </c>
    </row>
    <row r="1046" spans="1:8">
      <c r="A1046" s="9">
        <v>184333409</v>
      </c>
      <c r="B1046" s="6">
        <v>44952</v>
      </c>
      <c r="C1046" s="1"/>
      <c r="D1046" s="1" t="s">
        <v>7</v>
      </c>
      <c r="E1046" s="1">
        <v>39</v>
      </c>
      <c r="F1046" s="1" t="s">
        <v>6</v>
      </c>
      <c r="G1046" s="44" t="str">
        <f t="shared" si="32"/>
        <v/>
      </c>
      <c r="H1046" s="10" t="str">
        <f t="shared" si="33"/>
        <v>Thursday</v>
      </c>
    </row>
    <row r="1047" spans="1:8">
      <c r="A1047" s="9">
        <v>144719454</v>
      </c>
      <c r="B1047" s="6">
        <v>44952</v>
      </c>
      <c r="C1047" s="1"/>
      <c r="D1047" s="1" t="s">
        <v>7</v>
      </c>
      <c r="E1047" s="1">
        <v>39</v>
      </c>
      <c r="F1047" s="1" t="s">
        <v>6</v>
      </c>
      <c r="G1047" s="44" t="str">
        <f t="shared" si="32"/>
        <v/>
      </c>
      <c r="H1047" s="10" t="str">
        <f t="shared" si="33"/>
        <v>Thursday</v>
      </c>
    </row>
    <row r="1048" spans="1:8">
      <c r="A1048" s="9">
        <v>195759475</v>
      </c>
      <c r="B1048" s="6">
        <v>44952</v>
      </c>
      <c r="C1048" s="1"/>
      <c r="D1048" s="1" t="s">
        <v>7</v>
      </c>
      <c r="E1048" s="1">
        <v>39</v>
      </c>
      <c r="F1048" s="1" t="s">
        <v>6</v>
      </c>
      <c r="G1048" s="44" t="str">
        <f t="shared" si="32"/>
        <v/>
      </c>
      <c r="H1048" s="10" t="str">
        <f t="shared" si="33"/>
        <v>Thursday</v>
      </c>
    </row>
    <row r="1049" spans="1:8">
      <c r="A1049" s="9">
        <v>167602454</v>
      </c>
      <c r="B1049" s="6">
        <v>44952</v>
      </c>
      <c r="C1049" s="1"/>
      <c r="D1049" s="1" t="s">
        <v>7</v>
      </c>
      <c r="E1049" s="1">
        <v>39</v>
      </c>
      <c r="F1049" s="1" t="s">
        <v>6</v>
      </c>
      <c r="G1049" s="44" t="str">
        <f t="shared" si="32"/>
        <v/>
      </c>
      <c r="H1049" s="10" t="str">
        <f t="shared" si="33"/>
        <v>Thursday</v>
      </c>
    </row>
    <row r="1050" spans="1:8">
      <c r="A1050" s="9">
        <v>148838269</v>
      </c>
      <c r="B1050" s="6">
        <v>44952</v>
      </c>
      <c r="C1050" s="1"/>
      <c r="D1050" s="1" t="s">
        <v>7</v>
      </c>
      <c r="E1050" s="1">
        <v>39</v>
      </c>
      <c r="F1050" s="1" t="s">
        <v>6</v>
      </c>
      <c r="G1050" s="44" t="str">
        <f t="shared" si="32"/>
        <v/>
      </c>
      <c r="H1050" s="10" t="str">
        <f t="shared" si="33"/>
        <v>Thursday</v>
      </c>
    </row>
    <row r="1051" spans="1:8">
      <c r="A1051" s="9">
        <v>195938394</v>
      </c>
      <c r="B1051" s="6">
        <v>44952</v>
      </c>
      <c r="C1051" s="6">
        <v>45100</v>
      </c>
      <c r="D1051" s="1" t="s">
        <v>7</v>
      </c>
      <c r="E1051" s="1">
        <v>39</v>
      </c>
      <c r="F1051" s="1" t="s">
        <v>6</v>
      </c>
      <c r="G1051" s="44">
        <f t="shared" si="32"/>
        <v>148</v>
      </c>
      <c r="H1051" s="10" t="str">
        <f t="shared" si="33"/>
        <v>Thursday</v>
      </c>
    </row>
    <row r="1052" spans="1:8">
      <c r="A1052" s="9">
        <v>194091086</v>
      </c>
      <c r="B1052" s="6">
        <v>44952</v>
      </c>
      <c r="C1052" s="6">
        <v>45020</v>
      </c>
      <c r="D1052" s="1" t="s">
        <v>7</v>
      </c>
      <c r="E1052" s="1">
        <v>39</v>
      </c>
      <c r="F1052" s="1" t="s">
        <v>6</v>
      </c>
      <c r="G1052" s="44">
        <f t="shared" si="32"/>
        <v>68</v>
      </c>
      <c r="H1052" s="10" t="str">
        <f t="shared" si="33"/>
        <v>Thursday</v>
      </c>
    </row>
    <row r="1053" spans="1:8">
      <c r="A1053" s="9">
        <v>181456580</v>
      </c>
      <c r="B1053" s="6">
        <v>44952</v>
      </c>
      <c r="C1053" s="6">
        <v>45039</v>
      </c>
      <c r="D1053" s="1" t="s">
        <v>7</v>
      </c>
      <c r="E1053" s="1">
        <v>39</v>
      </c>
      <c r="F1053" s="1" t="s">
        <v>6</v>
      </c>
      <c r="G1053" s="44">
        <f t="shared" si="32"/>
        <v>87</v>
      </c>
      <c r="H1053" s="10" t="str">
        <f t="shared" si="33"/>
        <v>Thursday</v>
      </c>
    </row>
    <row r="1054" spans="1:8">
      <c r="A1054" s="9">
        <v>169302100</v>
      </c>
      <c r="B1054" s="6">
        <v>44952</v>
      </c>
      <c r="C1054" s="6">
        <v>45015</v>
      </c>
      <c r="D1054" s="1" t="s">
        <v>7</v>
      </c>
      <c r="E1054" s="1">
        <v>39</v>
      </c>
      <c r="F1054" s="1" t="s">
        <v>6</v>
      </c>
      <c r="G1054" s="44">
        <f t="shared" si="32"/>
        <v>63</v>
      </c>
      <c r="H1054" s="10" t="str">
        <f t="shared" si="33"/>
        <v>Thursday</v>
      </c>
    </row>
    <row r="1055" spans="1:8">
      <c r="A1055" s="9">
        <v>180997025</v>
      </c>
      <c r="B1055" s="6">
        <v>44952</v>
      </c>
      <c r="C1055" s="6">
        <v>44990</v>
      </c>
      <c r="D1055" s="1" t="s">
        <v>7</v>
      </c>
      <c r="E1055" s="1">
        <v>39</v>
      </c>
      <c r="F1055" s="1" t="s">
        <v>6</v>
      </c>
      <c r="G1055" s="44">
        <f t="shared" si="32"/>
        <v>38</v>
      </c>
      <c r="H1055" s="10" t="str">
        <f t="shared" si="33"/>
        <v>Thursday</v>
      </c>
    </row>
    <row r="1056" spans="1:8">
      <c r="A1056" s="9">
        <v>196091620</v>
      </c>
      <c r="B1056" s="6">
        <v>44952</v>
      </c>
      <c r="C1056" s="6">
        <v>44959</v>
      </c>
      <c r="D1056" s="1" t="s">
        <v>7</v>
      </c>
      <c r="E1056" s="1">
        <v>39</v>
      </c>
      <c r="F1056" s="1" t="s">
        <v>6</v>
      </c>
      <c r="G1056" s="44">
        <f t="shared" si="32"/>
        <v>7</v>
      </c>
      <c r="H1056" s="10" t="str">
        <f t="shared" si="33"/>
        <v>Thursday</v>
      </c>
    </row>
    <row r="1057" spans="1:8">
      <c r="A1057" s="9">
        <v>189277140</v>
      </c>
      <c r="B1057" s="6">
        <v>44952</v>
      </c>
      <c r="C1057" s="6">
        <v>44980</v>
      </c>
      <c r="D1057" s="1" t="s">
        <v>7</v>
      </c>
      <c r="E1057" s="1">
        <v>39</v>
      </c>
      <c r="F1057" s="1" t="s">
        <v>6</v>
      </c>
      <c r="G1057" s="44">
        <f t="shared" si="32"/>
        <v>28</v>
      </c>
      <c r="H1057" s="10" t="str">
        <f t="shared" si="33"/>
        <v>Thursday</v>
      </c>
    </row>
    <row r="1058" spans="1:8">
      <c r="A1058" s="9">
        <v>195279352</v>
      </c>
      <c r="B1058" s="6">
        <v>44952</v>
      </c>
      <c r="C1058" s="6">
        <v>44980</v>
      </c>
      <c r="D1058" s="1" t="s">
        <v>7</v>
      </c>
      <c r="E1058" s="1">
        <v>39</v>
      </c>
      <c r="F1058" s="1" t="s">
        <v>6</v>
      </c>
      <c r="G1058" s="44">
        <f t="shared" si="32"/>
        <v>28</v>
      </c>
      <c r="H1058" s="10" t="str">
        <f t="shared" si="33"/>
        <v>Thursday</v>
      </c>
    </row>
    <row r="1059" spans="1:8">
      <c r="A1059" s="9">
        <v>191113428</v>
      </c>
      <c r="B1059" s="6">
        <v>44952</v>
      </c>
      <c r="C1059" s="6">
        <v>44952</v>
      </c>
      <c r="D1059" s="1" t="s">
        <v>7</v>
      </c>
      <c r="E1059" s="1">
        <v>39</v>
      </c>
      <c r="F1059" s="1" t="s">
        <v>6</v>
      </c>
      <c r="G1059" s="44">
        <f t="shared" si="32"/>
        <v>0</v>
      </c>
      <c r="H1059" s="10" t="str">
        <f t="shared" si="33"/>
        <v>Thursday</v>
      </c>
    </row>
    <row r="1060" spans="1:8">
      <c r="A1060" s="9">
        <v>193802414</v>
      </c>
      <c r="B1060" s="6">
        <v>44952</v>
      </c>
      <c r="C1060" s="6">
        <v>45104</v>
      </c>
      <c r="D1060" s="1" t="s">
        <v>7</v>
      </c>
      <c r="E1060" s="1">
        <v>39</v>
      </c>
      <c r="F1060" s="1" t="s">
        <v>6</v>
      </c>
      <c r="G1060" s="44">
        <f t="shared" si="32"/>
        <v>152</v>
      </c>
      <c r="H1060" s="10" t="str">
        <f t="shared" si="33"/>
        <v>Thursday</v>
      </c>
    </row>
    <row r="1061" spans="1:8">
      <c r="A1061" s="9">
        <v>115735280</v>
      </c>
      <c r="B1061" s="6">
        <v>44953</v>
      </c>
      <c r="C1061" s="1"/>
      <c r="D1061" s="1" t="s">
        <v>7</v>
      </c>
      <c r="E1061" s="1">
        <v>39</v>
      </c>
      <c r="F1061" s="1" t="s">
        <v>6</v>
      </c>
      <c r="G1061" s="44" t="str">
        <f t="shared" si="32"/>
        <v/>
      </c>
      <c r="H1061" s="10" t="str">
        <f t="shared" si="33"/>
        <v>Friday</v>
      </c>
    </row>
    <row r="1062" spans="1:8">
      <c r="A1062" s="9">
        <v>153026024</v>
      </c>
      <c r="B1062" s="6">
        <v>44953</v>
      </c>
      <c r="C1062" s="1"/>
      <c r="D1062" s="1" t="s">
        <v>7</v>
      </c>
      <c r="E1062" s="1">
        <v>39</v>
      </c>
      <c r="F1062" s="1" t="s">
        <v>6</v>
      </c>
      <c r="G1062" s="44" t="str">
        <f t="shared" si="32"/>
        <v/>
      </c>
      <c r="H1062" s="10" t="str">
        <f t="shared" si="33"/>
        <v>Friday</v>
      </c>
    </row>
    <row r="1063" spans="1:8">
      <c r="A1063" s="9">
        <v>196069557</v>
      </c>
      <c r="B1063" s="6">
        <v>44953</v>
      </c>
      <c r="C1063" s="1"/>
      <c r="D1063" s="1" t="s">
        <v>7</v>
      </c>
      <c r="E1063" s="1">
        <v>39</v>
      </c>
      <c r="F1063" s="1" t="s">
        <v>6</v>
      </c>
      <c r="G1063" s="44" t="str">
        <f t="shared" si="32"/>
        <v/>
      </c>
      <c r="H1063" s="10" t="str">
        <f t="shared" si="33"/>
        <v>Friday</v>
      </c>
    </row>
    <row r="1064" spans="1:8">
      <c r="A1064" s="9">
        <v>193666586</v>
      </c>
      <c r="B1064" s="6">
        <v>44953</v>
      </c>
      <c r="C1064" s="1"/>
      <c r="D1064" s="1" t="s">
        <v>7</v>
      </c>
      <c r="E1064" s="1">
        <v>39</v>
      </c>
      <c r="F1064" s="1" t="s">
        <v>6</v>
      </c>
      <c r="G1064" s="44" t="str">
        <f t="shared" si="32"/>
        <v/>
      </c>
      <c r="H1064" s="10" t="str">
        <f t="shared" si="33"/>
        <v>Friday</v>
      </c>
    </row>
    <row r="1065" spans="1:8">
      <c r="A1065" s="9">
        <v>192550222</v>
      </c>
      <c r="B1065" s="6">
        <v>44953</v>
      </c>
      <c r="C1065" s="1"/>
      <c r="D1065" s="1" t="s">
        <v>7</v>
      </c>
      <c r="E1065" s="1">
        <v>39</v>
      </c>
      <c r="F1065" s="1" t="s">
        <v>6</v>
      </c>
      <c r="G1065" s="44" t="str">
        <f t="shared" si="32"/>
        <v/>
      </c>
      <c r="H1065" s="10" t="str">
        <f t="shared" si="33"/>
        <v>Friday</v>
      </c>
    </row>
    <row r="1066" spans="1:8">
      <c r="A1066" s="9">
        <v>196022560</v>
      </c>
      <c r="B1066" s="6">
        <v>44953</v>
      </c>
      <c r="C1066" s="6">
        <v>45174</v>
      </c>
      <c r="D1066" s="1" t="s">
        <v>7</v>
      </c>
      <c r="E1066" s="1">
        <v>39</v>
      </c>
      <c r="F1066" s="1" t="s">
        <v>6</v>
      </c>
      <c r="G1066" s="44">
        <f t="shared" si="32"/>
        <v>221</v>
      </c>
      <c r="H1066" s="10" t="str">
        <f t="shared" si="33"/>
        <v>Friday</v>
      </c>
    </row>
    <row r="1067" spans="1:8">
      <c r="A1067" s="9">
        <v>196715854</v>
      </c>
      <c r="B1067" s="6">
        <v>44953</v>
      </c>
      <c r="C1067" s="6">
        <v>44954</v>
      </c>
      <c r="D1067" s="1" t="s">
        <v>8</v>
      </c>
      <c r="E1067" s="1">
        <v>39</v>
      </c>
      <c r="F1067" s="1" t="s">
        <v>6</v>
      </c>
      <c r="G1067" s="44">
        <f t="shared" si="32"/>
        <v>1</v>
      </c>
      <c r="H1067" s="10" t="str">
        <f t="shared" si="33"/>
        <v>Friday</v>
      </c>
    </row>
    <row r="1068" spans="1:8">
      <c r="A1068" s="9">
        <v>196969212</v>
      </c>
      <c r="B1068" s="6">
        <v>44953</v>
      </c>
      <c r="C1068" s="6">
        <v>45040</v>
      </c>
      <c r="D1068" s="1" t="s">
        <v>7</v>
      </c>
      <c r="E1068" s="1">
        <v>39</v>
      </c>
      <c r="F1068" s="1" t="s">
        <v>6</v>
      </c>
      <c r="G1068" s="44">
        <f t="shared" si="32"/>
        <v>87</v>
      </c>
      <c r="H1068" s="10" t="str">
        <f t="shared" si="33"/>
        <v>Friday</v>
      </c>
    </row>
    <row r="1069" spans="1:8">
      <c r="A1069" s="9">
        <v>196308725</v>
      </c>
      <c r="B1069" s="6">
        <v>44953</v>
      </c>
      <c r="C1069" s="6">
        <v>45016</v>
      </c>
      <c r="D1069" s="1" t="s">
        <v>7</v>
      </c>
      <c r="E1069" s="1">
        <v>39</v>
      </c>
      <c r="F1069" s="1" t="s">
        <v>6</v>
      </c>
      <c r="G1069" s="44">
        <f t="shared" si="32"/>
        <v>63</v>
      </c>
      <c r="H1069" s="10" t="str">
        <f t="shared" si="33"/>
        <v>Friday</v>
      </c>
    </row>
    <row r="1070" spans="1:8">
      <c r="A1070" s="9">
        <v>196245690</v>
      </c>
      <c r="B1070" s="6">
        <v>44953</v>
      </c>
      <c r="C1070" s="6">
        <v>45012</v>
      </c>
      <c r="D1070" s="1" t="s">
        <v>7</v>
      </c>
      <c r="E1070" s="1">
        <v>39</v>
      </c>
      <c r="F1070" s="1" t="s">
        <v>6</v>
      </c>
      <c r="G1070" s="44">
        <f t="shared" si="32"/>
        <v>59</v>
      </c>
      <c r="H1070" s="10" t="str">
        <f t="shared" si="33"/>
        <v>Friday</v>
      </c>
    </row>
    <row r="1071" spans="1:8">
      <c r="A1071" s="9">
        <v>195988242</v>
      </c>
      <c r="B1071" s="6">
        <v>44953</v>
      </c>
      <c r="C1071" s="6">
        <v>44991</v>
      </c>
      <c r="D1071" s="1" t="s">
        <v>7</v>
      </c>
      <c r="E1071" s="1">
        <v>39</v>
      </c>
      <c r="F1071" s="1" t="s">
        <v>6</v>
      </c>
      <c r="G1071" s="44">
        <f t="shared" si="32"/>
        <v>38</v>
      </c>
      <c r="H1071" s="10" t="str">
        <f t="shared" si="33"/>
        <v>Friday</v>
      </c>
    </row>
    <row r="1072" spans="1:8">
      <c r="A1072" s="9">
        <v>192068317</v>
      </c>
      <c r="B1072" s="6">
        <v>44953</v>
      </c>
      <c r="C1072" s="6">
        <v>45013</v>
      </c>
      <c r="D1072" s="1" t="s">
        <v>7</v>
      </c>
      <c r="E1072" s="1">
        <v>39</v>
      </c>
      <c r="F1072" s="1" t="s">
        <v>6</v>
      </c>
      <c r="G1072" s="44">
        <f t="shared" si="32"/>
        <v>60</v>
      </c>
      <c r="H1072" s="10" t="str">
        <f t="shared" si="33"/>
        <v>Friday</v>
      </c>
    </row>
    <row r="1073" spans="1:8">
      <c r="A1073" s="9">
        <v>195039185</v>
      </c>
      <c r="B1073" s="6">
        <v>44953</v>
      </c>
      <c r="C1073" s="6">
        <v>44980</v>
      </c>
      <c r="D1073" s="1" t="s">
        <v>7</v>
      </c>
      <c r="E1073" s="1">
        <v>39</v>
      </c>
      <c r="F1073" s="1" t="s">
        <v>6</v>
      </c>
      <c r="G1073" s="44">
        <f t="shared" si="32"/>
        <v>27</v>
      </c>
      <c r="H1073" s="10" t="str">
        <f t="shared" si="33"/>
        <v>Friday</v>
      </c>
    </row>
    <row r="1074" spans="1:8">
      <c r="A1074" s="9">
        <v>188563149</v>
      </c>
      <c r="B1074" s="6">
        <v>44953</v>
      </c>
      <c r="C1074" s="6">
        <v>45154</v>
      </c>
      <c r="D1074" s="1" t="s">
        <v>7</v>
      </c>
      <c r="E1074" s="1">
        <v>39</v>
      </c>
      <c r="F1074" s="1" t="s">
        <v>6</v>
      </c>
      <c r="G1074" s="44">
        <f t="shared" si="32"/>
        <v>201</v>
      </c>
      <c r="H1074" s="10" t="str">
        <f t="shared" si="33"/>
        <v>Friday</v>
      </c>
    </row>
    <row r="1075" spans="1:8">
      <c r="A1075" s="9">
        <v>188748439</v>
      </c>
      <c r="B1075" s="6">
        <v>44953</v>
      </c>
      <c r="C1075" s="6">
        <v>45157</v>
      </c>
      <c r="D1075" s="1" t="s">
        <v>7</v>
      </c>
      <c r="E1075" s="1">
        <v>39</v>
      </c>
      <c r="F1075" s="1" t="s">
        <v>6</v>
      </c>
      <c r="G1075" s="44">
        <f t="shared" si="32"/>
        <v>204</v>
      </c>
      <c r="H1075" s="10" t="str">
        <f t="shared" si="33"/>
        <v>Friday</v>
      </c>
    </row>
    <row r="1076" spans="1:8">
      <c r="A1076" s="9">
        <v>160873880</v>
      </c>
      <c r="B1076" s="6">
        <v>44954</v>
      </c>
      <c r="C1076" s="1"/>
      <c r="D1076" s="1" t="s">
        <v>7</v>
      </c>
      <c r="E1076" s="1">
        <v>39</v>
      </c>
      <c r="F1076" s="1" t="s">
        <v>6</v>
      </c>
      <c r="G1076" s="44" t="str">
        <f t="shared" si="32"/>
        <v/>
      </c>
      <c r="H1076" s="10" t="str">
        <f t="shared" si="33"/>
        <v>Saturday</v>
      </c>
    </row>
    <row r="1077" spans="1:8">
      <c r="A1077" s="9">
        <v>160379194</v>
      </c>
      <c r="B1077" s="6">
        <v>44954</v>
      </c>
      <c r="C1077" s="6">
        <v>44954</v>
      </c>
      <c r="D1077" s="1" t="s">
        <v>7</v>
      </c>
      <c r="E1077" s="1">
        <v>39</v>
      </c>
      <c r="F1077" s="1" t="s">
        <v>6</v>
      </c>
      <c r="G1077" s="44">
        <f t="shared" si="32"/>
        <v>0</v>
      </c>
      <c r="H1077" s="10" t="str">
        <f t="shared" si="33"/>
        <v>Saturday</v>
      </c>
    </row>
    <row r="1078" spans="1:8">
      <c r="A1078" s="9">
        <v>194169961</v>
      </c>
      <c r="B1078" s="6">
        <v>44954</v>
      </c>
      <c r="C1078" s="6">
        <v>45009</v>
      </c>
      <c r="D1078" s="1" t="s">
        <v>7</v>
      </c>
      <c r="E1078" s="1">
        <v>39</v>
      </c>
      <c r="F1078" s="1" t="s">
        <v>6</v>
      </c>
      <c r="G1078" s="44">
        <f t="shared" si="32"/>
        <v>55</v>
      </c>
      <c r="H1078" s="10" t="str">
        <f t="shared" si="33"/>
        <v>Saturday</v>
      </c>
    </row>
    <row r="1079" spans="1:8">
      <c r="A1079" s="9">
        <v>184209232</v>
      </c>
      <c r="B1079" s="6">
        <v>44954</v>
      </c>
      <c r="C1079" s="6">
        <v>44992</v>
      </c>
      <c r="D1079" s="1" t="s">
        <v>7</v>
      </c>
      <c r="E1079" s="1">
        <v>39</v>
      </c>
      <c r="F1079" s="1" t="s">
        <v>6</v>
      </c>
      <c r="G1079" s="44">
        <f t="shared" si="32"/>
        <v>38</v>
      </c>
      <c r="H1079" s="10" t="str">
        <f t="shared" si="33"/>
        <v>Saturday</v>
      </c>
    </row>
    <row r="1080" spans="1:8">
      <c r="A1080" s="9">
        <v>195198228</v>
      </c>
      <c r="B1080" s="6">
        <v>44954</v>
      </c>
      <c r="C1080" s="6">
        <v>44974</v>
      </c>
      <c r="D1080" s="1" t="s">
        <v>7</v>
      </c>
      <c r="E1080" s="1">
        <v>39</v>
      </c>
      <c r="F1080" s="1" t="s">
        <v>6</v>
      </c>
      <c r="G1080" s="44">
        <f t="shared" si="32"/>
        <v>20</v>
      </c>
      <c r="H1080" s="10" t="str">
        <f t="shared" si="33"/>
        <v>Saturday</v>
      </c>
    </row>
    <row r="1081" spans="1:8">
      <c r="A1081" s="9">
        <v>153657568</v>
      </c>
      <c r="B1081" s="6">
        <v>44955</v>
      </c>
      <c r="C1081" s="1"/>
      <c r="D1081" s="1" t="s">
        <v>7</v>
      </c>
      <c r="E1081" s="1">
        <v>39</v>
      </c>
      <c r="F1081" s="1" t="s">
        <v>6</v>
      </c>
      <c r="G1081" s="44" t="str">
        <f t="shared" si="32"/>
        <v/>
      </c>
      <c r="H1081" s="10" t="str">
        <f t="shared" si="33"/>
        <v>Sunday</v>
      </c>
    </row>
    <row r="1082" spans="1:8">
      <c r="A1082" s="9">
        <v>127697219</v>
      </c>
      <c r="B1082" s="6">
        <v>44955</v>
      </c>
      <c r="C1082" s="6">
        <v>45071</v>
      </c>
      <c r="D1082" s="1" t="s">
        <v>7</v>
      </c>
      <c r="E1082" s="1">
        <v>39</v>
      </c>
      <c r="F1082" s="1" t="s">
        <v>6</v>
      </c>
      <c r="G1082" s="44">
        <f t="shared" si="32"/>
        <v>116</v>
      </c>
      <c r="H1082" s="10" t="str">
        <f t="shared" si="33"/>
        <v>Sunday</v>
      </c>
    </row>
    <row r="1083" spans="1:8">
      <c r="A1083" s="9">
        <v>198448283</v>
      </c>
      <c r="B1083" s="6">
        <v>44955</v>
      </c>
      <c r="C1083" s="6">
        <v>45113</v>
      </c>
      <c r="D1083" s="1" t="s">
        <v>7</v>
      </c>
      <c r="E1083" s="1">
        <v>39</v>
      </c>
      <c r="F1083" s="1" t="s">
        <v>6</v>
      </c>
      <c r="G1083" s="44">
        <f t="shared" si="32"/>
        <v>158</v>
      </c>
      <c r="H1083" s="10" t="str">
        <f t="shared" si="33"/>
        <v>Sunday</v>
      </c>
    </row>
    <row r="1084" spans="1:8">
      <c r="A1084" s="9">
        <v>159483118</v>
      </c>
      <c r="B1084" s="6">
        <v>44955</v>
      </c>
      <c r="C1084" s="6">
        <v>44986</v>
      </c>
      <c r="D1084" s="1" t="s">
        <v>7</v>
      </c>
      <c r="E1084" s="1">
        <v>39</v>
      </c>
      <c r="F1084" s="1" t="s">
        <v>6</v>
      </c>
      <c r="G1084" s="44">
        <f t="shared" si="32"/>
        <v>31</v>
      </c>
      <c r="H1084" s="10" t="str">
        <f t="shared" si="33"/>
        <v>Sunday</v>
      </c>
    </row>
    <row r="1085" spans="1:8">
      <c r="A1085" s="9">
        <v>152433647</v>
      </c>
      <c r="B1085" s="6">
        <v>44955</v>
      </c>
      <c r="C1085" s="6">
        <v>44998</v>
      </c>
      <c r="D1085" s="1" t="s">
        <v>7</v>
      </c>
      <c r="E1085" s="1">
        <v>39</v>
      </c>
      <c r="F1085" s="1" t="s">
        <v>6</v>
      </c>
      <c r="G1085" s="44">
        <f t="shared" si="32"/>
        <v>43</v>
      </c>
      <c r="H1085" s="10" t="str">
        <f t="shared" si="33"/>
        <v>Sunday</v>
      </c>
    </row>
    <row r="1086" spans="1:8">
      <c r="A1086" s="9">
        <v>154790198</v>
      </c>
      <c r="B1086" s="6">
        <v>44955</v>
      </c>
      <c r="C1086" s="6">
        <v>44972</v>
      </c>
      <c r="D1086" s="1" t="s">
        <v>7</v>
      </c>
      <c r="E1086" s="1">
        <v>39</v>
      </c>
      <c r="F1086" s="1" t="s">
        <v>6</v>
      </c>
      <c r="G1086" s="44">
        <f t="shared" si="32"/>
        <v>17</v>
      </c>
      <c r="H1086" s="10" t="str">
        <f t="shared" si="33"/>
        <v>Sunday</v>
      </c>
    </row>
    <row r="1087" spans="1:8">
      <c r="A1087" s="9">
        <v>191896242</v>
      </c>
      <c r="B1087" s="6">
        <v>44956</v>
      </c>
      <c r="C1087" s="1"/>
      <c r="D1087" s="1" t="s">
        <v>7</v>
      </c>
      <c r="E1087" s="1">
        <v>39</v>
      </c>
      <c r="F1087" s="1" t="s">
        <v>6</v>
      </c>
      <c r="G1087" s="44" t="str">
        <f t="shared" si="32"/>
        <v/>
      </c>
      <c r="H1087" s="10" t="str">
        <f t="shared" si="33"/>
        <v>Monday</v>
      </c>
    </row>
    <row r="1088" spans="1:8">
      <c r="A1088" s="9">
        <v>136407072</v>
      </c>
      <c r="B1088" s="6">
        <v>44956</v>
      </c>
      <c r="C1088" s="6">
        <v>45138</v>
      </c>
      <c r="D1088" s="1" t="s">
        <v>7</v>
      </c>
      <c r="E1088" s="1">
        <v>39</v>
      </c>
      <c r="F1088" s="1" t="s">
        <v>6</v>
      </c>
      <c r="G1088" s="44">
        <f t="shared" si="32"/>
        <v>182</v>
      </c>
      <c r="H1088" s="10" t="str">
        <f t="shared" si="33"/>
        <v>Monday</v>
      </c>
    </row>
    <row r="1089" spans="1:8">
      <c r="A1089" s="9">
        <v>199439964</v>
      </c>
      <c r="B1089" s="6">
        <v>44956</v>
      </c>
      <c r="C1089" s="6">
        <v>45083</v>
      </c>
      <c r="D1089" s="1" t="s">
        <v>7</v>
      </c>
      <c r="E1089" s="1">
        <v>39</v>
      </c>
      <c r="F1089" s="1" t="s">
        <v>6</v>
      </c>
      <c r="G1089" s="44">
        <f t="shared" si="32"/>
        <v>127</v>
      </c>
      <c r="H1089" s="10" t="str">
        <f t="shared" si="33"/>
        <v>Monday</v>
      </c>
    </row>
    <row r="1090" spans="1:8">
      <c r="A1090" s="9">
        <v>199255574</v>
      </c>
      <c r="B1090" s="6">
        <v>44956</v>
      </c>
      <c r="C1090" s="6">
        <v>45098</v>
      </c>
      <c r="D1090" s="1" t="s">
        <v>7</v>
      </c>
      <c r="E1090" s="1">
        <v>39</v>
      </c>
      <c r="F1090" s="1" t="s">
        <v>6</v>
      </c>
      <c r="G1090" s="44">
        <f t="shared" si="32"/>
        <v>142</v>
      </c>
      <c r="H1090" s="10" t="str">
        <f t="shared" si="33"/>
        <v>Monday</v>
      </c>
    </row>
    <row r="1091" spans="1:8">
      <c r="A1091" s="9">
        <v>167938302</v>
      </c>
      <c r="B1091" s="6">
        <v>44956</v>
      </c>
      <c r="C1091" s="6">
        <v>45022</v>
      </c>
      <c r="D1091" s="1" t="s">
        <v>7</v>
      </c>
      <c r="E1091" s="1">
        <v>39</v>
      </c>
      <c r="F1091" s="1" t="s">
        <v>6</v>
      </c>
      <c r="G1091" s="44">
        <f t="shared" ref="G1091:G1154" si="34">IF(C1091="", "", DATEDIF(B1091, C1091, "D"))</f>
        <v>66</v>
      </c>
      <c r="H1091" s="10" t="str">
        <f t="shared" ref="H1091:H1154" si="35">TEXT(B1091, "dddd")</f>
        <v>Monday</v>
      </c>
    </row>
    <row r="1092" spans="1:8">
      <c r="A1092" s="9">
        <v>154173057</v>
      </c>
      <c r="B1092" s="6">
        <v>44956</v>
      </c>
      <c r="C1092" s="6">
        <v>44961</v>
      </c>
      <c r="D1092" s="1" t="s">
        <v>7</v>
      </c>
      <c r="E1092" s="1">
        <v>39</v>
      </c>
      <c r="F1092" s="1" t="s">
        <v>6</v>
      </c>
      <c r="G1092" s="44">
        <f t="shared" si="34"/>
        <v>5</v>
      </c>
      <c r="H1092" s="10" t="str">
        <f t="shared" si="35"/>
        <v>Monday</v>
      </c>
    </row>
    <row r="1093" spans="1:8">
      <c r="A1093" s="9">
        <v>153199550</v>
      </c>
      <c r="B1093" s="6">
        <v>44956</v>
      </c>
      <c r="C1093" s="6">
        <v>44959</v>
      </c>
      <c r="D1093" s="1" t="s">
        <v>7</v>
      </c>
      <c r="E1093" s="1">
        <v>39</v>
      </c>
      <c r="F1093" s="1" t="s">
        <v>6</v>
      </c>
      <c r="G1093" s="44">
        <f t="shared" si="34"/>
        <v>3</v>
      </c>
      <c r="H1093" s="10" t="str">
        <f t="shared" si="35"/>
        <v>Monday</v>
      </c>
    </row>
    <row r="1094" spans="1:8">
      <c r="A1094" s="9">
        <v>199302158</v>
      </c>
      <c r="B1094" s="6">
        <v>44956</v>
      </c>
      <c r="C1094" s="6">
        <v>44959</v>
      </c>
      <c r="D1094" s="1" t="s">
        <v>7</v>
      </c>
      <c r="E1094" s="1">
        <v>39</v>
      </c>
      <c r="F1094" s="1" t="s">
        <v>6</v>
      </c>
      <c r="G1094" s="44">
        <f t="shared" si="34"/>
        <v>3</v>
      </c>
      <c r="H1094" s="10" t="str">
        <f t="shared" si="35"/>
        <v>Monday</v>
      </c>
    </row>
    <row r="1095" spans="1:8">
      <c r="A1095" s="9">
        <v>187482966</v>
      </c>
      <c r="B1095" s="6">
        <v>44956</v>
      </c>
      <c r="C1095" s="6">
        <v>45147</v>
      </c>
      <c r="D1095" s="1" t="s">
        <v>7</v>
      </c>
      <c r="E1095" s="1">
        <v>39</v>
      </c>
      <c r="F1095" s="1" t="s">
        <v>6</v>
      </c>
      <c r="G1095" s="44">
        <f t="shared" si="34"/>
        <v>191</v>
      </c>
      <c r="H1095" s="10" t="str">
        <f t="shared" si="35"/>
        <v>Monday</v>
      </c>
    </row>
    <row r="1096" spans="1:8">
      <c r="A1096" s="9">
        <v>168436547</v>
      </c>
      <c r="B1096" s="6">
        <v>44956</v>
      </c>
      <c r="C1096" s="6">
        <v>45127</v>
      </c>
      <c r="D1096" s="1" t="s">
        <v>7</v>
      </c>
      <c r="E1096" s="1">
        <v>39</v>
      </c>
      <c r="F1096" s="1" t="s">
        <v>6</v>
      </c>
      <c r="G1096" s="44">
        <f t="shared" si="34"/>
        <v>171</v>
      </c>
      <c r="H1096" s="10" t="str">
        <f t="shared" si="35"/>
        <v>Monday</v>
      </c>
    </row>
    <row r="1097" spans="1:8">
      <c r="A1097" s="9">
        <v>195007481</v>
      </c>
      <c r="B1097" s="6">
        <v>44957</v>
      </c>
      <c r="C1097" s="1"/>
      <c r="D1097" s="1" t="s">
        <v>7</v>
      </c>
      <c r="E1097" s="1">
        <v>39</v>
      </c>
      <c r="F1097" s="1" t="s">
        <v>6</v>
      </c>
      <c r="G1097" s="44" t="str">
        <f t="shared" si="34"/>
        <v/>
      </c>
      <c r="H1097" s="10" t="str">
        <f t="shared" si="35"/>
        <v>Tuesday</v>
      </c>
    </row>
    <row r="1098" spans="1:8">
      <c r="A1098" s="9">
        <v>181830574</v>
      </c>
      <c r="B1098" s="6">
        <v>44957</v>
      </c>
      <c r="C1098" s="1"/>
      <c r="D1098" s="1" t="s">
        <v>7</v>
      </c>
      <c r="E1098" s="1">
        <v>39</v>
      </c>
      <c r="F1098" s="1" t="s">
        <v>6</v>
      </c>
      <c r="G1098" s="44" t="str">
        <f t="shared" si="34"/>
        <v/>
      </c>
      <c r="H1098" s="10" t="str">
        <f t="shared" si="35"/>
        <v>Tuesday</v>
      </c>
    </row>
    <row r="1099" spans="1:8">
      <c r="A1099" s="9">
        <v>198691553</v>
      </c>
      <c r="B1099" s="6">
        <v>44957</v>
      </c>
      <c r="C1099" s="1"/>
      <c r="D1099" s="1" t="s">
        <v>7</v>
      </c>
      <c r="E1099" s="1">
        <v>39</v>
      </c>
      <c r="F1099" s="1" t="s">
        <v>6</v>
      </c>
      <c r="G1099" s="44" t="str">
        <f t="shared" si="34"/>
        <v/>
      </c>
      <c r="H1099" s="10" t="str">
        <f t="shared" si="35"/>
        <v>Tuesday</v>
      </c>
    </row>
    <row r="1100" spans="1:8">
      <c r="A1100" s="9">
        <v>200001674</v>
      </c>
      <c r="B1100" s="6">
        <v>44957</v>
      </c>
      <c r="C1100" s="6">
        <v>45074</v>
      </c>
      <c r="D1100" s="1" t="s">
        <v>7</v>
      </c>
      <c r="E1100" s="1">
        <v>39</v>
      </c>
      <c r="F1100" s="1" t="s">
        <v>6</v>
      </c>
      <c r="G1100" s="44">
        <f t="shared" si="34"/>
        <v>117</v>
      </c>
      <c r="H1100" s="10" t="str">
        <f t="shared" si="35"/>
        <v>Tuesday</v>
      </c>
    </row>
    <row r="1101" spans="1:8">
      <c r="A1101" s="9">
        <v>200252155</v>
      </c>
      <c r="B1101" s="6">
        <v>44957</v>
      </c>
      <c r="C1101" s="6">
        <v>45084</v>
      </c>
      <c r="D1101" s="1" t="s">
        <v>7</v>
      </c>
      <c r="E1101" s="1">
        <v>39</v>
      </c>
      <c r="F1101" s="1" t="s">
        <v>6</v>
      </c>
      <c r="G1101" s="44">
        <f t="shared" si="34"/>
        <v>127</v>
      </c>
      <c r="H1101" s="10" t="str">
        <f t="shared" si="35"/>
        <v>Tuesday</v>
      </c>
    </row>
    <row r="1102" spans="1:8">
      <c r="A1102" s="9">
        <v>188206991</v>
      </c>
      <c r="B1102" s="6">
        <v>44957</v>
      </c>
      <c r="C1102" s="6">
        <v>45033</v>
      </c>
      <c r="D1102" s="1" t="s">
        <v>7</v>
      </c>
      <c r="E1102" s="1">
        <v>39</v>
      </c>
      <c r="F1102" s="1" t="s">
        <v>6</v>
      </c>
      <c r="G1102" s="44">
        <f t="shared" si="34"/>
        <v>76</v>
      </c>
      <c r="H1102" s="10" t="str">
        <f t="shared" si="35"/>
        <v>Tuesday</v>
      </c>
    </row>
    <row r="1103" spans="1:8">
      <c r="A1103" s="9">
        <v>184330352</v>
      </c>
      <c r="B1103" s="6">
        <v>44957</v>
      </c>
      <c r="C1103" s="6">
        <v>45046</v>
      </c>
      <c r="D1103" s="1" t="s">
        <v>7</v>
      </c>
      <c r="E1103" s="1">
        <v>39</v>
      </c>
      <c r="F1103" s="1" t="s">
        <v>6</v>
      </c>
      <c r="G1103" s="44">
        <f t="shared" si="34"/>
        <v>89</v>
      </c>
      <c r="H1103" s="10" t="str">
        <f t="shared" si="35"/>
        <v>Tuesday</v>
      </c>
    </row>
    <row r="1104" spans="1:8">
      <c r="A1104" s="9">
        <v>198701510</v>
      </c>
      <c r="B1104" s="6">
        <v>44957</v>
      </c>
      <c r="C1104" s="6">
        <v>45031</v>
      </c>
      <c r="D1104" s="1" t="s">
        <v>7</v>
      </c>
      <c r="E1104" s="1">
        <v>39</v>
      </c>
      <c r="F1104" s="1" t="s">
        <v>6</v>
      </c>
      <c r="G1104" s="44">
        <f t="shared" si="34"/>
        <v>74</v>
      </c>
      <c r="H1104" s="10" t="str">
        <f t="shared" si="35"/>
        <v>Tuesday</v>
      </c>
    </row>
    <row r="1105" spans="1:8">
      <c r="A1105" s="9">
        <v>164909402</v>
      </c>
      <c r="B1105" s="6">
        <v>44957</v>
      </c>
      <c r="C1105" s="6">
        <v>44984</v>
      </c>
      <c r="D1105" s="1" t="s">
        <v>7</v>
      </c>
      <c r="E1105" s="1">
        <v>39</v>
      </c>
      <c r="F1105" s="1" t="s">
        <v>6</v>
      </c>
      <c r="G1105" s="44">
        <f t="shared" si="34"/>
        <v>27</v>
      </c>
      <c r="H1105" s="10" t="str">
        <f t="shared" si="35"/>
        <v>Tuesday</v>
      </c>
    </row>
    <row r="1106" spans="1:8">
      <c r="A1106" s="9">
        <v>126737063</v>
      </c>
      <c r="B1106" s="6">
        <v>44957</v>
      </c>
      <c r="C1106" s="6">
        <v>45156</v>
      </c>
      <c r="D1106" s="1" t="s">
        <v>7</v>
      </c>
      <c r="E1106" s="1">
        <v>39</v>
      </c>
      <c r="F1106" s="1" t="s">
        <v>6</v>
      </c>
      <c r="G1106" s="44">
        <f t="shared" si="34"/>
        <v>199</v>
      </c>
      <c r="H1106" s="10" t="str">
        <f t="shared" si="35"/>
        <v>Tuesday</v>
      </c>
    </row>
    <row r="1107" spans="1:8">
      <c r="A1107" s="9">
        <v>194472898</v>
      </c>
      <c r="B1107" s="6">
        <v>44958</v>
      </c>
      <c r="C1107" s="1"/>
      <c r="D1107" s="1" t="s">
        <v>7</v>
      </c>
      <c r="E1107" s="1">
        <v>39</v>
      </c>
      <c r="F1107" s="1" t="s">
        <v>6</v>
      </c>
      <c r="G1107" s="44" t="str">
        <f t="shared" si="34"/>
        <v/>
      </c>
      <c r="H1107" s="10" t="str">
        <f t="shared" si="35"/>
        <v>Wednesday</v>
      </c>
    </row>
    <row r="1108" spans="1:8">
      <c r="A1108" s="9">
        <v>200962065</v>
      </c>
      <c r="B1108" s="6">
        <v>44958</v>
      </c>
      <c r="C1108" s="1"/>
      <c r="D1108" s="1" t="s">
        <v>7</v>
      </c>
      <c r="E1108" s="1">
        <v>39</v>
      </c>
      <c r="F1108" s="1" t="s">
        <v>6</v>
      </c>
      <c r="G1108" s="44" t="str">
        <f t="shared" si="34"/>
        <v/>
      </c>
      <c r="H1108" s="10" t="str">
        <f t="shared" si="35"/>
        <v>Wednesday</v>
      </c>
    </row>
    <row r="1109" spans="1:8">
      <c r="A1109" s="9">
        <v>196821289</v>
      </c>
      <c r="B1109" s="6">
        <v>44958</v>
      </c>
      <c r="C1109" s="1"/>
      <c r="D1109" s="1" t="s">
        <v>7</v>
      </c>
      <c r="E1109" s="1">
        <v>39</v>
      </c>
      <c r="F1109" s="1" t="s">
        <v>6</v>
      </c>
      <c r="G1109" s="44" t="str">
        <f t="shared" si="34"/>
        <v/>
      </c>
      <c r="H1109" s="10" t="str">
        <f t="shared" si="35"/>
        <v>Wednesday</v>
      </c>
    </row>
    <row r="1110" spans="1:8">
      <c r="A1110" s="9">
        <v>200867442</v>
      </c>
      <c r="B1110" s="6">
        <v>44958</v>
      </c>
      <c r="C1110" s="1"/>
      <c r="D1110" s="1" t="s">
        <v>7</v>
      </c>
      <c r="E1110" s="1">
        <v>39</v>
      </c>
      <c r="F1110" s="1" t="s">
        <v>6</v>
      </c>
      <c r="G1110" s="44" t="str">
        <f t="shared" si="34"/>
        <v/>
      </c>
      <c r="H1110" s="10" t="str">
        <f t="shared" si="35"/>
        <v>Wednesday</v>
      </c>
    </row>
    <row r="1111" spans="1:8">
      <c r="A1111" s="9">
        <v>187855576</v>
      </c>
      <c r="B1111" s="6">
        <v>44958</v>
      </c>
      <c r="C1111" s="1"/>
      <c r="D1111" s="1" t="s">
        <v>7</v>
      </c>
      <c r="E1111" s="1">
        <v>39</v>
      </c>
      <c r="F1111" s="1" t="s">
        <v>6</v>
      </c>
      <c r="G1111" s="44" t="str">
        <f t="shared" si="34"/>
        <v/>
      </c>
      <c r="H1111" s="10" t="str">
        <f t="shared" si="35"/>
        <v>Wednesday</v>
      </c>
    </row>
    <row r="1112" spans="1:8">
      <c r="A1112" s="9">
        <v>198475060</v>
      </c>
      <c r="B1112" s="6">
        <v>44958</v>
      </c>
      <c r="C1112" s="6">
        <v>44959</v>
      </c>
      <c r="D1112" s="1" t="s">
        <v>8</v>
      </c>
      <c r="E1112" s="1">
        <v>39</v>
      </c>
      <c r="F1112" s="1" t="s">
        <v>6</v>
      </c>
      <c r="G1112" s="44">
        <f t="shared" si="34"/>
        <v>1</v>
      </c>
      <c r="H1112" s="10" t="str">
        <f t="shared" si="35"/>
        <v>Wednesday</v>
      </c>
    </row>
    <row r="1113" spans="1:8">
      <c r="A1113" s="9">
        <v>137201021</v>
      </c>
      <c r="B1113" s="6">
        <v>44958</v>
      </c>
      <c r="C1113" s="6">
        <v>45106</v>
      </c>
      <c r="D1113" s="1" t="s">
        <v>7</v>
      </c>
      <c r="E1113" s="1">
        <v>39</v>
      </c>
      <c r="F1113" s="1" t="s">
        <v>6</v>
      </c>
      <c r="G1113" s="44">
        <f t="shared" si="34"/>
        <v>148</v>
      </c>
      <c r="H1113" s="10" t="str">
        <f t="shared" si="35"/>
        <v>Wednesday</v>
      </c>
    </row>
    <row r="1114" spans="1:8">
      <c r="A1114" s="9">
        <v>192942271</v>
      </c>
      <c r="B1114" s="6">
        <v>44958</v>
      </c>
      <c r="C1114" s="6">
        <v>45104</v>
      </c>
      <c r="D1114" s="1" t="s">
        <v>7</v>
      </c>
      <c r="E1114" s="1">
        <v>39</v>
      </c>
      <c r="F1114" s="1" t="s">
        <v>6</v>
      </c>
      <c r="G1114" s="44">
        <f t="shared" si="34"/>
        <v>146</v>
      </c>
      <c r="H1114" s="10" t="str">
        <f t="shared" si="35"/>
        <v>Wednesday</v>
      </c>
    </row>
    <row r="1115" spans="1:8">
      <c r="A1115" s="9">
        <v>155088727</v>
      </c>
      <c r="B1115" s="6">
        <v>44958</v>
      </c>
      <c r="C1115" s="6">
        <v>45071</v>
      </c>
      <c r="D1115" s="1" t="s">
        <v>7</v>
      </c>
      <c r="E1115" s="1">
        <v>39</v>
      </c>
      <c r="F1115" s="1" t="s">
        <v>6</v>
      </c>
      <c r="G1115" s="44">
        <f t="shared" si="34"/>
        <v>113</v>
      </c>
      <c r="H1115" s="10" t="str">
        <f t="shared" si="35"/>
        <v>Wednesday</v>
      </c>
    </row>
    <row r="1116" spans="1:8">
      <c r="A1116" s="9">
        <v>145416349</v>
      </c>
      <c r="B1116" s="6">
        <v>44958</v>
      </c>
      <c r="C1116" s="6">
        <v>45047</v>
      </c>
      <c r="D1116" s="1" t="s">
        <v>7</v>
      </c>
      <c r="E1116" s="1">
        <v>39</v>
      </c>
      <c r="F1116" s="1" t="s">
        <v>6</v>
      </c>
      <c r="G1116" s="44">
        <f t="shared" si="34"/>
        <v>89</v>
      </c>
      <c r="H1116" s="10" t="str">
        <f t="shared" si="35"/>
        <v>Wednesday</v>
      </c>
    </row>
    <row r="1117" spans="1:8">
      <c r="A1117" s="9">
        <v>154064672</v>
      </c>
      <c r="B1117" s="6">
        <v>44958</v>
      </c>
      <c r="C1117" s="6">
        <v>45041</v>
      </c>
      <c r="D1117" s="1" t="s">
        <v>7</v>
      </c>
      <c r="E1117" s="1">
        <v>39</v>
      </c>
      <c r="F1117" s="1" t="s">
        <v>6</v>
      </c>
      <c r="G1117" s="44">
        <f t="shared" si="34"/>
        <v>83</v>
      </c>
      <c r="H1117" s="10" t="str">
        <f t="shared" si="35"/>
        <v>Wednesday</v>
      </c>
    </row>
    <row r="1118" spans="1:8">
      <c r="A1118" s="9">
        <v>174670793</v>
      </c>
      <c r="B1118" s="6">
        <v>44958</v>
      </c>
      <c r="C1118" s="6">
        <v>45039</v>
      </c>
      <c r="D1118" s="1" t="s">
        <v>7</v>
      </c>
      <c r="E1118" s="1">
        <v>39</v>
      </c>
      <c r="F1118" s="1" t="s">
        <v>6</v>
      </c>
      <c r="G1118" s="44">
        <f t="shared" si="34"/>
        <v>81</v>
      </c>
      <c r="H1118" s="10" t="str">
        <f t="shared" si="35"/>
        <v>Wednesday</v>
      </c>
    </row>
    <row r="1119" spans="1:8">
      <c r="A1119" s="9">
        <v>200600365</v>
      </c>
      <c r="B1119" s="6">
        <v>44958</v>
      </c>
      <c r="C1119" s="6">
        <v>45029</v>
      </c>
      <c r="D1119" s="1" t="s">
        <v>7</v>
      </c>
      <c r="E1119" s="1">
        <v>39</v>
      </c>
      <c r="F1119" s="1" t="s">
        <v>6</v>
      </c>
      <c r="G1119" s="44">
        <f t="shared" si="34"/>
        <v>71</v>
      </c>
      <c r="H1119" s="10" t="str">
        <f t="shared" si="35"/>
        <v>Wednesday</v>
      </c>
    </row>
    <row r="1120" spans="1:8">
      <c r="A1120" s="9">
        <v>196253752</v>
      </c>
      <c r="B1120" s="6">
        <v>44958</v>
      </c>
      <c r="C1120" s="6">
        <v>44976</v>
      </c>
      <c r="D1120" s="1" t="s">
        <v>7</v>
      </c>
      <c r="E1120" s="1">
        <v>39</v>
      </c>
      <c r="F1120" s="1" t="s">
        <v>6</v>
      </c>
      <c r="G1120" s="44">
        <f t="shared" si="34"/>
        <v>18</v>
      </c>
      <c r="H1120" s="10" t="str">
        <f t="shared" si="35"/>
        <v>Wednesday</v>
      </c>
    </row>
    <row r="1121" spans="1:8">
      <c r="A1121" s="9">
        <v>148710722</v>
      </c>
      <c r="B1121" s="6">
        <v>44958</v>
      </c>
      <c r="C1121" s="6">
        <v>44960</v>
      </c>
      <c r="D1121" s="1" t="s">
        <v>7</v>
      </c>
      <c r="E1121" s="1">
        <v>39</v>
      </c>
      <c r="F1121" s="1" t="s">
        <v>6</v>
      </c>
      <c r="G1121" s="44">
        <f t="shared" si="34"/>
        <v>2</v>
      </c>
      <c r="H1121" s="10" t="str">
        <f t="shared" si="35"/>
        <v>Wednesday</v>
      </c>
    </row>
    <row r="1122" spans="1:8">
      <c r="A1122" s="9">
        <v>201015936</v>
      </c>
      <c r="B1122" s="6">
        <v>44958</v>
      </c>
      <c r="C1122" s="6">
        <v>44971</v>
      </c>
      <c r="D1122" s="1" t="s">
        <v>7</v>
      </c>
      <c r="E1122" s="1">
        <v>39</v>
      </c>
      <c r="F1122" s="1" t="s">
        <v>6</v>
      </c>
      <c r="G1122" s="44">
        <f t="shared" si="34"/>
        <v>13</v>
      </c>
      <c r="H1122" s="10" t="str">
        <f t="shared" si="35"/>
        <v>Wednesday</v>
      </c>
    </row>
    <row r="1123" spans="1:8">
      <c r="A1123" s="9">
        <v>200766423</v>
      </c>
      <c r="B1123" s="6">
        <v>44958</v>
      </c>
      <c r="C1123" s="6">
        <v>44963</v>
      </c>
      <c r="D1123" s="1" t="s">
        <v>7</v>
      </c>
      <c r="E1123" s="1">
        <v>39</v>
      </c>
      <c r="F1123" s="1" t="s">
        <v>6</v>
      </c>
      <c r="G1123" s="44">
        <f t="shared" si="34"/>
        <v>5</v>
      </c>
      <c r="H1123" s="10" t="str">
        <f t="shared" si="35"/>
        <v>Wednesday</v>
      </c>
    </row>
    <row r="1124" spans="1:8">
      <c r="A1124" s="9">
        <v>188152753</v>
      </c>
      <c r="B1124" s="6">
        <v>44958</v>
      </c>
      <c r="C1124" s="6">
        <v>44995</v>
      </c>
      <c r="D1124" s="1" t="s">
        <v>7</v>
      </c>
      <c r="E1124" s="1">
        <v>39</v>
      </c>
      <c r="F1124" s="1" t="s">
        <v>6</v>
      </c>
      <c r="G1124" s="44">
        <f t="shared" si="34"/>
        <v>37</v>
      </c>
      <c r="H1124" s="10" t="str">
        <f t="shared" si="35"/>
        <v>Wednesday</v>
      </c>
    </row>
    <row r="1125" spans="1:8">
      <c r="A1125" s="9">
        <v>194406214</v>
      </c>
      <c r="B1125" s="6">
        <v>44958</v>
      </c>
      <c r="C1125" s="6">
        <v>45149</v>
      </c>
      <c r="D1125" s="1" t="s">
        <v>7</v>
      </c>
      <c r="E1125" s="1">
        <v>39</v>
      </c>
      <c r="F1125" s="1" t="s">
        <v>6</v>
      </c>
      <c r="G1125" s="44">
        <f t="shared" si="34"/>
        <v>191</v>
      </c>
      <c r="H1125" s="10" t="str">
        <f t="shared" si="35"/>
        <v>Wednesday</v>
      </c>
    </row>
    <row r="1126" spans="1:8">
      <c r="A1126" s="9">
        <v>199388324</v>
      </c>
      <c r="B1126" s="6">
        <v>44959</v>
      </c>
      <c r="C1126" s="1"/>
      <c r="D1126" s="1" t="s">
        <v>7</v>
      </c>
      <c r="E1126" s="1">
        <v>39</v>
      </c>
      <c r="F1126" s="1" t="s">
        <v>6</v>
      </c>
      <c r="G1126" s="44" t="str">
        <f t="shared" si="34"/>
        <v/>
      </c>
      <c r="H1126" s="10" t="str">
        <f t="shared" si="35"/>
        <v>Thursday</v>
      </c>
    </row>
    <row r="1127" spans="1:8">
      <c r="A1127" s="9">
        <v>202030516</v>
      </c>
      <c r="B1127" s="6">
        <v>44959</v>
      </c>
      <c r="C1127" s="1"/>
      <c r="D1127" s="1" t="s">
        <v>7</v>
      </c>
      <c r="E1127" s="1">
        <v>39</v>
      </c>
      <c r="F1127" s="1" t="s">
        <v>6</v>
      </c>
      <c r="G1127" s="44" t="str">
        <f t="shared" si="34"/>
        <v/>
      </c>
      <c r="H1127" s="10" t="str">
        <f t="shared" si="35"/>
        <v>Thursday</v>
      </c>
    </row>
    <row r="1128" spans="1:8">
      <c r="A1128" s="9">
        <v>196926212</v>
      </c>
      <c r="B1128" s="6">
        <v>44959</v>
      </c>
      <c r="C1128" s="1"/>
      <c r="D1128" s="1" t="s">
        <v>7</v>
      </c>
      <c r="E1128" s="1">
        <v>39</v>
      </c>
      <c r="F1128" s="1" t="s">
        <v>6</v>
      </c>
      <c r="G1128" s="44" t="str">
        <f t="shared" si="34"/>
        <v/>
      </c>
      <c r="H1128" s="10" t="str">
        <f t="shared" si="35"/>
        <v>Thursday</v>
      </c>
    </row>
    <row r="1129" spans="1:8">
      <c r="A1129" s="9">
        <v>199374328</v>
      </c>
      <c r="B1129" s="6">
        <v>44959</v>
      </c>
      <c r="C1129" s="6">
        <v>45113</v>
      </c>
      <c r="D1129" s="1" t="s">
        <v>7</v>
      </c>
      <c r="E1129" s="1">
        <v>39</v>
      </c>
      <c r="F1129" s="1" t="s">
        <v>6</v>
      </c>
      <c r="G1129" s="44">
        <f t="shared" si="34"/>
        <v>154</v>
      </c>
      <c r="H1129" s="10" t="str">
        <f t="shared" si="35"/>
        <v>Thursday</v>
      </c>
    </row>
    <row r="1130" spans="1:8">
      <c r="A1130" s="9">
        <v>201313318</v>
      </c>
      <c r="B1130" s="6">
        <v>44959</v>
      </c>
      <c r="C1130" s="6">
        <v>45076</v>
      </c>
      <c r="D1130" s="1" t="s">
        <v>7</v>
      </c>
      <c r="E1130" s="1">
        <v>39</v>
      </c>
      <c r="F1130" s="1" t="s">
        <v>6</v>
      </c>
      <c r="G1130" s="44">
        <f t="shared" si="34"/>
        <v>117</v>
      </c>
      <c r="H1130" s="10" t="str">
        <f t="shared" si="35"/>
        <v>Thursday</v>
      </c>
    </row>
    <row r="1131" spans="1:8">
      <c r="A1131" s="9">
        <v>200960179</v>
      </c>
      <c r="B1131" s="6">
        <v>44959</v>
      </c>
      <c r="C1131" s="6">
        <v>45077</v>
      </c>
      <c r="D1131" s="1" t="s">
        <v>7</v>
      </c>
      <c r="E1131" s="1">
        <v>39</v>
      </c>
      <c r="F1131" s="1" t="s">
        <v>6</v>
      </c>
      <c r="G1131" s="44">
        <f t="shared" si="34"/>
        <v>118</v>
      </c>
      <c r="H1131" s="10" t="str">
        <f t="shared" si="35"/>
        <v>Thursday</v>
      </c>
    </row>
    <row r="1132" spans="1:8">
      <c r="A1132" s="9">
        <v>180890046</v>
      </c>
      <c r="B1132" s="6">
        <v>44959</v>
      </c>
      <c r="C1132" s="6">
        <v>45073</v>
      </c>
      <c r="D1132" s="1" t="s">
        <v>7</v>
      </c>
      <c r="E1132" s="1">
        <v>39</v>
      </c>
      <c r="F1132" s="1" t="s">
        <v>6</v>
      </c>
      <c r="G1132" s="44">
        <f t="shared" si="34"/>
        <v>114</v>
      </c>
      <c r="H1132" s="10" t="str">
        <f t="shared" si="35"/>
        <v>Thursday</v>
      </c>
    </row>
    <row r="1133" spans="1:8">
      <c r="A1133" s="9">
        <v>159227956</v>
      </c>
      <c r="B1133" s="6">
        <v>44959</v>
      </c>
      <c r="C1133" s="6">
        <v>45055</v>
      </c>
      <c r="D1133" s="1" t="s">
        <v>7</v>
      </c>
      <c r="E1133" s="1">
        <v>39</v>
      </c>
      <c r="F1133" s="1" t="s">
        <v>6</v>
      </c>
      <c r="G1133" s="44">
        <f t="shared" si="34"/>
        <v>96</v>
      </c>
      <c r="H1133" s="10" t="str">
        <f t="shared" si="35"/>
        <v>Thursday</v>
      </c>
    </row>
    <row r="1134" spans="1:8">
      <c r="A1134" s="9">
        <v>182325407</v>
      </c>
      <c r="B1134" s="6">
        <v>44959</v>
      </c>
      <c r="C1134" s="6">
        <v>45019</v>
      </c>
      <c r="D1134" s="1" t="s">
        <v>7</v>
      </c>
      <c r="E1134" s="1">
        <v>39</v>
      </c>
      <c r="F1134" s="1" t="s">
        <v>6</v>
      </c>
      <c r="G1134" s="44">
        <f t="shared" si="34"/>
        <v>60</v>
      </c>
      <c r="H1134" s="10" t="str">
        <f t="shared" si="35"/>
        <v>Thursday</v>
      </c>
    </row>
    <row r="1135" spans="1:8">
      <c r="A1135" s="9">
        <v>194828965</v>
      </c>
      <c r="B1135" s="6">
        <v>44959</v>
      </c>
      <c r="C1135" s="6">
        <v>45018</v>
      </c>
      <c r="D1135" s="1" t="s">
        <v>7</v>
      </c>
      <c r="E1135" s="1">
        <v>39</v>
      </c>
      <c r="F1135" s="1" t="s">
        <v>6</v>
      </c>
      <c r="G1135" s="44">
        <f t="shared" si="34"/>
        <v>59</v>
      </c>
      <c r="H1135" s="10" t="str">
        <f t="shared" si="35"/>
        <v>Thursday</v>
      </c>
    </row>
    <row r="1136" spans="1:8">
      <c r="A1136" s="9">
        <v>202139613</v>
      </c>
      <c r="B1136" s="6">
        <v>44959</v>
      </c>
      <c r="C1136" s="6">
        <v>44991</v>
      </c>
      <c r="D1136" s="1" t="s">
        <v>7</v>
      </c>
      <c r="E1136" s="1">
        <v>39</v>
      </c>
      <c r="F1136" s="1" t="s">
        <v>6</v>
      </c>
      <c r="G1136" s="44">
        <f t="shared" si="34"/>
        <v>32</v>
      </c>
      <c r="H1136" s="10" t="str">
        <f t="shared" si="35"/>
        <v>Thursday</v>
      </c>
    </row>
    <row r="1137" spans="1:8">
      <c r="A1137" s="9">
        <v>202137510</v>
      </c>
      <c r="B1137" s="6">
        <v>44959</v>
      </c>
      <c r="C1137" s="6">
        <v>44995</v>
      </c>
      <c r="D1137" s="1" t="s">
        <v>7</v>
      </c>
      <c r="E1137" s="1">
        <v>39</v>
      </c>
      <c r="F1137" s="1" t="s">
        <v>6</v>
      </c>
      <c r="G1137" s="44">
        <f t="shared" si="34"/>
        <v>36</v>
      </c>
      <c r="H1137" s="10" t="str">
        <f t="shared" si="35"/>
        <v>Thursday</v>
      </c>
    </row>
    <row r="1138" spans="1:8">
      <c r="A1138" s="9">
        <v>201182176</v>
      </c>
      <c r="B1138" s="6">
        <v>44959</v>
      </c>
      <c r="C1138" s="6">
        <v>44987</v>
      </c>
      <c r="D1138" s="1" t="s">
        <v>7</v>
      </c>
      <c r="E1138" s="1">
        <v>39</v>
      </c>
      <c r="F1138" s="1" t="s">
        <v>6</v>
      </c>
      <c r="G1138" s="44">
        <f t="shared" si="34"/>
        <v>28</v>
      </c>
      <c r="H1138" s="10" t="str">
        <f t="shared" si="35"/>
        <v>Thursday</v>
      </c>
    </row>
    <row r="1139" spans="1:8">
      <c r="A1139" s="9">
        <v>202010803</v>
      </c>
      <c r="B1139" s="6">
        <v>44959</v>
      </c>
      <c r="C1139" s="6">
        <v>44986</v>
      </c>
      <c r="D1139" s="1" t="s">
        <v>7</v>
      </c>
      <c r="E1139" s="1">
        <v>39</v>
      </c>
      <c r="F1139" s="1" t="s">
        <v>6</v>
      </c>
      <c r="G1139" s="44">
        <f t="shared" si="34"/>
        <v>27</v>
      </c>
      <c r="H1139" s="10" t="str">
        <f t="shared" si="35"/>
        <v>Thursday</v>
      </c>
    </row>
    <row r="1140" spans="1:8">
      <c r="A1140" s="9">
        <v>131734107</v>
      </c>
      <c r="B1140" s="6">
        <v>44960</v>
      </c>
      <c r="C1140" s="6">
        <v>45172</v>
      </c>
      <c r="D1140" s="1" t="s">
        <v>7</v>
      </c>
      <c r="E1140" s="1">
        <v>39</v>
      </c>
      <c r="F1140" s="1" t="s">
        <v>6</v>
      </c>
      <c r="G1140" s="44">
        <f t="shared" si="34"/>
        <v>212</v>
      </c>
      <c r="H1140" s="10" t="str">
        <f t="shared" si="35"/>
        <v>Friday</v>
      </c>
    </row>
    <row r="1141" spans="1:8">
      <c r="A1141" s="9">
        <v>202277130</v>
      </c>
      <c r="B1141" s="6">
        <v>44960</v>
      </c>
      <c r="C1141" s="6">
        <v>45017</v>
      </c>
      <c r="D1141" s="1" t="s">
        <v>7</v>
      </c>
      <c r="E1141" s="1">
        <v>39</v>
      </c>
      <c r="F1141" s="1" t="s">
        <v>6</v>
      </c>
      <c r="G1141" s="44">
        <f t="shared" si="34"/>
        <v>57</v>
      </c>
      <c r="H1141" s="10" t="str">
        <f t="shared" si="35"/>
        <v>Friday</v>
      </c>
    </row>
    <row r="1142" spans="1:8">
      <c r="A1142" s="9">
        <v>137196428</v>
      </c>
      <c r="B1142" s="6">
        <v>44960</v>
      </c>
      <c r="C1142" s="6">
        <v>44994</v>
      </c>
      <c r="D1142" s="1" t="s">
        <v>7</v>
      </c>
      <c r="E1142" s="1">
        <v>39</v>
      </c>
      <c r="F1142" s="1" t="s">
        <v>6</v>
      </c>
      <c r="G1142" s="44">
        <f t="shared" si="34"/>
        <v>34</v>
      </c>
      <c r="H1142" s="10" t="str">
        <f t="shared" si="35"/>
        <v>Friday</v>
      </c>
    </row>
    <row r="1143" spans="1:8">
      <c r="A1143" s="9">
        <v>153568282</v>
      </c>
      <c r="B1143" s="6">
        <v>44960</v>
      </c>
      <c r="C1143" s="6">
        <v>44973</v>
      </c>
      <c r="D1143" s="1" t="s">
        <v>7</v>
      </c>
      <c r="E1143" s="1">
        <v>39</v>
      </c>
      <c r="F1143" s="1" t="s">
        <v>6</v>
      </c>
      <c r="G1143" s="44">
        <f t="shared" si="34"/>
        <v>13</v>
      </c>
      <c r="H1143" s="10" t="str">
        <f t="shared" si="35"/>
        <v>Friday</v>
      </c>
    </row>
    <row r="1144" spans="1:8">
      <c r="A1144" s="9">
        <v>199895190</v>
      </c>
      <c r="B1144" s="6">
        <v>44960</v>
      </c>
      <c r="C1144" s="6">
        <v>44998</v>
      </c>
      <c r="D1144" s="1" t="s">
        <v>7</v>
      </c>
      <c r="E1144" s="1">
        <v>39</v>
      </c>
      <c r="F1144" s="1" t="s">
        <v>6</v>
      </c>
      <c r="G1144" s="44">
        <f t="shared" si="34"/>
        <v>38</v>
      </c>
      <c r="H1144" s="10" t="str">
        <f t="shared" si="35"/>
        <v>Friday</v>
      </c>
    </row>
    <row r="1145" spans="1:8">
      <c r="A1145" s="9">
        <v>200894076</v>
      </c>
      <c r="B1145" s="6">
        <v>44960</v>
      </c>
      <c r="C1145" s="6">
        <v>45015</v>
      </c>
      <c r="D1145" s="1" t="s">
        <v>7</v>
      </c>
      <c r="E1145" s="1">
        <v>39</v>
      </c>
      <c r="F1145" s="1" t="s">
        <v>6</v>
      </c>
      <c r="G1145" s="44">
        <f t="shared" si="34"/>
        <v>55</v>
      </c>
      <c r="H1145" s="10" t="str">
        <f t="shared" si="35"/>
        <v>Friday</v>
      </c>
    </row>
    <row r="1146" spans="1:8">
      <c r="A1146" s="9">
        <v>201162862</v>
      </c>
      <c r="B1146" s="6">
        <v>44960</v>
      </c>
      <c r="C1146" s="6">
        <v>44995</v>
      </c>
      <c r="D1146" s="1" t="s">
        <v>7</v>
      </c>
      <c r="E1146" s="1">
        <v>39</v>
      </c>
      <c r="F1146" s="1" t="s">
        <v>6</v>
      </c>
      <c r="G1146" s="44">
        <f t="shared" si="34"/>
        <v>35</v>
      </c>
      <c r="H1146" s="10" t="str">
        <f t="shared" si="35"/>
        <v>Friday</v>
      </c>
    </row>
    <row r="1147" spans="1:8">
      <c r="A1147" s="9">
        <v>198748705</v>
      </c>
      <c r="B1147" s="6">
        <v>44960</v>
      </c>
      <c r="C1147" s="6">
        <v>45011</v>
      </c>
      <c r="D1147" s="1" t="s">
        <v>7</v>
      </c>
      <c r="E1147" s="1">
        <v>39</v>
      </c>
      <c r="F1147" s="1" t="s">
        <v>6</v>
      </c>
      <c r="G1147" s="44">
        <f t="shared" si="34"/>
        <v>51</v>
      </c>
      <c r="H1147" s="10" t="str">
        <f t="shared" si="35"/>
        <v>Friday</v>
      </c>
    </row>
    <row r="1148" spans="1:8">
      <c r="A1148" s="9">
        <v>202308735</v>
      </c>
      <c r="B1148" s="6">
        <v>44960</v>
      </c>
      <c r="C1148" s="6">
        <v>45159</v>
      </c>
      <c r="D1148" s="1" t="s">
        <v>7</v>
      </c>
      <c r="E1148" s="1">
        <v>39</v>
      </c>
      <c r="F1148" s="1" t="s">
        <v>6</v>
      </c>
      <c r="G1148" s="44">
        <f t="shared" si="34"/>
        <v>199</v>
      </c>
      <c r="H1148" s="10" t="str">
        <f t="shared" si="35"/>
        <v>Friday</v>
      </c>
    </row>
    <row r="1149" spans="1:8">
      <c r="A1149" s="9">
        <v>202276540</v>
      </c>
      <c r="B1149" s="6">
        <v>44960</v>
      </c>
      <c r="C1149" s="6">
        <v>45110</v>
      </c>
      <c r="D1149" s="1" t="s">
        <v>7</v>
      </c>
      <c r="E1149" s="1">
        <v>39</v>
      </c>
      <c r="F1149" s="1" t="s">
        <v>6</v>
      </c>
      <c r="G1149" s="44">
        <f t="shared" si="34"/>
        <v>150</v>
      </c>
      <c r="H1149" s="10" t="str">
        <f t="shared" si="35"/>
        <v>Friday</v>
      </c>
    </row>
    <row r="1150" spans="1:8">
      <c r="A1150" s="9">
        <v>202401357</v>
      </c>
      <c r="B1150" s="6">
        <v>44961</v>
      </c>
      <c r="C1150" s="1"/>
      <c r="D1150" s="1" t="s">
        <v>7</v>
      </c>
      <c r="E1150" s="1">
        <v>39</v>
      </c>
      <c r="F1150" s="1" t="s">
        <v>6</v>
      </c>
      <c r="G1150" s="44" t="str">
        <f t="shared" si="34"/>
        <v/>
      </c>
      <c r="H1150" s="10" t="str">
        <f t="shared" si="35"/>
        <v>Saturday</v>
      </c>
    </row>
    <row r="1151" spans="1:8">
      <c r="A1151" s="9">
        <v>184539258</v>
      </c>
      <c r="B1151" s="6">
        <v>44961</v>
      </c>
      <c r="C1151" s="6">
        <v>45048</v>
      </c>
      <c r="D1151" s="1" t="s">
        <v>7</v>
      </c>
      <c r="E1151" s="1">
        <v>39</v>
      </c>
      <c r="F1151" s="1" t="s">
        <v>6</v>
      </c>
      <c r="G1151" s="44">
        <f t="shared" si="34"/>
        <v>87</v>
      </c>
      <c r="H1151" s="10" t="str">
        <f t="shared" si="35"/>
        <v>Saturday</v>
      </c>
    </row>
    <row r="1152" spans="1:8">
      <c r="A1152" s="9">
        <v>202349754</v>
      </c>
      <c r="B1152" s="6">
        <v>44961</v>
      </c>
      <c r="C1152" s="6">
        <v>45054</v>
      </c>
      <c r="D1152" s="1" t="s">
        <v>7</v>
      </c>
      <c r="E1152" s="1">
        <v>39</v>
      </c>
      <c r="F1152" s="1" t="s">
        <v>6</v>
      </c>
      <c r="G1152" s="44">
        <f t="shared" si="34"/>
        <v>93</v>
      </c>
      <c r="H1152" s="10" t="str">
        <f t="shared" si="35"/>
        <v>Saturday</v>
      </c>
    </row>
    <row r="1153" spans="1:8">
      <c r="A1153" s="9">
        <v>202410436</v>
      </c>
      <c r="B1153" s="6">
        <v>44961</v>
      </c>
      <c r="C1153" s="6">
        <v>44982</v>
      </c>
      <c r="D1153" s="1" t="s">
        <v>7</v>
      </c>
      <c r="E1153" s="1">
        <v>39</v>
      </c>
      <c r="F1153" s="1" t="s">
        <v>6</v>
      </c>
      <c r="G1153" s="44">
        <f t="shared" si="34"/>
        <v>21</v>
      </c>
      <c r="H1153" s="10" t="str">
        <f t="shared" si="35"/>
        <v>Saturday</v>
      </c>
    </row>
    <row r="1154" spans="1:8">
      <c r="A1154" s="9">
        <v>197151544</v>
      </c>
      <c r="B1154" s="6">
        <v>44961</v>
      </c>
      <c r="C1154" s="6">
        <v>45006</v>
      </c>
      <c r="D1154" s="1" t="s">
        <v>7</v>
      </c>
      <c r="E1154" s="1">
        <v>39</v>
      </c>
      <c r="F1154" s="1" t="s">
        <v>6</v>
      </c>
      <c r="G1154" s="44">
        <f t="shared" si="34"/>
        <v>45</v>
      </c>
      <c r="H1154" s="10" t="str">
        <f t="shared" si="35"/>
        <v>Saturday</v>
      </c>
    </row>
    <row r="1155" spans="1:8">
      <c r="A1155" s="9">
        <v>202305934</v>
      </c>
      <c r="B1155" s="6">
        <v>44961</v>
      </c>
      <c r="C1155" s="6">
        <v>45004</v>
      </c>
      <c r="D1155" s="1" t="s">
        <v>7</v>
      </c>
      <c r="E1155" s="1">
        <v>39</v>
      </c>
      <c r="F1155" s="1" t="s">
        <v>6</v>
      </c>
      <c r="G1155" s="44">
        <f t="shared" ref="G1155:G1218" si="36">IF(C1155="", "", DATEDIF(B1155, C1155, "D"))</f>
        <v>43</v>
      </c>
      <c r="H1155" s="10" t="str">
        <f t="shared" ref="H1155:H1218" si="37">TEXT(B1155, "dddd")</f>
        <v>Saturday</v>
      </c>
    </row>
    <row r="1156" spans="1:8">
      <c r="A1156" s="9">
        <v>202304812</v>
      </c>
      <c r="B1156" s="6">
        <v>44962</v>
      </c>
      <c r="C1156" s="1"/>
      <c r="D1156" s="1" t="s">
        <v>7</v>
      </c>
      <c r="E1156" s="1">
        <v>39</v>
      </c>
      <c r="F1156" s="1" t="s">
        <v>6</v>
      </c>
      <c r="G1156" s="44" t="str">
        <f t="shared" si="36"/>
        <v/>
      </c>
      <c r="H1156" s="10" t="str">
        <f t="shared" si="37"/>
        <v>Sunday</v>
      </c>
    </row>
    <row r="1157" spans="1:8">
      <c r="A1157" s="9">
        <v>160030890</v>
      </c>
      <c r="B1157" s="6">
        <v>44962</v>
      </c>
      <c r="C1157" s="1"/>
      <c r="D1157" s="1" t="s">
        <v>7</v>
      </c>
      <c r="E1157" s="1">
        <v>39</v>
      </c>
      <c r="F1157" s="1" t="s">
        <v>6</v>
      </c>
      <c r="G1157" s="44" t="str">
        <f t="shared" si="36"/>
        <v/>
      </c>
      <c r="H1157" s="10" t="str">
        <f t="shared" si="37"/>
        <v>Sunday</v>
      </c>
    </row>
    <row r="1158" spans="1:8">
      <c r="A1158" s="9">
        <v>202524608</v>
      </c>
      <c r="B1158" s="6">
        <v>44962</v>
      </c>
      <c r="C1158" s="1"/>
      <c r="D1158" s="1" t="s">
        <v>7</v>
      </c>
      <c r="E1158" s="1">
        <v>39</v>
      </c>
      <c r="F1158" s="1" t="s">
        <v>6</v>
      </c>
      <c r="G1158" s="44" t="str">
        <f t="shared" si="36"/>
        <v/>
      </c>
      <c r="H1158" s="10" t="str">
        <f t="shared" si="37"/>
        <v>Sunday</v>
      </c>
    </row>
    <row r="1159" spans="1:8">
      <c r="A1159" s="9">
        <v>198447368</v>
      </c>
      <c r="B1159" s="6">
        <v>44962</v>
      </c>
      <c r="C1159" s="1"/>
      <c r="D1159" s="1" t="s">
        <v>7</v>
      </c>
      <c r="E1159" s="1">
        <v>39</v>
      </c>
      <c r="F1159" s="1" t="s">
        <v>6</v>
      </c>
      <c r="G1159" s="44" t="str">
        <f t="shared" si="36"/>
        <v/>
      </c>
      <c r="H1159" s="10" t="str">
        <f t="shared" si="37"/>
        <v>Sunday</v>
      </c>
    </row>
    <row r="1160" spans="1:8">
      <c r="A1160" s="9">
        <v>202458624</v>
      </c>
      <c r="B1160" s="6">
        <v>44962</v>
      </c>
      <c r="C1160" s="1"/>
      <c r="D1160" s="1" t="s">
        <v>7</v>
      </c>
      <c r="E1160" s="1">
        <v>39</v>
      </c>
      <c r="F1160" s="1" t="s">
        <v>6</v>
      </c>
      <c r="G1160" s="44" t="str">
        <f t="shared" si="36"/>
        <v/>
      </c>
      <c r="H1160" s="10" t="str">
        <f t="shared" si="37"/>
        <v>Sunday</v>
      </c>
    </row>
    <row r="1161" spans="1:8">
      <c r="A1161" s="9">
        <v>132256211</v>
      </c>
      <c r="B1161" s="6">
        <v>44962</v>
      </c>
      <c r="C1161" s="6">
        <v>44997</v>
      </c>
      <c r="D1161" s="1" t="s">
        <v>7</v>
      </c>
      <c r="E1161" s="1">
        <v>39</v>
      </c>
      <c r="F1161" s="1" t="s">
        <v>6</v>
      </c>
      <c r="G1161" s="44">
        <f t="shared" si="36"/>
        <v>35</v>
      </c>
      <c r="H1161" s="10" t="str">
        <f t="shared" si="37"/>
        <v>Sunday</v>
      </c>
    </row>
    <row r="1162" spans="1:8">
      <c r="A1162" s="9">
        <v>202504135</v>
      </c>
      <c r="B1162" s="6">
        <v>44962</v>
      </c>
      <c r="C1162" s="6">
        <v>45089</v>
      </c>
      <c r="D1162" s="1" t="s">
        <v>7</v>
      </c>
      <c r="E1162" s="1">
        <v>39</v>
      </c>
      <c r="F1162" s="1" t="s">
        <v>6</v>
      </c>
      <c r="G1162" s="44">
        <f t="shared" si="36"/>
        <v>127</v>
      </c>
      <c r="H1162" s="10" t="str">
        <f t="shared" si="37"/>
        <v>Sunday</v>
      </c>
    </row>
    <row r="1163" spans="1:8">
      <c r="A1163" s="9">
        <v>192182455</v>
      </c>
      <c r="B1163" s="6">
        <v>44962</v>
      </c>
      <c r="C1163" s="6">
        <v>45052</v>
      </c>
      <c r="D1163" s="1" t="s">
        <v>7</v>
      </c>
      <c r="E1163" s="1">
        <v>39</v>
      </c>
      <c r="F1163" s="1" t="s">
        <v>6</v>
      </c>
      <c r="G1163" s="44">
        <f t="shared" si="36"/>
        <v>90</v>
      </c>
      <c r="H1163" s="10" t="str">
        <f t="shared" si="37"/>
        <v>Sunday</v>
      </c>
    </row>
    <row r="1164" spans="1:8">
      <c r="A1164" s="9">
        <v>202505276</v>
      </c>
      <c r="B1164" s="6">
        <v>44962</v>
      </c>
      <c r="C1164" s="6">
        <v>44999</v>
      </c>
      <c r="D1164" s="1" t="s">
        <v>7</v>
      </c>
      <c r="E1164" s="1">
        <v>39</v>
      </c>
      <c r="F1164" s="1" t="s">
        <v>6</v>
      </c>
      <c r="G1164" s="44">
        <f t="shared" si="36"/>
        <v>37</v>
      </c>
      <c r="H1164" s="10" t="str">
        <f t="shared" si="37"/>
        <v>Sunday</v>
      </c>
    </row>
    <row r="1165" spans="1:8">
      <c r="A1165" s="9">
        <v>152050632</v>
      </c>
      <c r="B1165" s="6">
        <v>44963</v>
      </c>
      <c r="C1165" s="1"/>
      <c r="D1165" s="1" t="s">
        <v>7</v>
      </c>
      <c r="E1165" s="1">
        <v>39</v>
      </c>
      <c r="F1165" s="1" t="s">
        <v>6</v>
      </c>
      <c r="G1165" s="44" t="str">
        <f t="shared" si="36"/>
        <v/>
      </c>
      <c r="H1165" s="10" t="str">
        <f t="shared" si="37"/>
        <v>Monday</v>
      </c>
    </row>
    <row r="1166" spans="1:8">
      <c r="A1166" s="9">
        <v>201313284</v>
      </c>
      <c r="B1166" s="6">
        <v>44963</v>
      </c>
      <c r="C1166" s="1"/>
      <c r="D1166" s="1" t="s">
        <v>7</v>
      </c>
      <c r="E1166" s="1">
        <v>39</v>
      </c>
      <c r="F1166" s="1" t="s">
        <v>6</v>
      </c>
      <c r="G1166" s="44" t="str">
        <f t="shared" si="36"/>
        <v/>
      </c>
      <c r="H1166" s="10" t="str">
        <f t="shared" si="37"/>
        <v>Monday</v>
      </c>
    </row>
    <row r="1167" spans="1:8">
      <c r="A1167" s="9">
        <v>202118292</v>
      </c>
      <c r="B1167" s="6">
        <v>44963</v>
      </c>
      <c r="C1167" s="1"/>
      <c r="D1167" s="1" t="s">
        <v>7</v>
      </c>
      <c r="E1167" s="1">
        <v>39</v>
      </c>
      <c r="F1167" s="1" t="s">
        <v>6</v>
      </c>
      <c r="G1167" s="44" t="str">
        <f t="shared" si="36"/>
        <v/>
      </c>
      <c r="H1167" s="10" t="str">
        <f t="shared" si="37"/>
        <v>Monday</v>
      </c>
    </row>
    <row r="1168" spans="1:8">
      <c r="A1168" s="9">
        <v>202298964</v>
      </c>
      <c r="B1168" s="6">
        <v>44963</v>
      </c>
      <c r="C1168" s="1"/>
      <c r="D1168" s="1" t="s">
        <v>7</v>
      </c>
      <c r="E1168" s="1">
        <v>39</v>
      </c>
      <c r="F1168" s="1" t="s">
        <v>6</v>
      </c>
      <c r="G1168" s="44" t="str">
        <f t="shared" si="36"/>
        <v/>
      </c>
      <c r="H1168" s="10" t="str">
        <f t="shared" si="37"/>
        <v>Monday</v>
      </c>
    </row>
    <row r="1169" spans="1:8">
      <c r="A1169" s="9">
        <v>202496216</v>
      </c>
      <c r="B1169" s="6">
        <v>44963</v>
      </c>
      <c r="C1169" s="1"/>
      <c r="D1169" s="1" t="s">
        <v>7</v>
      </c>
      <c r="E1169" s="1">
        <v>39</v>
      </c>
      <c r="F1169" s="1" t="s">
        <v>6</v>
      </c>
      <c r="G1169" s="44" t="str">
        <f t="shared" si="36"/>
        <v/>
      </c>
      <c r="H1169" s="10" t="str">
        <f t="shared" si="37"/>
        <v>Monday</v>
      </c>
    </row>
    <row r="1170" spans="1:8">
      <c r="A1170" s="9">
        <v>152354478</v>
      </c>
      <c r="B1170" s="6">
        <v>44963</v>
      </c>
      <c r="C1170" s="1"/>
      <c r="D1170" s="1" t="s">
        <v>7</v>
      </c>
      <c r="E1170" s="1">
        <v>39</v>
      </c>
      <c r="F1170" s="1" t="s">
        <v>6</v>
      </c>
      <c r="G1170" s="44" t="str">
        <f t="shared" si="36"/>
        <v/>
      </c>
      <c r="H1170" s="10" t="str">
        <f t="shared" si="37"/>
        <v>Monday</v>
      </c>
    </row>
    <row r="1171" spans="1:8">
      <c r="A1171" s="9">
        <v>200490112</v>
      </c>
      <c r="B1171" s="6">
        <v>44963</v>
      </c>
      <c r="C1171" s="6">
        <v>44964</v>
      </c>
      <c r="D1171" s="1" t="s">
        <v>8</v>
      </c>
      <c r="E1171" s="1">
        <v>39</v>
      </c>
      <c r="F1171" s="1" t="s">
        <v>6</v>
      </c>
      <c r="G1171" s="44">
        <f t="shared" si="36"/>
        <v>1</v>
      </c>
      <c r="H1171" s="10" t="str">
        <f t="shared" si="37"/>
        <v>Monday</v>
      </c>
    </row>
    <row r="1172" spans="1:8">
      <c r="A1172" s="9">
        <v>131310280</v>
      </c>
      <c r="B1172" s="6">
        <v>44963</v>
      </c>
      <c r="C1172" s="6">
        <v>44974</v>
      </c>
      <c r="D1172" s="1" t="s">
        <v>7</v>
      </c>
      <c r="E1172" s="1">
        <v>39</v>
      </c>
      <c r="F1172" s="1" t="s">
        <v>6</v>
      </c>
      <c r="G1172" s="44">
        <f t="shared" si="36"/>
        <v>11</v>
      </c>
      <c r="H1172" s="10" t="str">
        <f t="shared" si="37"/>
        <v>Monday</v>
      </c>
    </row>
    <row r="1173" spans="1:8">
      <c r="A1173" s="9">
        <v>154161250</v>
      </c>
      <c r="B1173" s="6">
        <v>44963</v>
      </c>
      <c r="C1173" s="6">
        <v>45006</v>
      </c>
      <c r="D1173" s="1" t="s">
        <v>7</v>
      </c>
      <c r="E1173" s="1">
        <v>39</v>
      </c>
      <c r="F1173" s="1" t="s">
        <v>6</v>
      </c>
      <c r="G1173" s="44">
        <f t="shared" si="36"/>
        <v>43</v>
      </c>
      <c r="H1173" s="10" t="str">
        <f t="shared" si="37"/>
        <v>Monday</v>
      </c>
    </row>
    <row r="1174" spans="1:8">
      <c r="A1174" s="9">
        <v>150521180</v>
      </c>
      <c r="B1174" s="6">
        <v>44963</v>
      </c>
      <c r="C1174" s="6">
        <v>45082</v>
      </c>
      <c r="D1174" s="1" t="s">
        <v>7</v>
      </c>
      <c r="E1174" s="1">
        <v>39</v>
      </c>
      <c r="F1174" s="1" t="s">
        <v>6</v>
      </c>
      <c r="G1174" s="44">
        <f t="shared" si="36"/>
        <v>119</v>
      </c>
      <c r="H1174" s="10" t="str">
        <f t="shared" si="37"/>
        <v>Monday</v>
      </c>
    </row>
    <row r="1175" spans="1:8">
      <c r="A1175" s="9">
        <v>195280988</v>
      </c>
      <c r="B1175" s="6">
        <v>44963</v>
      </c>
      <c r="C1175" s="6">
        <v>45098</v>
      </c>
      <c r="D1175" s="1" t="s">
        <v>7</v>
      </c>
      <c r="E1175" s="1">
        <v>39</v>
      </c>
      <c r="F1175" s="1" t="s">
        <v>6</v>
      </c>
      <c r="G1175" s="44">
        <f t="shared" si="36"/>
        <v>135</v>
      </c>
      <c r="H1175" s="10" t="str">
        <f t="shared" si="37"/>
        <v>Monday</v>
      </c>
    </row>
    <row r="1176" spans="1:8">
      <c r="A1176" s="9">
        <v>201231494</v>
      </c>
      <c r="B1176" s="6">
        <v>44963</v>
      </c>
      <c r="C1176" s="6">
        <v>45055</v>
      </c>
      <c r="D1176" s="1" t="s">
        <v>7</v>
      </c>
      <c r="E1176" s="1">
        <v>39</v>
      </c>
      <c r="F1176" s="1" t="s">
        <v>6</v>
      </c>
      <c r="G1176" s="44">
        <f t="shared" si="36"/>
        <v>92</v>
      </c>
      <c r="H1176" s="10" t="str">
        <f t="shared" si="37"/>
        <v>Monday</v>
      </c>
    </row>
    <row r="1177" spans="1:8">
      <c r="A1177" s="9">
        <v>199554496</v>
      </c>
      <c r="B1177" s="6">
        <v>44963</v>
      </c>
      <c r="C1177" s="6">
        <v>44965</v>
      </c>
      <c r="D1177" s="1" t="s">
        <v>7</v>
      </c>
      <c r="E1177" s="1">
        <v>39</v>
      </c>
      <c r="F1177" s="1" t="s">
        <v>6</v>
      </c>
      <c r="G1177" s="44">
        <f t="shared" si="36"/>
        <v>2</v>
      </c>
      <c r="H1177" s="10" t="str">
        <f t="shared" si="37"/>
        <v>Monday</v>
      </c>
    </row>
    <row r="1178" spans="1:8">
      <c r="A1178" s="9">
        <v>125747106</v>
      </c>
      <c r="B1178" s="6">
        <v>44963</v>
      </c>
      <c r="C1178" s="6">
        <v>44989</v>
      </c>
      <c r="D1178" s="1" t="s">
        <v>7</v>
      </c>
      <c r="E1178" s="1">
        <v>39</v>
      </c>
      <c r="F1178" s="1" t="s">
        <v>6</v>
      </c>
      <c r="G1178" s="44">
        <f t="shared" si="36"/>
        <v>26</v>
      </c>
      <c r="H1178" s="10" t="str">
        <f t="shared" si="37"/>
        <v>Monday</v>
      </c>
    </row>
    <row r="1179" spans="1:8">
      <c r="A1179" s="9">
        <v>195345030</v>
      </c>
      <c r="B1179" s="6">
        <v>44963</v>
      </c>
      <c r="C1179" s="6">
        <v>44989</v>
      </c>
      <c r="D1179" s="1" t="s">
        <v>7</v>
      </c>
      <c r="E1179" s="1">
        <v>39</v>
      </c>
      <c r="F1179" s="1" t="s">
        <v>6</v>
      </c>
      <c r="G1179" s="44">
        <f t="shared" si="36"/>
        <v>26</v>
      </c>
      <c r="H1179" s="10" t="str">
        <f t="shared" si="37"/>
        <v>Monday</v>
      </c>
    </row>
    <row r="1180" spans="1:8">
      <c r="A1180" s="9">
        <v>202269874</v>
      </c>
      <c r="B1180" s="6">
        <v>44963</v>
      </c>
      <c r="C1180" s="6">
        <v>45010</v>
      </c>
      <c r="D1180" s="1" t="s">
        <v>7</v>
      </c>
      <c r="E1180" s="1">
        <v>39</v>
      </c>
      <c r="F1180" s="1" t="s">
        <v>6</v>
      </c>
      <c r="G1180" s="44">
        <f t="shared" si="36"/>
        <v>47</v>
      </c>
      <c r="H1180" s="10" t="str">
        <f t="shared" si="37"/>
        <v>Monday</v>
      </c>
    </row>
    <row r="1181" spans="1:8">
      <c r="A1181" s="9">
        <v>191036527</v>
      </c>
      <c r="B1181" s="6">
        <v>44963</v>
      </c>
      <c r="C1181" s="6">
        <v>44992</v>
      </c>
      <c r="D1181" s="1" t="s">
        <v>7</v>
      </c>
      <c r="E1181" s="1">
        <v>39</v>
      </c>
      <c r="F1181" s="1" t="s">
        <v>6</v>
      </c>
      <c r="G1181" s="44">
        <f t="shared" si="36"/>
        <v>29</v>
      </c>
      <c r="H1181" s="10" t="str">
        <f t="shared" si="37"/>
        <v>Monday</v>
      </c>
    </row>
    <row r="1182" spans="1:8">
      <c r="A1182" s="9">
        <v>202633556</v>
      </c>
      <c r="B1182" s="6">
        <v>44963</v>
      </c>
      <c r="C1182" s="6">
        <v>44979</v>
      </c>
      <c r="D1182" s="1" t="s">
        <v>7</v>
      </c>
      <c r="E1182" s="1">
        <v>39</v>
      </c>
      <c r="F1182" s="1" t="s">
        <v>6</v>
      </c>
      <c r="G1182" s="44">
        <f t="shared" si="36"/>
        <v>16</v>
      </c>
      <c r="H1182" s="10" t="str">
        <f t="shared" si="37"/>
        <v>Monday</v>
      </c>
    </row>
    <row r="1183" spans="1:8">
      <c r="A1183" s="9">
        <v>202750328</v>
      </c>
      <c r="B1183" s="6">
        <v>44963</v>
      </c>
      <c r="C1183" s="6">
        <v>45140</v>
      </c>
      <c r="D1183" s="1" t="s">
        <v>7</v>
      </c>
      <c r="E1183" s="1">
        <v>39</v>
      </c>
      <c r="F1183" s="1" t="s">
        <v>6</v>
      </c>
      <c r="G1183" s="44">
        <f t="shared" si="36"/>
        <v>177</v>
      </c>
      <c r="H1183" s="10" t="str">
        <f t="shared" si="37"/>
        <v>Monday</v>
      </c>
    </row>
    <row r="1184" spans="1:8">
      <c r="A1184" s="9">
        <v>192781688</v>
      </c>
      <c r="B1184" s="6">
        <v>44964</v>
      </c>
      <c r="C1184" s="1"/>
      <c r="D1184" s="1" t="s">
        <v>7</v>
      </c>
      <c r="E1184" s="1">
        <v>39</v>
      </c>
      <c r="F1184" s="1" t="s">
        <v>6</v>
      </c>
      <c r="G1184" s="44" t="str">
        <f t="shared" si="36"/>
        <v/>
      </c>
      <c r="H1184" s="10" t="str">
        <f t="shared" si="37"/>
        <v>Tuesday</v>
      </c>
    </row>
    <row r="1185" spans="1:8">
      <c r="A1185" s="9">
        <v>196859472</v>
      </c>
      <c r="B1185" s="6">
        <v>44964</v>
      </c>
      <c r="C1185" s="1"/>
      <c r="D1185" s="1" t="s">
        <v>7</v>
      </c>
      <c r="E1185" s="1">
        <v>39</v>
      </c>
      <c r="F1185" s="1" t="s">
        <v>6</v>
      </c>
      <c r="G1185" s="44" t="str">
        <f t="shared" si="36"/>
        <v/>
      </c>
      <c r="H1185" s="10" t="str">
        <f t="shared" si="37"/>
        <v>Tuesday</v>
      </c>
    </row>
    <row r="1186" spans="1:8">
      <c r="A1186" s="9">
        <v>200333728</v>
      </c>
      <c r="B1186" s="6">
        <v>44964</v>
      </c>
      <c r="C1186" s="1"/>
      <c r="D1186" s="1" t="s">
        <v>7</v>
      </c>
      <c r="E1186" s="1">
        <v>39</v>
      </c>
      <c r="F1186" s="1" t="s">
        <v>6</v>
      </c>
      <c r="G1186" s="44" t="str">
        <f t="shared" si="36"/>
        <v/>
      </c>
      <c r="H1186" s="10" t="str">
        <f t="shared" si="37"/>
        <v>Tuesday</v>
      </c>
    </row>
    <row r="1187" spans="1:8">
      <c r="A1187" s="9">
        <v>129896329</v>
      </c>
      <c r="B1187" s="6">
        <v>44964</v>
      </c>
      <c r="C1187" s="1"/>
      <c r="D1187" s="1" t="s">
        <v>7</v>
      </c>
      <c r="E1187" s="1">
        <v>39</v>
      </c>
      <c r="F1187" s="1" t="s">
        <v>6</v>
      </c>
      <c r="G1187" s="44" t="str">
        <f t="shared" si="36"/>
        <v/>
      </c>
      <c r="H1187" s="10" t="str">
        <f t="shared" si="37"/>
        <v>Tuesday</v>
      </c>
    </row>
    <row r="1188" spans="1:8">
      <c r="A1188" s="9">
        <v>168202891</v>
      </c>
      <c r="B1188" s="6">
        <v>44964</v>
      </c>
      <c r="C1188" s="6">
        <v>44964</v>
      </c>
      <c r="D1188" s="1" t="s">
        <v>8</v>
      </c>
      <c r="E1188" s="1">
        <v>39</v>
      </c>
      <c r="F1188" s="1" t="s">
        <v>6</v>
      </c>
      <c r="G1188" s="44">
        <f t="shared" si="36"/>
        <v>0</v>
      </c>
      <c r="H1188" s="10" t="str">
        <f t="shared" si="37"/>
        <v>Tuesday</v>
      </c>
    </row>
    <row r="1189" spans="1:8">
      <c r="A1189" s="9">
        <v>202924219</v>
      </c>
      <c r="B1189" s="6">
        <v>44964</v>
      </c>
      <c r="C1189" s="6">
        <v>45097</v>
      </c>
      <c r="D1189" s="1" t="s">
        <v>7</v>
      </c>
      <c r="E1189" s="1">
        <v>39</v>
      </c>
      <c r="F1189" s="1" t="s">
        <v>6</v>
      </c>
      <c r="G1189" s="44">
        <f t="shared" si="36"/>
        <v>133</v>
      </c>
      <c r="H1189" s="10" t="str">
        <f t="shared" si="37"/>
        <v>Tuesday</v>
      </c>
    </row>
    <row r="1190" spans="1:8">
      <c r="A1190" s="9">
        <v>202863670</v>
      </c>
      <c r="B1190" s="6">
        <v>44964</v>
      </c>
      <c r="C1190" s="6">
        <v>45030</v>
      </c>
      <c r="D1190" s="1" t="s">
        <v>7</v>
      </c>
      <c r="E1190" s="1">
        <v>39</v>
      </c>
      <c r="F1190" s="1" t="s">
        <v>6</v>
      </c>
      <c r="G1190" s="44">
        <f t="shared" si="36"/>
        <v>66</v>
      </c>
      <c r="H1190" s="10" t="str">
        <f t="shared" si="37"/>
        <v>Tuesday</v>
      </c>
    </row>
    <row r="1191" spans="1:8">
      <c r="A1191" s="9">
        <v>202398629</v>
      </c>
      <c r="B1191" s="6">
        <v>44964</v>
      </c>
      <c r="C1191" s="6">
        <v>44991</v>
      </c>
      <c r="D1191" s="1" t="s">
        <v>7</v>
      </c>
      <c r="E1191" s="1">
        <v>39</v>
      </c>
      <c r="F1191" s="1" t="s">
        <v>6</v>
      </c>
      <c r="G1191" s="44">
        <f t="shared" si="36"/>
        <v>27</v>
      </c>
      <c r="H1191" s="10" t="str">
        <f t="shared" si="37"/>
        <v>Tuesday</v>
      </c>
    </row>
    <row r="1192" spans="1:8">
      <c r="A1192" s="9">
        <v>188448878</v>
      </c>
      <c r="B1192" s="6">
        <v>44964</v>
      </c>
      <c r="C1192" s="6">
        <v>44964</v>
      </c>
      <c r="D1192" s="1" t="s">
        <v>7</v>
      </c>
      <c r="E1192" s="1">
        <v>39</v>
      </c>
      <c r="F1192" s="1" t="s">
        <v>6</v>
      </c>
      <c r="G1192" s="44">
        <f t="shared" si="36"/>
        <v>0</v>
      </c>
      <c r="H1192" s="10" t="str">
        <f t="shared" si="37"/>
        <v>Tuesday</v>
      </c>
    </row>
    <row r="1193" spans="1:8">
      <c r="A1193" s="9">
        <v>203254948</v>
      </c>
      <c r="B1193" s="6">
        <v>44965</v>
      </c>
      <c r="C1193" s="1"/>
      <c r="D1193" s="1" t="s">
        <v>7</v>
      </c>
      <c r="E1193" s="1">
        <v>39</v>
      </c>
      <c r="F1193" s="1" t="s">
        <v>6</v>
      </c>
      <c r="G1193" s="44" t="str">
        <f t="shared" si="36"/>
        <v/>
      </c>
      <c r="H1193" s="10" t="str">
        <f t="shared" si="37"/>
        <v>Wednesday</v>
      </c>
    </row>
    <row r="1194" spans="1:8">
      <c r="A1194" s="9">
        <v>203120229</v>
      </c>
      <c r="B1194" s="6">
        <v>44965</v>
      </c>
      <c r="C1194" s="6">
        <v>45094</v>
      </c>
      <c r="D1194" s="1" t="s">
        <v>7</v>
      </c>
      <c r="E1194" s="1">
        <v>39</v>
      </c>
      <c r="F1194" s="1" t="s">
        <v>6</v>
      </c>
      <c r="G1194" s="44">
        <f t="shared" si="36"/>
        <v>129</v>
      </c>
      <c r="H1194" s="10" t="str">
        <f t="shared" si="37"/>
        <v>Wednesday</v>
      </c>
    </row>
    <row r="1195" spans="1:8">
      <c r="A1195" s="9">
        <v>203225874</v>
      </c>
      <c r="B1195" s="6">
        <v>44965</v>
      </c>
      <c r="C1195" s="6">
        <v>45050</v>
      </c>
      <c r="D1195" s="1" t="s">
        <v>7</v>
      </c>
      <c r="E1195" s="1">
        <v>39</v>
      </c>
      <c r="F1195" s="1" t="s">
        <v>6</v>
      </c>
      <c r="G1195" s="44">
        <f t="shared" si="36"/>
        <v>85</v>
      </c>
      <c r="H1195" s="10" t="str">
        <f t="shared" si="37"/>
        <v>Wednesday</v>
      </c>
    </row>
    <row r="1196" spans="1:8">
      <c r="A1196" s="9">
        <v>203107308</v>
      </c>
      <c r="B1196" s="6">
        <v>44965</v>
      </c>
      <c r="C1196" s="6">
        <v>45062</v>
      </c>
      <c r="D1196" s="1" t="s">
        <v>7</v>
      </c>
      <c r="E1196" s="1">
        <v>39</v>
      </c>
      <c r="F1196" s="1" t="s">
        <v>6</v>
      </c>
      <c r="G1196" s="44">
        <f t="shared" si="36"/>
        <v>97</v>
      </c>
      <c r="H1196" s="10" t="str">
        <f t="shared" si="37"/>
        <v>Wednesday</v>
      </c>
    </row>
    <row r="1197" spans="1:8">
      <c r="A1197" s="9">
        <v>156558244</v>
      </c>
      <c r="B1197" s="6">
        <v>44965</v>
      </c>
      <c r="C1197" s="6">
        <v>45138</v>
      </c>
      <c r="D1197" s="1" t="s">
        <v>7</v>
      </c>
      <c r="E1197" s="1">
        <v>39</v>
      </c>
      <c r="F1197" s="1" t="s">
        <v>6</v>
      </c>
      <c r="G1197" s="44">
        <f t="shared" si="36"/>
        <v>173</v>
      </c>
      <c r="H1197" s="10" t="str">
        <f t="shared" si="37"/>
        <v>Wednesday</v>
      </c>
    </row>
    <row r="1198" spans="1:8">
      <c r="A1198" s="9">
        <v>194306726</v>
      </c>
      <c r="B1198" s="6">
        <v>44965</v>
      </c>
      <c r="C1198" s="6">
        <v>44986</v>
      </c>
      <c r="D1198" s="1" t="s">
        <v>7</v>
      </c>
      <c r="E1198" s="1">
        <v>39</v>
      </c>
      <c r="F1198" s="1" t="s">
        <v>6</v>
      </c>
      <c r="G1198" s="44">
        <f t="shared" si="36"/>
        <v>21</v>
      </c>
      <c r="H1198" s="10" t="str">
        <f t="shared" si="37"/>
        <v>Wednesday</v>
      </c>
    </row>
    <row r="1199" spans="1:8">
      <c r="A1199" s="9">
        <v>202410948</v>
      </c>
      <c r="B1199" s="6">
        <v>44965</v>
      </c>
      <c r="C1199" s="6">
        <v>45000</v>
      </c>
      <c r="D1199" s="1" t="s">
        <v>7</v>
      </c>
      <c r="E1199" s="1">
        <v>39</v>
      </c>
      <c r="F1199" s="1" t="s">
        <v>6</v>
      </c>
      <c r="G1199" s="44">
        <f t="shared" si="36"/>
        <v>35</v>
      </c>
      <c r="H1199" s="10" t="str">
        <f t="shared" si="37"/>
        <v>Wednesday</v>
      </c>
    </row>
    <row r="1200" spans="1:8">
      <c r="A1200" s="9">
        <v>203166018</v>
      </c>
      <c r="B1200" s="6">
        <v>44965</v>
      </c>
      <c r="C1200" s="6">
        <v>44993</v>
      </c>
      <c r="D1200" s="1" t="s">
        <v>7</v>
      </c>
      <c r="E1200" s="1">
        <v>39</v>
      </c>
      <c r="F1200" s="1" t="s">
        <v>6</v>
      </c>
      <c r="G1200" s="44">
        <f t="shared" si="36"/>
        <v>28</v>
      </c>
      <c r="H1200" s="10" t="str">
        <f t="shared" si="37"/>
        <v>Wednesday</v>
      </c>
    </row>
    <row r="1201" spans="1:8">
      <c r="A1201" s="9">
        <v>203116697</v>
      </c>
      <c r="B1201" s="6">
        <v>44965</v>
      </c>
      <c r="C1201" s="6">
        <v>45008</v>
      </c>
      <c r="D1201" s="1" t="s">
        <v>7</v>
      </c>
      <c r="E1201" s="1">
        <v>39</v>
      </c>
      <c r="F1201" s="1" t="s">
        <v>6</v>
      </c>
      <c r="G1201" s="44">
        <f t="shared" si="36"/>
        <v>43</v>
      </c>
      <c r="H1201" s="10" t="str">
        <f t="shared" si="37"/>
        <v>Wednesday</v>
      </c>
    </row>
    <row r="1202" spans="1:8">
      <c r="A1202" s="9">
        <v>202982608</v>
      </c>
      <c r="B1202" s="6">
        <v>44965</v>
      </c>
      <c r="C1202" s="6">
        <v>44987</v>
      </c>
      <c r="D1202" s="1" t="s">
        <v>7</v>
      </c>
      <c r="E1202" s="1">
        <v>39</v>
      </c>
      <c r="F1202" s="1" t="s">
        <v>6</v>
      </c>
      <c r="G1202" s="44">
        <f t="shared" si="36"/>
        <v>22</v>
      </c>
      <c r="H1202" s="10" t="str">
        <f t="shared" si="37"/>
        <v>Wednesday</v>
      </c>
    </row>
    <row r="1203" spans="1:8">
      <c r="A1203" s="9">
        <v>198167700</v>
      </c>
      <c r="B1203" s="6">
        <v>44965</v>
      </c>
      <c r="C1203" s="6">
        <v>44968</v>
      </c>
      <c r="D1203" s="1" t="s">
        <v>7</v>
      </c>
      <c r="E1203" s="1">
        <v>39</v>
      </c>
      <c r="F1203" s="1" t="s">
        <v>6</v>
      </c>
      <c r="G1203" s="44">
        <f t="shared" si="36"/>
        <v>3</v>
      </c>
      <c r="H1203" s="10" t="str">
        <f t="shared" si="37"/>
        <v>Wednesday</v>
      </c>
    </row>
    <row r="1204" spans="1:8">
      <c r="A1204" s="9">
        <v>190567582</v>
      </c>
      <c r="B1204" s="6">
        <v>44965</v>
      </c>
      <c r="C1204" s="6">
        <v>44979</v>
      </c>
      <c r="D1204" s="1" t="s">
        <v>7</v>
      </c>
      <c r="E1204" s="1">
        <v>39</v>
      </c>
      <c r="F1204" s="1" t="s">
        <v>6</v>
      </c>
      <c r="G1204" s="44">
        <f t="shared" si="36"/>
        <v>14</v>
      </c>
      <c r="H1204" s="10" t="str">
        <f t="shared" si="37"/>
        <v>Wednesday</v>
      </c>
    </row>
    <row r="1205" spans="1:8">
      <c r="A1205" s="9">
        <v>202699972</v>
      </c>
      <c r="B1205" s="6">
        <v>44965</v>
      </c>
      <c r="C1205" s="6">
        <v>45145</v>
      </c>
      <c r="D1205" s="1" t="s">
        <v>7</v>
      </c>
      <c r="E1205" s="1">
        <v>39</v>
      </c>
      <c r="F1205" s="1" t="s">
        <v>6</v>
      </c>
      <c r="G1205" s="44">
        <f t="shared" si="36"/>
        <v>180</v>
      </c>
      <c r="H1205" s="10" t="str">
        <f t="shared" si="37"/>
        <v>Wednesday</v>
      </c>
    </row>
    <row r="1206" spans="1:8">
      <c r="A1206" s="9">
        <v>203242766</v>
      </c>
      <c r="B1206" s="6">
        <v>44966</v>
      </c>
      <c r="C1206" s="1"/>
      <c r="D1206" s="1" t="s">
        <v>7</v>
      </c>
      <c r="E1206" s="1">
        <v>39</v>
      </c>
      <c r="F1206" s="1" t="s">
        <v>6</v>
      </c>
      <c r="G1206" s="44" t="str">
        <f t="shared" si="36"/>
        <v/>
      </c>
      <c r="H1206" s="10" t="str">
        <f t="shared" si="37"/>
        <v>Thursday</v>
      </c>
    </row>
    <row r="1207" spans="1:8">
      <c r="A1207" s="9">
        <v>203398103</v>
      </c>
      <c r="B1207" s="6">
        <v>44966</v>
      </c>
      <c r="C1207" s="1"/>
      <c r="D1207" s="1" t="s">
        <v>7</v>
      </c>
      <c r="E1207" s="1">
        <v>39</v>
      </c>
      <c r="F1207" s="1" t="s">
        <v>6</v>
      </c>
      <c r="G1207" s="44" t="str">
        <f t="shared" si="36"/>
        <v/>
      </c>
      <c r="H1207" s="10" t="str">
        <f t="shared" si="37"/>
        <v>Thursday</v>
      </c>
    </row>
    <row r="1208" spans="1:8">
      <c r="A1208" s="9">
        <v>203243685</v>
      </c>
      <c r="B1208" s="6">
        <v>44966</v>
      </c>
      <c r="C1208" s="1"/>
      <c r="D1208" s="1" t="s">
        <v>7</v>
      </c>
      <c r="E1208" s="1">
        <v>39</v>
      </c>
      <c r="F1208" s="1" t="s">
        <v>6</v>
      </c>
      <c r="G1208" s="44" t="str">
        <f t="shared" si="36"/>
        <v/>
      </c>
      <c r="H1208" s="10" t="str">
        <f t="shared" si="37"/>
        <v>Thursday</v>
      </c>
    </row>
    <row r="1209" spans="1:8">
      <c r="A1209" s="9">
        <v>203370322</v>
      </c>
      <c r="B1209" s="6">
        <v>44966</v>
      </c>
      <c r="C1209" s="1"/>
      <c r="D1209" s="1" t="s">
        <v>7</v>
      </c>
      <c r="E1209" s="1">
        <v>39</v>
      </c>
      <c r="F1209" s="1" t="s">
        <v>6</v>
      </c>
      <c r="G1209" s="44" t="str">
        <f t="shared" si="36"/>
        <v/>
      </c>
      <c r="H1209" s="10" t="str">
        <f t="shared" si="37"/>
        <v>Thursday</v>
      </c>
    </row>
    <row r="1210" spans="1:8">
      <c r="A1210" s="9">
        <v>138689458</v>
      </c>
      <c r="B1210" s="6">
        <v>44966</v>
      </c>
      <c r="C1210" s="1"/>
      <c r="D1210" s="1" t="s">
        <v>7</v>
      </c>
      <c r="E1210" s="1">
        <v>39</v>
      </c>
      <c r="F1210" s="1" t="s">
        <v>6</v>
      </c>
      <c r="G1210" s="44" t="str">
        <f t="shared" si="36"/>
        <v/>
      </c>
      <c r="H1210" s="10" t="str">
        <f t="shared" si="37"/>
        <v>Thursday</v>
      </c>
    </row>
    <row r="1211" spans="1:8">
      <c r="A1211" s="9">
        <v>203315186</v>
      </c>
      <c r="B1211" s="6">
        <v>44966</v>
      </c>
      <c r="C1211" s="1"/>
      <c r="D1211" s="1" t="s">
        <v>7</v>
      </c>
      <c r="E1211" s="1">
        <v>39</v>
      </c>
      <c r="F1211" s="1" t="s">
        <v>6</v>
      </c>
      <c r="G1211" s="44" t="str">
        <f t="shared" si="36"/>
        <v/>
      </c>
      <c r="H1211" s="10" t="str">
        <f t="shared" si="37"/>
        <v>Thursday</v>
      </c>
    </row>
    <row r="1212" spans="1:8">
      <c r="A1212" s="9">
        <v>203292575</v>
      </c>
      <c r="B1212" s="6">
        <v>44966</v>
      </c>
      <c r="C1212" s="1"/>
      <c r="D1212" s="1" t="s">
        <v>7</v>
      </c>
      <c r="E1212" s="1">
        <v>39</v>
      </c>
      <c r="F1212" s="1" t="s">
        <v>6</v>
      </c>
      <c r="G1212" s="44" t="str">
        <f t="shared" si="36"/>
        <v/>
      </c>
      <c r="H1212" s="10" t="str">
        <f t="shared" si="37"/>
        <v>Thursday</v>
      </c>
    </row>
    <row r="1213" spans="1:8">
      <c r="A1213" s="9">
        <v>144830936</v>
      </c>
      <c r="B1213" s="6">
        <v>44966</v>
      </c>
      <c r="C1213" s="6">
        <v>44967</v>
      </c>
      <c r="D1213" s="1" t="s">
        <v>7</v>
      </c>
      <c r="E1213" s="1">
        <v>39</v>
      </c>
      <c r="F1213" s="1" t="s">
        <v>6</v>
      </c>
      <c r="G1213" s="44">
        <f t="shared" si="36"/>
        <v>1</v>
      </c>
      <c r="H1213" s="10" t="str">
        <f t="shared" si="37"/>
        <v>Thursday</v>
      </c>
    </row>
    <row r="1214" spans="1:8">
      <c r="A1214" s="9">
        <v>168980588</v>
      </c>
      <c r="B1214" s="6">
        <v>44966</v>
      </c>
      <c r="C1214" s="6">
        <v>44966</v>
      </c>
      <c r="D1214" s="1" t="s">
        <v>8</v>
      </c>
      <c r="E1214" s="1">
        <v>39</v>
      </c>
      <c r="F1214" s="1" t="s">
        <v>6</v>
      </c>
      <c r="G1214" s="44">
        <f t="shared" si="36"/>
        <v>0</v>
      </c>
      <c r="H1214" s="10" t="str">
        <f t="shared" si="37"/>
        <v>Thursday</v>
      </c>
    </row>
    <row r="1215" spans="1:8">
      <c r="A1215" s="9">
        <v>136832520</v>
      </c>
      <c r="B1215" s="6">
        <v>44966</v>
      </c>
      <c r="C1215" s="6">
        <v>44995</v>
      </c>
      <c r="D1215" s="1" t="s">
        <v>7</v>
      </c>
      <c r="E1215" s="1">
        <v>39</v>
      </c>
      <c r="F1215" s="1" t="s">
        <v>6</v>
      </c>
      <c r="G1215" s="44">
        <f t="shared" si="36"/>
        <v>29</v>
      </c>
      <c r="H1215" s="10" t="str">
        <f t="shared" si="37"/>
        <v>Thursday</v>
      </c>
    </row>
    <row r="1216" spans="1:8">
      <c r="A1216" s="9">
        <v>202103959</v>
      </c>
      <c r="B1216" s="6">
        <v>44966</v>
      </c>
      <c r="C1216" s="6">
        <v>45073</v>
      </c>
      <c r="D1216" s="1" t="s">
        <v>7</v>
      </c>
      <c r="E1216" s="1">
        <v>39</v>
      </c>
      <c r="F1216" s="1" t="s">
        <v>6</v>
      </c>
      <c r="G1216" s="44">
        <f t="shared" si="36"/>
        <v>107</v>
      </c>
      <c r="H1216" s="10" t="str">
        <f t="shared" si="37"/>
        <v>Thursday</v>
      </c>
    </row>
    <row r="1217" spans="1:8">
      <c r="A1217" s="9">
        <v>148764147</v>
      </c>
      <c r="B1217" s="6">
        <v>44966</v>
      </c>
      <c r="C1217" s="6">
        <v>45024</v>
      </c>
      <c r="D1217" s="1" t="s">
        <v>7</v>
      </c>
      <c r="E1217" s="1">
        <v>39</v>
      </c>
      <c r="F1217" s="1" t="s">
        <v>6</v>
      </c>
      <c r="G1217" s="44">
        <f t="shared" si="36"/>
        <v>58</v>
      </c>
      <c r="H1217" s="10" t="str">
        <f t="shared" si="37"/>
        <v>Thursday</v>
      </c>
    </row>
    <row r="1218" spans="1:8">
      <c r="A1218" s="9">
        <v>182748610</v>
      </c>
      <c r="B1218" s="6">
        <v>44966</v>
      </c>
      <c r="C1218" s="6">
        <v>45027</v>
      </c>
      <c r="D1218" s="1" t="s">
        <v>7</v>
      </c>
      <c r="E1218" s="1">
        <v>39</v>
      </c>
      <c r="F1218" s="1" t="s">
        <v>6</v>
      </c>
      <c r="G1218" s="44">
        <f t="shared" si="36"/>
        <v>61</v>
      </c>
      <c r="H1218" s="10" t="str">
        <f t="shared" si="37"/>
        <v>Thursday</v>
      </c>
    </row>
    <row r="1219" spans="1:8">
      <c r="A1219" s="9">
        <v>197883626</v>
      </c>
      <c r="B1219" s="6">
        <v>44966</v>
      </c>
      <c r="C1219" s="6">
        <v>45001</v>
      </c>
      <c r="D1219" s="1" t="s">
        <v>7</v>
      </c>
      <c r="E1219" s="1">
        <v>39</v>
      </c>
      <c r="F1219" s="1" t="s">
        <v>6</v>
      </c>
      <c r="G1219" s="44">
        <f t="shared" ref="G1219:G1282" si="38">IF(C1219="", "", DATEDIF(B1219, C1219, "D"))</f>
        <v>35</v>
      </c>
      <c r="H1219" s="10" t="str">
        <f t="shared" ref="H1219:H1282" si="39">TEXT(B1219, "dddd")</f>
        <v>Thursday</v>
      </c>
    </row>
    <row r="1220" spans="1:8">
      <c r="A1220" s="9">
        <v>195893842</v>
      </c>
      <c r="B1220" s="6">
        <v>44966</v>
      </c>
      <c r="C1220" s="6">
        <v>44985</v>
      </c>
      <c r="D1220" s="1" t="s">
        <v>7</v>
      </c>
      <c r="E1220" s="1">
        <v>39</v>
      </c>
      <c r="F1220" s="1" t="s">
        <v>6</v>
      </c>
      <c r="G1220" s="44">
        <f t="shared" si="38"/>
        <v>19</v>
      </c>
      <c r="H1220" s="10" t="str">
        <f t="shared" si="39"/>
        <v>Thursday</v>
      </c>
    </row>
    <row r="1221" spans="1:8">
      <c r="A1221" s="9">
        <v>169081778</v>
      </c>
      <c r="B1221" s="6">
        <v>44966</v>
      </c>
      <c r="C1221" s="6">
        <v>45154</v>
      </c>
      <c r="D1221" s="1" t="s">
        <v>7</v>
      </c>
      <c r="E1221" s="1">
        <v>39</v>
      </c>
      <c r="F1221" s="1" t="s">
        <v>6</v>
      </c>
      <c r="G1221" s="44">
        <f t="shared" si="38"/>
        <v>188</v>
      </c>
      <c r="H1221" s="10" t="str">
        <f t="shared" si="39"/>
        <v>Thursday</v>
      </c>
    </row>
    <row r="1222" spans="1:8">
      <c r="A1222" s="9">
        <v>150422738</v>
      </c>
      <c r="B1222" s="6">
        <v>44967</v>
      </c>
      <c r="C1222" s="6">
        <v>44968</v>
      </c>
      <c r="D1222" s="1" t="s">
        <v>7</v>
      </c>
      <c r="E1222" s="1">
        <v>39</v>
      </c>
      <c r="F1222" s="1" t="s">
        <v>6</v>
      </c>
      <c r="G1222" s="44">
        <f t="shared" si="38"/>
        <v>1</v>
      </c>
      <c r="H1222" s="10" t="str">
        <f t="shared" si="39"/>
        <v>Friday</v>
      </c>
    </row>
    <row r="1223" spans="1:8">
      <c r="A1223" s="9">
        <v>190839721</v>
      </c>
      <c r="B1223" s="6">
        <v>44967</v>
      </c>
      <c r="C1223" s="6">
        <v>45002</v>
      </c>
      <c r="D1223" s="1" t="s">
        <v>7</v>
      </c>
      <c r="E1223" s="1">
        <v>39</v>
      </c>
      <c r="F1223" s="1" t="s">
        <v>6</v>
      </c>
      <c r="G1223" s="44">
        <f t="shared" si="38"/>
        <v>35</v>
      </c>
      <c r="H1223" s="10" t="str">
        <f t="shared" si="39"/>
        <v>Friday</v>
      </c>
    </row>
    <row r="1224" spans="1:8">
      <c r="A1224" s="9">
        <v>152193617</v>
      </c>
      <c r="B1224" s="6">
        <v>44968</v>
      </c>
      <c r="C1224" s="1"/>
      <c r="D1224" s="1" t="s">
        <v>7</v>
      </c>
      <c r="E1224" s="1">
        <v>39</v>
      </c>
      <c r="F1224" s="1" t="s">
        <v>6</v>
      </c>
      <c r="G1224" s="44" t="str">
        <f t="shared" si="38"/>
        <v/>
      </c>
      <c r="H1224" s="10" t="str">
        <f t="shared" si="39"/>
        <v>Saturday</v>
      </c>
    </row>
    <row r="1225" spans="1:8">
      <c r="A1225" s="9">
        <v>133869989</v>
      </c>
      <c r="B1225" s="6">
        <v>44968</v>
      </c>
      <c r="C1225" s="6">
        <v>44969</v>
      </c>
      <c r="D1225" s="1" t="s">
        <v>7</v>
      </c>
      <c r="E1225" s="1">
        <v>39</v>
      </c>
      <c r="F1225" s="1" t="s">
        <v>6</v>
      </c>
      <c r="G1225" s="44">
        <f t="shared" si="38"/>
        <v>1</v>
      </c>
      <c r="H1225" s="10" t="str">
        <f t="shared" si="39"/>
        <v>Saturday</v>
      </c>
    </row>
    <row r="1226" spans="1:8">
      <c r="A1226" s="9">
        <v>186843516</v>
      </c>
      <c r="B1226" s="6">
        <v>44968</v>
      </c>
      <c r="C1226" s="6">
        <v>45035</v>
      </c>
      <c r="D1226" s="1" t="s">
        <v>7</v>
      </c>
      <c r="E1226" s="1">
        <v>39</v>
      </c>
      <c r="F1226" s="1" t="s">
        <v>6</v>
      </c>
      <c r="G1226" s="44">
        <f t="shared" si="38"/>
        <v>67</v>
      </c>
      <c r="H1226" s="10" t="str">
        <f t="shared" si="39"/>
        <v>Saturday</v>
      </c>
    </row>
    <row r="1227" spans="1:8">
      <c r="A1227" s="9">
        <v>138913080</v>
      </c>
      <c r="B1227" s="6">
        <v>44968</v>
      </c>
      <c r="C1227" s="6">
        <v>45038</v>
      </c>
      <c r="D1227" s="1" t="s">
        <v>7</v>
      </c>
      <c r="E1227" s="1">
        <v>39</v>
      </c>
      <c r="F1227" s="1" t="s">
        <v>6</v>
      </c>
      <c r="G1227" s="44">
        <f t="shared" si="38"/>
        <v>70</v>
      </c>
      <c r="H1227" s="10" t="str">
        <f t="shared" si="39"/>
        <v>Saturday</v>
      </c>
    </row>
    <row r="1228" spans="1:8">
      <c r="A1228" s="9">
        <v>134879280</v>
      </c>
      <c r="B1228" s="6">
        <v>44968</v>
      </c>
      <c r="C1228" s="6">
        <v>44992</v>
      </c>
      <c r="D1228" s="1" t="s">
        <v>7</v>
      </c>
      <c r="E1228" s="1">
        <v>39</v>
      </c>
      <c r="F1228" s="1" t="s">
        <v>6</v>
      </c>
      <c r="G1228" s="44">
        <f t="shared" si="38"/>
        <v>24</v>
      </c>
      <c r="H1228" s="10" t="str">
        <f t="shared" si="39"/>
        <v>Saturday</v>
      </c>
    </row>
    <row r="1229" spans="1:8">
      <c r="A1229" s="9">
        <v>160878134</v>
      </c>
      <c r="B1229" s="6">
        <v>44970</v>
      </c>
      <c r="C1229" s="1"/>
      <c r="D1229" s="1" t="s">
        <v>7</v>
      </c>
      <c r="E1229" s="1">
        <v>39</v>
      </c>
      <c r="F1229" s="1" t="s">
        <v>6</v>
      </c>
      <c r="G1229" s="44" t="str">
        <f t="shared" si="38"/>
        <v/>
      </c>
      <c r="H1229" s="10" t="str">
        <f t="shared" si="39"/>
        <v>Monday</v>
      </c>
    </row>
    <row r="1230" spans="1:8">
      <c r="A1230" s="9">
        <v>144423338</v>
      </c>
      <c r="B1230" s="6">
        <v>44970</v>
      </c>
      <c r="C1230" s="6">
        <v>45159</v>
      </c>
      <c r="D1230" s="1" t="s">
        <v>7</v>
      </c>
      <c r="E1230" s="1">
        <v>39</v>
      </c>
      <c r="F1230" s="1" t="s">
        <v>6</v>
      </c>
      <c r="G1230" s="44">
        <f t="shared" si="38"/>
        <v>189</v>
      </c>
      <c r="H1230" s="10" t="str">
        <f t="shared" si="39"/>
        <v>Monday</v>
      </c>
    </row>
    <row r="1231" spans="1:8">
      <c r="A1231" s="9">
        <v>136218542</v>
      </c>
      <c r="B1231" s="6">
        <v>44970</v>
      </c>
      <c r="C1231" s="6">
        <v>45059</v>
      </c>
      <c r="D1231" s="1" t="s">
        <v>7</v>
      </c>
      <c r="E1231" s="1">
        <v>39</v>
      </c>
      <c r="F1231" s="1" t="s">
        <v>6</v>
      </c>
      <c r="G1231" s="44">
        <f t="shared" si="38"/>
        <v>89</v>
      </c>
      <c r="H1231" s="10" t="str">
        <f t="shared" si="39"/>
        <v>Monday</v>
      </c>
    </row>
    <row r="1232" spans="1:8">
      <c r="A1232" s="9">
        <v>204121686</v>
      </c>
      <c r="B1232" s="6">
        <v>44970</v>
      </c>
      <c r="C1232" s="6">
        <v>45089</v>
      </c>
      <c r="D1232" s="1" t="s">
        <v>7</v>
      </c>
      <c r="E1232" s="1">
        <v>39</v>
      </c>
      <c r="F1232" s="1" t="s">
        <v>6</v>
      </c>
      <c r="G1232" s="44">
        <f t="shared" si="38"/>
        <v>119</v>
      </c>
      <c r="H1232" s="10" t="str">
        <f t="shared" si="39"/>
        <v>Monday</v>
      </c>
    </row>
    <row r="1233" spans="1:8">
      <c r="A1233" s="9">
        <v>204114138</v>
      </c>
      <c r="B1233" s="6">
        <v>44970</v>
      </c>
      <c r="C1233" s="6">
        <v>45056</v>
      </c>
      <c r="D1233" s="1" t="s">
        <v>7</v>
      </c>
      <c r="E1233" s="1">
        <v>39</v>
      </c>
      <c r="F1233" s="1" t="s">
        <v>6</v>
      </c>
      <c r="G1233" s="44">
        <f t="shared" si="38"/>
        <v>86</v>
      </c>
      <c r="H1233" s="10" t="str">
        <f t="shared" si="39"/>
        <v>Monday</v>
      </c>
    </row>
    <row r="1234" spans="1:8">
      <c r="A1234" s="9">
        <v>152197442</v>
      </c>
      <c r="B1234" s="6">
        <v>44970</v>
      </c>
      <c r="C1234" s="6">
        <v>44998</v>
      </c>
      <c r="D1234" s="1" t="s">
        <v>7</v>
      </c>
      <c r="E1234" s="1">
        <v>39</v>
      </c>
      <c r="F1234" s="1" t="s">
        <v>6</v>
      </c>
      <c r="G1234" s="44">
        <f t="shared" si="38"/>
        <v>28</v>
      </c>
      <c r="H1234" s="10" t="str">
        <f t="shared" si="39"/>
        <v>Monday</v>
      </c>
    </row>
    <row r="1235" spans="1:8">
      <c r="A1235" s="9">
        <v>151695881</v>
      </c>
      <c r="B1235" s="6">
        <v>44970</v>
      </c>
      <c r="C1235" s="6">
        <v>45012</v>
      </c>
      <c r="D1235" s="1" t="s">
        <v>7</v>
      </c>
      <c r="E1235" s="1">
        <v>39</v>
      </c>
      <c r="F1235" s="1" t="s">
        <v>6</v>
      </c>
      <c r="G1235" s="44">
        <f t="shared" si="38"/>
        <v>42</v>
      </c>
      <c r="H1235" s="10" t="str">
        <f t="shared" si="39"/>
        <v>Monday</v>
      </c>
    </row>
    <row r="1236" spans="1:8">
      <c r="A1236" s="9">
        <v>204378294</v>
      </c>
      <c r="B1236" s="6">
        <v>44971</v>
      </c>
      <c r="C1236" s="1"/>
      <c r="D1236" s="1" t="s">
        <v>7</v>
      </c>
      <c r="E1236" s="1">
        <v>39</v>
      </c>
      <c r="F1236" s="1" t="s">
        <v>6</v>
      </c>
      <c r="G1236" s="44" t="str">
        <f t="shared" si="38"/>
        <v/>
      </c>
      <c r="H1236" s="10" t="str">
        <f t="shared" si="39"/>
        <v>Tuesday</v>
      </c>
    </row>
    <row r="1237" spans="1:8">
      <c r="A1237" s="9">
        <v>204376665</v>
      </c>
      <c r="B1237" s="6">
        <v>44971</v>
      </c>
      <c r="C1237" s="1"/>
      <c r="D1237" s="1" t="s">
        <v>7</v>
      </c>
      <c r="E1237" s="1">
        <v>39</v>
      </c>
      <c r="F1237" s="1" t="s">
        <v>6</v>
      </c>
      <c r="G1237" s="44" t="str">
        <f t="shared" si="38"/>
        <v/>
      </c>
      <c r="H1237" s="10" t="str">
        <f t="shared" si="39"/>
        <v>Tuesday</v>
      </c>
    </row>
    <row r="1238" spans="1:8">
      <c r="A1238" s="9">
        <v>204270637</v>
      </c>
      <c r="B1238" s="6">
        <v>44971</v>
      </c>
      <c r="C1238" s="1"/>
      <c r="D1238" s="1" t="s">
        <v>7</v>
      </c>
      <c r="E1238" s="1">
        <v>39</v>
      </c>
      <c r="F1238" s="1" t="s">
        <v>6</v>
      </c>
      <c r="G1238" s="44" t="str">
        <f t="shared" si="38"/>
        <v/>
      </c>
      <c r="H1238" s="10" t="str">
        <f t="shared" si="39"/>
        <v>Tuesday</v>
      </c>
    </row>
    <row r="1239" spans="1:8">
      <c r="A1239" s="9">
        <v>204380751</v>
      </c>
      <c r="B1239" s="6">
        <v>44971</v>
      </c>
      <c r="C1239" s="6">
        <v>44971</v>
      </c>
      <c r="D1239" s="1" t="s">
        <v>7</v>
      </c>
      <c r="E1239" s="1">
        <v>39</v>
      </c>
      <c r="F1239" s="1" t="s">
        <v>6</v>
      </c>
      <c r="G1239" s="44">
        <f t="shared" si="38"/>
        <v>0</v>
      </c>
      <c r="H1239" s="10" t="str">
        <f t="shared" si="39"/>
        <v>Tuesday</v>
      </c>
    </row>
    <row r="1240" spans="1:8">
      <c r="A1240" s="9">
        <v>204402989</v>
      </c>
      <c r="B1240" s="6">
        <v>44971</v>
      </c>
      <c r="C1240" s="6">
        <v>45085</v>
      </c>
      <c r="D1240" s="1" t="s">
        <v>7</v>
      </c>
      <c r="E1240" s="1">
        <v>39</v>
      </c>
      <c r="F1240" s="1" t="s">
        <v>6</v>
      </c>
      <c r="G1240" s="44">
        <f t="shared" si="38"/>
        <v>114</v>
      </c>
      <c r="H1240" s="10" t="str">
        <f t="shared" si="39"/>
        <v>Tuesday</v>
      </c>
    </row>
    <row r="1241" spans="1:8">
      <c r="A1241" s="9">
        <v>203403136</v>
      </c>
      <c r="B1241" s="6">
        <v>44971</v>
      </c>
      <c r="C1241" s="6">
        <v>45089</v>
      </c>
      <c r="D1241" s="1" t="s">
        <v>7</v>
      </c>
      <c r="E1241" s="1">
        <v>39</v>
      </c>
      <c r="F1241" s="1" t="s">
        <v>6</v>
      </c>
      <c r="G1241" s="44">
        <f t="shared" si="38"/>
        <v>118</v>
      </c>
      <c r="H1241" s="10" t="str">
        <f t="shared" si="39"/>
        <v>Tuesday</v>
      </c>
    </row>
    <row r="1242" spans="1:8">
      <c r="A1242" s="9">
        <v>198453918</v>
      </c>
      <c r="B1242" s="6">
        <v>44971</v>
      </c>
      <c r="C1242" s="6">
        <v>45061</v>
      </c>
      <c r="D1242" s="1" t="s">
        <v>7</v>
      </c>
      <c r="E1242" s="1">
        <v>39</v>
      </c>
      <c r="F1242" s="1" t="s">
        <v>6</v>
      </c>
      <c r="G1242" s="44">
        <f t="shared" si="38"/>
        <v>90</v>
      </c>
      <c r="H1242" s="10" t="str">
        <f t="shared" si="39"/>
        <v>Tuesday</v>
      </c>
    </row>
    <row r="1243" spans="1:8">
      <c r="A1243" s="9">
        <v>133514912</v>
      </c>
      <c r="B1243" s="6">
        <v>44971</v>
      </c>
      <c r="C1243" s="6">
        <v>44992</v>
      </c>
      <c r="D1243" s="1" t="s">
        <v>7</v>
      </c>
      <c r="E1243" s="1">
        <v>39</v>
      </c>
      <c r="F1243" s="1" t="s">
        <v>6</v>
      </c>
      <c r="G1243" s="44">
        <f t="shared" si="38"/>
        <v>21</v>
      </c>
      <c r="H1243" s="10" t="str">
        <f t="shared" si="39"/>
        <v>Tuesday</v>
      </c>
    </row>
    <row r="1244" spans="1:8">
      <c r="A1244" s="9">
        <v>203414698</v>
      </c>
      <c r="B1244" s="6">
        <v>44971</v>
      </c>
      <c r="C1244" s="6">
        <v>45011</v>
      </c>
      <c r="D1244" s="1" t="s">
        <v>7</v>
      </c>
      <c r="E1244" s="1">
        <v>39</v>
      </c>
      <c r="F1244" s="1" t="s">
        <v>6</v>
      </c>
      <c r="G1244" s="44">
        <f t="shared" si="38"/>
        <v>40</v>
      </c>
      <c r="H1244" s="10" t="str">
        <f t="shared" si="39"/>
        <v>Tuesday</v>
      </c>
    </row>
    <row r="1245" spans="1:8">
      <c r="A1245" s="9">
        <v>190400854</v>
      </c>
      <c r="B1245" s="6">
        <v>44971</v>
      </c>
      <c r="C1245" s="6">
        <v>45127</v>
      </c>
      <c r="D1245" s="1" t="s">
        <v>7</v>
      </c>
      <c r="E1245" s="1">
        <v>39</v>
      </c>
      <c r="F1245" s="1" t="s">
        <v>6</v>
      </c>
      <c r="G1245" s="44">
        <f t="shared" si="38"/>
        <v>156</v>
      </c>
      <c r="H1245" s="10" t="str">
        <f t="shared" si="39"/>
        <v>Tuesday</v>
      </c>
    </row>
    <row r="1246" spans="1:8">
      <c r="A1246" s="9">
        <v>204114797</v>
      </c>
      <c r="B1246" s="6">
        <v>44971</v>
      </c>
      <c r="C1246" s="6">
        <v>45095</v>
      </c>
      <c r="D1246" s="1" t="s">
        <v>7</v>
      </c>
      <c r="E1246" s="1">
        <v>39</v>
      </c>
      <c r="F1246" s="1" t="s">
        <v>6</v>
      </c>
      <c r="G1246" s="44">
        <f t="shared" si="38"/>
        <v>124</v>
      </c>
      <c r="H1246" s="10" t="str">
        <f t="shared" si="39"/>
        <v>Tuesday</v>
      </c>
    </row>
    <row r="1247" spans="1:8">
      <c r="A1247" s="9">
        <v>202377942</v>
      </c>
      <c r="B1247" s="6">
        <v>44972</v>
      </c>
      <c r="C1247" s="1"/>
      <c r="D1247" s="1" t="s">
        <v>7</v>
      </c>
      <c r="E1247" s="1">
        <v>39</v>
      </c>
      <c r="F1247" s="1" t="s">
        <v>6</v>
      </c>
      <c r="G1247" s="44" t="str">
        <f t="shared" si="38"/>
        <v/>
      </c>
      <c r="H1247" s="10" t="str">
        <f t="shared" si="39"/>
        <v>Wednesday</v>
      </c>
    </row>
    <row r="1248" spans="1:8">
      <c r="A1248" s="9">
        <v>204555612</v>
      </c>
      <c r="B1248" s="6">
        <v>44972</v>
      </c>
      <c r="C1248" s="6">
        <v>44972</v>
      </c>
      <c r="D1248" s="1" t="s">
        <v>8</v>
      </c>
      <c r="E1248" s="1">
        <v>39</v>
      </c>
      <c r="F1248" s="1" t="s">
        <v>6</v>
      </c>
      <c r="G1248" s="44">
        <f t="shared" si="38"/>
        <v>0</v>
      </c>
      <c r="H1248" s="10" t="str">
        <f t="shared" si="39"/>
        <v>Wednesday</v>
      </c>
    </row>
    <row r="1249" spans="1:8">
      <c r="A1249" s="9">
        <v>204556376</v>
      </c>
      <c r="B1249" s="6">
        <v>44972</v>
      </c>
      <c r="C1249" s="6">
        <v>44972</v>
      </c>
      <c r="D1249" s="1" t="s">
        <v>8</v>
      </c>
      <c r="E1249" s="1">
        <v>39</v>
      </c>
      <c r="F1249" s="1" t="s">
        <v>6</v>
      </c>
      <c r="G1249" s="44">
        <f t="shared" si="38"/>
        <v>0</v>
      </c>
      <c r="H1249" s="10" t="str">
        <f t="shared" si="39"/>
        <v>Wednesday</v>
      </c>
    </row>
    <row r="1250" spans="1:8">
      <c r="A1250" s="9">
        <v>204515997</v>
      </c>
      <c r="B1250" s="6">
        <v>44972</v>
      </c>
      <c r="C1250" s="6">
        <v>45091</v>
      </c>
      <c r="D1250" s="1" t="s">
        <v>7</v>
      </c>
      <c r="E1250" s="1">
        <v>39</v>
      </c>
      <c r="F1250" s="1" t="s">
        <v>6</v>
      </c>
      <c r="G1250" s="44">
        <f t="shared" si="38"/>
        <v>119</v>
      </c>
      <c r="H1250" s="10" t="str">
        <f t="shared" si="39"/>
        <v>Wednesday</v>
      </c>
    </row>
    <row r="1251" spans="1:8">
      <c r="A1251" s="9">
        <v>153342734</v>
      </c>
      <c r="B1251" s="6">
        <v>44972</v>
      </c>
      <c r="C1251" s="6">
        <v>45007</v>
      </c>
      <c r="D1251" s="1" t="s">
        <v>7</v>
      </c>
      <c r="E1251" s="1">
        <v>39</v>
      </c>
      <c r="F1251" s="1" t="s">
        <v>6</v>
      </c>
      <c r="G1251" s="44">
        <f t="shared" si="38"/>
        <v>35</v>
      </c>
      <c r="H1251" s="10" t="str">
        <f t="shared" si="39"/>
        <v>Wednesday</v>
      </c>
    </row>
    <row r="1252" spans="1:8">
      <c r="A1252" s="9">
        <v>204650391</v>
      </c>
      <c r="B1252" s="6">
        <v>44973</v>
      </c>
      <c r="C1252" s="1"/>
      <c r="D1252" s="1" t="s">
        <v>7</v>
      </c>
      <c r="E1252" s="1">
        <v>39</v>
      </c>
      <c r="F1252" s="1" t="s">
        <v>6</v>
      </c>
      <c r="G1252" s="44" t="str">
        <f t="shared" si="38"/>
        <v/>
      </c>
      <c r="H1252" s="10" t="str">
        <f t="shared" si="39"/>
        <v>Thursday</v>
      </c>
    </row>
    <row r="1253" spans="1:8">
      <c r="A1253" s="9">
        <v>150906486</v>
      </c>
      <c r="B1253" s="6">
        <v>44973</v>
      </c>
      <c r="C1253" s="6">
        <v>45002</v>
      </c>
      <c r="D1253" s="1" t="s">
        <v>7</v>
      </c>
      <c r="E1253" s="1">
        <v>39</v>
      </c>
      <c r="F1253" s="1" t="s">
        <v>6</v>
      </c>
      <c r="G1253" s="44">
        <f t="shared" si="38"/>
        <v>29</v>
      </c>
      <c r="H1253" s="10" t="str">
        <f t="shared" si="39"/>
        <v>Thursday</v>
      </c>
    </row>
    <row r="1254" spans="1:8">
      <c r="A1254" s="9">
        <v>153961940</v>
      </c>
      <c r="B1254" s="6">
        <v>44973</v>
      </c>
      <c r="C1254" s="6">
        <v>44973</v>
      </c>
      <c r="D1254" s="1" t="s">
        <v>7</v>
      </c>
      <c r="E1254" s="1">
        <v>39</v>
      </c>
      <c r="F1254" s="1" t="s">
        <v>6</v>
      </c>
      <c r="G1254" s="44">
        <f t="shared" si="38"/>
        <v>0</v>
      </c>
      <c r="H1254" s="10" t="str">
        <f t="shared" si="39"/>
        <v>Thursday</v>
      </c>
    </row>
    <row r="1255" spans="1:8">
      <c r="A1255" s="9">
        <v>154175766</v>
      </c>
      <c r="B1255" s="6">
        <v>44973</v>
      </c>
      <c r="C1255" s="6">
        <v>45000</v>
      </c>
      <c r="D1255" s="1" t="s">
        <v>7</v>
      </c>
      <c r="E1255" s="1">
        <v>39</v>
      </c>
      <c r="F1255" s="1" t="s">
        <v>6</v>
      </c>
      <c r="G1255" s="44">
        <f t="shared" si="38"/>
        <v>27</v>
      </c>
      <c r="H1255" s="10" t="str">
        <f t="shared" si="39"/>
        <v>Thursday</v>
      </c>
    </row>
    <row r="1256" spans="1:8">
      <c r="A1256" s="9">
        <v>204631298</v>
      </c>
      <c r="B1256" s="6">
        <v>44973</v>
      </c>
      <c r="C1256" s="6">
        <v>45033</v>
      </c>
      <c r="D1256" s="1" t="s">
        <v>7</v>
      </c>
      <c r="E1256" s="1">
        <v>39</v>
      </c>
      <c r="F1256" s="1" t="s">
        <v>6</v>
      </c>
      <c r="G1256" s="44">
        <f t="shared" si="38"/>
        <v>60</v>
      </c>
      <c r="H1256" s="10" t="str">
        <f t="shared" si="39"/>
        <v>Thursday</v>
      </c>
    </row>
    <row r="1257" spans="1:8">
      <c r="A1257" s="9">
        <v>195534585</v>
      </c>
      <c r="B1257" s="6">
        <v>44973</v>
      </c>
      <c r="C1257" s="6">
        <v>45030</v>
      </c>
      <c r="D1257" s="1" t="s">
        <v>7</v>
      </c>
      <c r="E1257" s="1">
        <v>39</v>
      </c>
      <c r="F1257" s="1" t="s">
        <v>6</v>
      </c>
      <c r="G1257" s="44">
        <f t="shared" si="38"/>
        <v>57</v>
      </c>
      <c r="H1257" s="10" t="str">
        <f t="shared" si="39"/>
        <v>Thursday</v>
      </c>
    </row>
    <row r="1258" spans="1:8">
      <c r="A1258" s="9">
        <v>176421166</v>
      </c>
      <c r="B1258" s="6">
        <v>44973</v>
      </c>
      <c r="C1258" s="6">
        <v>45030</v>
      </c>
      <c r="D1258" s="1" t="s">
        <v>7</v>
      </c>
      <c r="E1258" s="1">
        <v>39</v>
      </c>
      <c r="F1258" s="1" t="s">
        <v>6</v>
      </c>
      <c r="G1258" s="44">
        <f t="shared" si="38"/>
        <v>57</v>
      </c>
      <c r="H1258" s="10" t="str">
        <f t="shared" si="39"/>
        <v>Thursday</v>
      </c>
    </row>
    <row r="1259" spans="1:8">
      <c r="A1259" s="9">
        <v>204679416</v>
      </c>
      <c r="B1259" s="6">
        <v>44973</v>
      </c>
      <c r="C1259" s="6">
        <v>45002</v>
      </c>
      <c r="D1259" s="1" t="s">
        <v>7</v>
      </c>
      <c r="E1259" s="1">
        <v>39</v>
      </c>
      <c r="F1259" s="1" t="s">
        <v>6</v>
      </c>
      <c r="G1259" s="44">
        <f t="shared" si="38"/>
        <v>29</v>
      </c>
      <c r="H1259" s="10" t="str">
        <f t="shared" si="39"/>
        <v>Thursday</v>
      </c>
    </row>
    <row r="1260" spans="1:8">
      <c r="A1260" s="9">
        <v>204448721</v>
      </c>
      <c r="B1260" s="6">
        <v>44973</v>
      </c>
      <c r="C1260" s="6">
        <v>44975</v>
      </c>
      <c r="D1260" s="1" t="s">
        <v>7</v>
      </c>
      <c r="E1260" s="1">
        <v>39</v>
      </c>
      <c r="F1260" s="1" t="s">
        <v>6</v>
      </c>
      <c r="G1260" s="44">
        <f t="shared" si="38"/>
        <v>2</v>
      </c>
      <c r="H1260" s="10" t="str">
        <f t="shared" si="39"/>
        <v>Thursday</v>
      </c>
    </row>
    <row r="1261" spans="1:8">
      <c r="A1261" s="9">
        <v>151908347</v>
      </c>
      <c r="B1261" s="6">
        <v>44973</v>
      </c>
      <c r="C1261" s="6">
        <v>45095</v>
      </c>
      <c r="D1261" s="1" t="s">
        <v>7</v>
      </c>
      <c r="E1261" s="1">
        <v>39</v>
      </c>
      <c r="F1261" s="1" t="s">
        <v>6</v>
      </c>
      <c r="G1261" s="44">
        <f t="shared" si="38"/>
        <v>122</v>
      </c>
      <c r="H1261" s="10" t="str">
        <f t="shared" si="39"/>
        <v>Thursday</v>
      </c>
    </row>
    <row r="1262" spans="1:8">
      <c r="A1262" s="9">
        <v>150652956</v>
      </c>
      <c r="B1262" s="6">
        <v>44974</v>
      </c>
      <c r="C1262" s="6">
        <v>44975</v>
      </c>
      <c r="D1262" s="1" t="s">
        <v>7</v>
      </c>
      <c r="E1262" s="1">
        <v>39</v>
      </c>
      <c r="F1262" s="1" t="s">
        <v>6</v>
      </c>
      <c r="G1262" s="44">
        <f t="shared" si="38"/>
        <v>1</v>
      </c>
      <c r="H1262" s="10" t="str">
        <f t="shared" si="39"/>
        <v>Friday</v>
      </c>
    </row>
    <row r="1263" spans="1:8">
      <c r="A1263" s="9">
        <v>183321644</v>
      </c>
      <c r="B1263" s="6">
        <v>44974</v>
      </c>
      <c r="C1263" s="6">
        <v>44974</v>
      </c>
      <c r="D1263" s="1" t="s">
        <v>8</v>
      </c>
      <c r="E1263" s="1">
        <v>39</v>
      </c>
      <c r="F1263" s="1" t="s">
        <v>6</v>
      </c>
      <c r="G1263" s="44">
        <f t="shared" si="38"/>
        <v>0</v>
      </c>
      <c r="H1263" s="10" t="str">
        <f t="shared" si="39"/>
        <v>Friday</v>
      </c>
    </row>
    <row r="1264" spans="1:8">
      <c r="A1264" s="9">
        <v>204740476</v>
      </c>
      <c r="B1264" s="6">
        <v>44974</v>
      </c>
      <c r="C1264" s="6">
        <v>44999</v>
      </c>
      <c r="D1264" s="1" t="s">
        <v>8</v>
      </c>
      <c r="E1264" s="1">
        <v>39</v>
      </c>
      <c r="F1264" s="1" t="s">
        <v>6</v>
      </c>
      <c r="G1264" s="44">
        <f t="shared" si="38"/>
        <v>25</v>
      </c>
      <c r="H1264" s="10" t="str">
        <f t="shared" si="39"/>
        <v>Friday</v>
      </c>
    </row>
    <row r="1265" spans="1:8">
      <c r="A1265" s="9">
        <v>204439086</v>
      </c>
      <c r="B1265" s="6">
        <v>44974</v>
      </c>
      <c r="C1265" s="6">
        <v>45093</v>
      </c>
      <c r="D1265" s="1" t="s">
        <v>7</v>
      </c>
      <c r="E1265" s="1">
        <v>39</v>
      </c>
      <c r="F1265" s="1" t="s">
        <v>6</v>
      </c>
      <c r="G1265" s="44">
        <f t="shared" si="38"/>
        <v>119</v>
      </c>
      <c r="H1265" s="10" t="str">
        <f t="shared" si="39"/>
        <v>Friday</v>
      </c>
    </row>
    <row r="1266" spans="1:8">
      <c r="A1266" s="9">
        <v>204685109</v>
      </c>
      <c r="B1266" s="6">
        <v>44974</v>
      </c>
      <c r="C1266" s="6">
        <v>45069</v>
      </c>
      <c r="D1266" s="1" t="s">
        <v>7</v>
      </c>
      <c r="E1266" s="1">
        <v>39</v>
      </c>
      <c r="F1266" s="1" t="s">
        <v>6</v>
      </c>
      <c r="G1266" s="44">
        <f t="shared" si="38"/>
        <v>95</v>
      </c>
      <c r="H1266" s="10" t="str">
        <f t="shared" si="39"/>
        <v>Friday</v>
      </c>
    </row>
    <row r="1267" spans="1:8">
      <c r="A1267" s="9">
        <v>175211528</v>
      </c>
      <c r="B1267" s="6">
        <v>44974</v>
      </c>
      <c r="C1267" s="6">
        <v>44980</v>
      </c>
      <c r="D1267" s="1" t="s">
        <v>7</v>
      </c>
      <c r="E1267" s="1">
        <v>39</v>
      </c>
      <c r="F1267" s="1" t="s">
        <v>6</v>
      </c>
      <c r="G1267" s="44">
        <f t="shared" si="38"/>
        <v>6</v>
      </c>
      <c r="H1267" s="10" t="str">
        <f t="shared" si="39"/>
        <v>Friday</v>
      </c>
    </row>
    <row r="1268" spans="1:8">
      <c r="A1268" s="9">
        <v>204646698</v>
      </c>
      <c r="B1268" s="6">
        <v>44974</v>
      </c>
      <c r="C1268" s="6">
        <v>44974</v>
      </c>
      <c r="D1268" s="1" t="s">
        <v>7</v>
      </c>
      <c r="E1268" s="1">
        <v>39</v>
      </c>
      <c r="F1268" s="1" t="s">
        <v>6</v>
      </c>
      <c r="G1268" s="44">
        <f t="shared" si="38"/>
        <v>0</v>
      </c>
      <c r="H1268" s="10" t="str">
        <f t="shared" si="39"/>
        <v>Friday</v>
      </c>
    </row>
    <row r="1269" spans="1:8">
      <c r="A1269" s="9">
        <v>204728203</v>
      </c>
      <c r="B1269" s="6">
        <v>44974</v>
      </c>
      <c r="C1269" s="6">
        <v>45144</v>
      </c>
      <c r="D1269" s="1" t="s">
        <v>7</v>
      </c>
      <c r="E1269" s="1">
        <v>39</v>
      </c>
      <c r="F1269" s="1" t="s">
        <v>6</v>
      </c>
      <c r="G1269" s="44">
        <f t="shared" si="38"/>
        <v>170</v>
      </c>
      <c r="H1269" s="10" t="str">
        <f t="shared" si="39"/>
        <v>Friday</v>
      </c>
    </row>
    <row r="1270" spans="1:8">
      <c r="A1270" s="9">
        <v>166674547</v>
      </c>
      <c r="B1270" s="6">
        <v>44974</v>
      </c>
      <c r="C1270" s="6">
        <v>45099</v>
      </c>
      <c r="D1270" s="1" t="s">
        <v>7</v>
      </c>
      <c r="E1270" s="1">
        <v>39</v>
      </c>
      <c r="F1270" s="1" t="s">
        <v>6</v>
      </c>
      <c r="G1270" s="44">
        <f t="shared" si="38"/>
        <v>125</v>
      </c>
      <c r="H1270" s="10" t="str">
        <f t="shared" si="39"/>
        <v>Friday</v>
      </c>
    </row>
    <row r="1271" spans="1:8">
      <c r="A1271" s="9">
        <v>202459470</v>
      </c>
      <c r="B1271" s="6">
        <v>44975</v>
      </c>
      <c r="C1271" s="1"/>
      <c r="D1271" s="1" t="s">
        <v>7</v>
      </c>
      <c r="E1271" s="1">
        <v>39</v>
      </c>
      <c r="F1271" s="1" t="s">
        <v>6</v>
      </c>
      <c r="G1271" s="44" t="str">
        <f t="shared" si="38"/>
        <v/>
      </c>
      <c r="H1271" s="10" t="str">
        <f t="shared" si="39"/>
        <v>Saturday</v>
      </c>
    </row>
    <row r="1272" spans="1:8">
      <c r="A1272" s="9">
        <v>155508761</v>
      </c>
      <c r="B1272" s="6">
        <v>44975</v>
      </c>
      <c r="C1272" s="1"/>
      <c r="D1272" s="1" t="s">
        <v>7</v>
      </c>
      <c r="E1272" s="1">
        <v>39</v>
      </c>
      <c r="F1272" s="1" t="s">
        <v>6</v>
      </c>
      <c r="G1272" s="44" t="str">
        <f t="shared" si="38"/>
        <v/>
      </c>
      <c r="H1272" s="10" t="str">
        <f t="shared" si="39"/>
        <v>Saturday</v>
      </c>
    </row>
    <row r="1273" spans="1:8">
      <c r="A1273" s="9">
        <v>168484421</v>
      </c>
      <c r="B1273" s="6">
        <v>44975</v>
      </c>
      <c r="C1273" s="6">
        <v>44975</v>
      </c>
      <c r="D1273" s="1" t="s">
        <v>8</v>
      </c>
      <c r="E1273" s="1">
        <v>39</v>
      </c>
      <c r="F1273" s="1" t="s">
        <v>6</v>
      </c>
      <c r="G1273" s="44">
        <f t="shared" si="38"/>
        <v>0</v>
      </c>
      <c r="H1273" s="10" t="str">
        <f t="shared" si="39"/>
        <v>Saturday</v>
      </c>
    </row>
    <row r="1274" spans="1:8">
      <c r="A1274" s="9">
        <v>130864124</v>
      </c>
      <c r="B1274" s="6">
        <v>44975</v>
      </c>
      <c r="C1274" s="6">
        <v>44976</v>
      </c>
      <c r="D1274" s="1" t="s">
        <v>7</v>
      </c>
      <c r="E1274" s="1">
        <v>39</v>
      </c>
      <c r="F1274" s="1" t="s">
        <v>6</v>
      </c>
      <c r="G1274" s="44">
        <f t="shared" si="38"/>
        <v>1</v>
      </c>
      <c r="H1274" s="10" t="str">
        <f t="shared" si="39"/>
        <v>Saturday</v>
      </c>
    </row>
    <row r="1275" spans="1:8">
      <c r="A1275" s="9">
        <v>204752959</v>
      </c>
      <c r="B1275" s="6">
        <v>44975</v>
      </c>
      <c r="C1275" s="6">
        <v>45102</v>
      </c>
      <c r="D1275" s="1" t="s">
        <v>7</v>
      </c>
      <c r="E1275" s="1">
        <v>39</v>
      </c>
      <c r="F1275" s="1" t="s">
        <v>6</v>
      </c>
      <c r="G1275" s="44">
        <f t="shared" si="38"/>
        <v>127</v>
      </c>
      <c r="H1275" s="10" t="str">
        <f t="shared" si="39"/>
        <v>Saturday</v>
      </c>
    </row>
    <row r="1276" spans="1:8">
      <c r="A1276" s="9">
        <v>204761235</v>
      </c>
      <c r="B1276" s="6">
        <v>44975</v>
      </c>
      <c r="C1276" s="6">
        <v>45063</v>
      </c>
      <c r="D1276" s="1" t="s">
        <v>7</v>
      </c>
      <c r="E1276" s="1">
        <v>39</v>
      </c>
      <c r="F1276" s="1" t="s">
        <v>6</v>
      </c>
      <c r="G1276" s="44">
        <f t="shared" si="38"/>
        <v>88</v>
      </c>
      <c r="H1276" s="10" t="str">
        <f t="shared" si="39"/>
        <v>Saturday</v>
      </c>
    </row>
    <row r="1277" spans="1:8">
      <c r="A1277" s="9">
        <v>159142615</v>
      </c>
      <c r="B1277" s="6">
        <v>44975</v>
      </c>
      <c r="C1277" s="6">
        <v>45074</v>
      </c>
      <c r="D1277" s="1" t="s">
        <v>7</v>
      </c>
      <c r="E1277" s="1">
        <v>39</v>
      </c>
      <c r="F1277" s="1" t="s">
        <v>6</v>
      </c>
      <c r="G1277" s="44">
        <f t="shared" si="38"/>
        <v>99</v>
      </c>
      <c r="H1277" s="10" t="str">
        <f t="shared" si="39"/>
        <v>Saturday</v>
      </c>
    </row>
    <row r="1278" spans="1:8">
      <c r="A1278" s="9">
        <v>204753316</v>
      </c>
      <c r="B1278" s="6">
        <v>44975</v>
      </c>
      <c r="C1278" s="6">
        <v>45010</v>
      </c>
      <c r="D1278" s="1" t="s">
        <v>7</v>
      </c>
      <c r="E1278" s="1">
        <v>39</v>
      </c>
      <c r="F1278" s="1" t="s">
        <v>6</v>
      </c>
      <c r="G1278" s="44">
        <f t="shared" si="38"/>
        <v>35</v>
      </c>
      <c r="H1278" s="10" t="str">
        <f t="shared" si="39"/>
        <v>Saturday</v>
      </c>
    </row>
    <row r="1279" spans="1:8">
      <c r="A1279" s="9">
        <v>195188483</v>
      </c>
      <c r="B1279" s="6">
        <v>44976</v>
      </c>
      <c r="C1279" s="1"/>
      <c r="D1279" s="1" t="s">
        <v>7</v>
      </c>
      <c r="E1279" s="1">
        <v>39</v>
      </c>
      <c r="F1279" s="1" t="s">
        <v>6</v>
      </c>
      <c r="G1279" s="44" t="str">
        <f t="shared" si="38"/>
        <v/>
      </c>
      <c r="H1279" s="10" t="str">
        <f t="shared" si="39"/>
        <v>Sunday</v>
      </c>
    </row>
    <row r="1280" spans="1:8">
      <c r="A1280" s="9">
        <v>204773056</v>
      </c>
      <c r="B1280" s="6">
        <v>44976</v>
      </c>
      <c r="C1280" s="1"/>
      <c r="D1280" s="1" t="s">
        <v>7</v>
      </c>
      <c r="E1280" s="1">
        <v>39</v>
      </c>
      <c r="F1280" s="1" t="s">
        <v>6</v>
      </c>
      <c r="G1280" s="44" t="str">
        <f t="shared" si="38"/>
        <v/>
      </c>
      <c r="H1280" s="10" t="str">
        <f t="shared" si="39"/>
        <v>Sunday</v>
      </c>
    </row>
    <row r="1281" spans="1:8">
      <c r="A1281" s="9">
        <v>204814698</v>
      </c>
      <c r="B1281" s="6">
        <v>44976</v>
      </c>
      <c r="C1281" s="6">
        <v>45160</v>
      </c>
      <c r="D1281" s="1" t="s">
        <v>7</v>
      </c>
      <c r="E1281" s="1">
        <v>39</v>
      </c>
      <c r="F1281" s="1" t="s">
        <v>6</v>
      </c>
      <c r="G1281" s="44">
        <f t="shared" si="38"/>
        <v>184</v>
      </c>
      <c r="H1281" s="10" t="str">
        <f t="shared" si="39"/>
        <v>Sunday</v>
      </c>
    </row>
    <row r="1282" spans="1:8">
      <c r="A1282" s="9">
        <v>204732463</v>
      </c>
      <c r="B1282" s="6">
        <v>44976</v>
      </c>
      <c r="C1282" s="6">
        <v>45089</v>
      </c>
      <c r="D1282" s="1" t="s">
        <v>7</v>
      </c>
      <c r="E1282" s="1">
        <v>39</v>
      </c>
      <c r="F1282" s="1" t="s">
        <v>6</v>
      </c>
      <c r="G1282" s="44">
        <f t="shared" si="38"/>
        <v>113</v>
      </c>
      <c r="H1282" s="10" t="str">
        <f t="shared" si="39"/>
        <v>Sunday</v>
      </c>
    </row>
    <row r="1283" spans="1:8">
      <c r="A1283" s="9">
        <v>204772360</v>
      </c>
      <c r="B1283" s="6">
        <v>44976</v>
      </c>
      <c r="C1283" s="6">
        <v>45034</v>
      </c>
      <c r="D1283" s="1" t="s">
        <v>7</v>
      </c>
      <c r="E1283" s="1">
        <v>39</v>
      </c>
      <c r="F1283" s="1" t="s">
        <v>6</v>
      </c>
      <c r="G1283" s="44">
        <f t="shared" ref="G1283:G1346" si="40">IF(C1283="", "", DATEDIF(B1283, C1283, "D"))</f>
        <v>58</v>
      </c>
      <c r="H1283" s="10" t="str">
        <f t="shared" ref="H1283:H1346" si="41">TEXT(B1283, "dddd")</f>
        <v>Sunday</v>
      </c>
    </row>
    <row r="1284" spans="1:8">
      <c r="A1284" s="9">
        <v>204812582</v>
      </c>
      <c r="B1284" s="6">
        <v>44976</v>
      </c>
      <c r="C1284" s="6">
        <v>45023</v>
      </c>
      <c r="D1284" s="1" t="s">
        <v>7</v>
      </c>
      <c r="E1284" s="1">
        <v>39</v>
      </c>
      <c r="F1284" s="1" t="s">
        <v>6</v>
      </c>
      <c r="G1284" s="44">
        <f t="shared" si="40"/>
        <v>47</v>
      </c>
      <c r="H1284" s="10" t="str">
        <f t="shared" si="41"/>
        <v>Sunday</v>
      </c>
    </row>
    <row r="1285" spans="1:8">
      <c r="A1285" s="9">
        <v>204662556</v>
      </c>
      <c r="B1285" s="6">
        <v>44976</v>
      </c>
      <c r="C1285" s="6">
        <v>45018</v>
      </c>
      <c r="D1285" s="1" t="s">
        <v>7</v>
      </c>
      <c r="E1285" s="1">
        <v>39</v>
      </c>
      <c r="F1285" s="1" t="s">
        <v>6</v>
      </c>
      <c r="G1285" s="44">
        <f t="shared" si="40"/>
        <v>42</v>
      </c>
      <c r="H1285" s="10" t="str">
        <f t="shared" si="41"/>
        <v>Sunday</v>
      </c>
    </row>
    <row r="1286" spans="1:8">
      <c r="A1286" s="9">
        <v>163781430</v>
      </c>
      <c r="B1286" s="6">
        <v>44976</v>
      </c>
      <c r="C1286" s="6">
        <v>45042</v>
      </c>
      <c r="D1286" s="1" t="s">
        <v>7</v>
      </c>
      <c r="E1286" s="1">
        <v>39</v>
      </c>
      <c r="F1286" s="1" t="s">
        <v>6</v>
      </c>
      <c r="G1286" s="44">
        <f t="shared" si="40"/>
        <v>66</v>
      </c>
      <c r="H1286" s="10" t="str">
        <f t="shared" si="41"/>
        <v>Sunday</v>
      </c>
    </row>
    <row r="1287" spans="1:8">
      <c r="A1287" s="9">
        <v>143963064</v>
      </c>
      <c r="B1287" s="6">
        <v>44976</v>
      </c>
      <c r="C1287" s="6">
        <v>45125</v>
      </c>
      <c r="D1287" s="1" t="s">
        <v>7</v>
      </c>
      <c r="E1287" s="1">
        <v>39</v>
      </c>
      <c r="F1287" s="1" t="s">
        <v>6</v>
      </c>
      <c r="G1287" s="44">
        <f t="shared" si="40"/>
        <v>149</v>
      </c>
      <c r="H1287" s="10" t="str">
        <f t="shared" si="41"/>
        <v>Sunday</v>
      </c>
    </row>
    <row r="1288" spans="1:8">
      <c r="A1288" s="9">
        <v>204797166</v>
      </c>
      <c r="B1288" s="6">
        <v>44976</v>
      </c>
      <c r="C1288" s="6">
        <v>44991</v>
      </c>
      <c r="D1288" s="1" t="s">
        <v>7</v>
      </c>
      <c r="E1288" s="1">
        <v>39</v>
      </c>
      <c r="F1288" s="1" t="s">
        <v>6</v>
      </c>
      <c r="G1288" s="44">
        <f t="shared" si="40"/>
        <v>15</v>
      </c>
      <c r="H1288" s="10" t="str">
        <f t="shared" si="41"/>
        <v>Sunday</v>
      </c>
    </row>
    <row r="1289" spans="1:8">
      <c r="A1289" s="9">
        <v>204774421</v>
      </c>
      <c r="B1289" s="6">
        <v>44976</v>
      </c>
      <c r="C1289" s="6">
        <v>44999</v>
      </c>
      <c r="D1289" s="1" t="s">
        <v>7</v>
      </c>
      <c r="E1289" s="1">
        <v>39</v>
      </c>
      <c r="F1289" s="1" t="s">
        <v>6</v>
      </c>
      <c r="G1289" s="44">
        <f t="shared" si="40"/>
        <v>23</v>
      </c>
      <c r="H1289" s="10" t="str">
        <f t="shared" si="41"/>
        <v>Sunday</v>
      </c>
    </row>
    <row r="1290" spans="1:8">
      <c r="A1290" s="9">
        <v>204801675</v>
      </c>
      <c r="B1290" s="6">
        <v>44976</v>
      </c>
      <c r="C1290" s="6">
        <v>45007</v>
      </c>
      <c r="D1290" s="1" t="s">
        <v>7</v>
      </c>
      <c r="E1290" s="1">
        <v>39</v>
      </c>
      <c r="F1290" s="1" t="s">
        <v>6</v>
      </c>
      <c r="G1290" s="44">
        <f t="shared" si="40"/>
        <v>31</v>
      </c>
      <c r="H1290" s="10" t="str">
        <f t="shared" si="41"/>
        <v>Sunday</v>
      </c>
    </row>
    <row r="1291" spans="1:8">
      <c r="A1291" s="9">
        <v>204518099</v>
      </c>
      <c r="B1291" s="6">
        <v>44976</v>
      </c>
      <c r="C1291" s="6">
        <v>44981</v>
      </c>
      <c r="D1291" s="1" t="s">
        <v>7</v>
      </c>
      <c r="E1291" s="1">
        <v>39</v>
      </c>
      <c r="F1291" s="1" t="s">
        <v>6</v>
      </c>
      <c r="G1291" s="44">
        <f t="shared" si="40"/>
        <v>5</v>
      </c>
      <c r="H1291" s="10" t="str">
        <f t="shared" si="41"/>
        <v>Sunday</v>
      </c>
    </row>
    <row r="1292" spans="1:8">
      <c r="A1292" s="9">
        <v>204814320</v>
      </c>
      <c r="B1292" s="6">
        <v>44977</v>
      </c>
      <c r="C1292" s="1"/>
      <c r="D1292" s="1" t="s">
        <v>7</v>
      </c>
      <c r="E1292" s="1">
        <v>39</v>
      </c>
      <c r="F1292" s="1" t="s">
        <v>6</v>
      </c>
      <c r="G1292" s="44" t="str">
        <f t="shared" si="40"/>
        <v/>
      </c>
      <c r="H1292" s="10" t="str">
        <f t="shared" si="41"/>
        <v>Monday</v>
      </c>
    </row>
    <row r="1293" spans="1:8">
      <c r="A1293" s="9">
        <v>126851221</v>
      </c>
      <c r="B1293" s="6">
        <v>44977</v>
      </c>
      <c r="C1293" s="1"/>
      <c r="D1293" s="1" t="s">
        <v>7</v>
      </c>
      <c r="E1293" s="1">
        <v>39</v>
      </c>
      <c r="F1293" s="1" t="s">
        <v>6</v>
      </c>
      <c r="G1293" s="44" t="str">
        <f t="shared" si="40"/>
        <v/>
      </c>
      <c r="H1293" s="10" t="str">
        <f t="shared" si="41"/>
        <v>Monday</v>
      </c>
    </row>
    <row r="1294" spans="1:8">
      <c r="A1294" s="9">
        <v>204845935</v>
      </c>
      <c r="B1294" s="6">
        <v>44977</v>
      </c>
      <c r="C1294" s="1"/>
      <c r="D1294" s="1" t="s">
        <v>7</v>
      </c>
      <c r="E1294" s="1">
        <v>39</v>
      </c>
      <c r="F1294" s="1" t="s">
        <v>6</v>
      </c>
      <c r="G1294" s="44" t="str">
        <f t="shared" si="40"/>
        <v/>
      </c>
      <c r="H1294" s="10" t="str">
        <f t="shared" si="41"/>
        <v>Monday</v>
      </c>
    </row>
    <row r="1295" spans="1:8">
      <c r="A1295" s="9">
        <v>122215146</v>
      </c>
      <c r="B1295" s="6">
        <v>44977</v>
      </c>
      <c r="C1295" s="6">
        <v>44978</v>
      </c>
      <c r="D1295" s="1" t="s">
        <v>7</v>
      </c>
      <c r="E1295" s="1">
        <v>39</v>
      </c>
      <c r="F1295" s="1" t="s">
        <v>6</v>
      </c>
      <c r="G1295" s="44">
        <f t="shared" si="40"/>
        <v>1</v>
      </c>
      <c r="H1295" s="10" t="str">
        <f t="shared" si="41"/>
        <v>Monday</v>
      </c>
    </row>
    <row r="1296" spans="1:8">
      <c r="A1296" s="9">
        <v>147300748</v>
      </c>
      <c r="B1296" s="6">
        <v>44977</v>
      </c>
      <c r="C1296" s="6">
        <v>45119</v>
      </c>
      <c r="D1296" s="1" t="s">
        <v>7</v>
      </c>
      <c r="E1296" s="1">
        <v>39</v>
      </c>
      <c r="F1296" s="1" t="s">
        <v>6</v>
      </c>
      <c r="G1296" s="44">
        <f t="shared" si="40"/>
        <v>142</v>
      </c>
      <c r="H1296" s="10" t="str">
        <f t="shared" si="41"/>
        <v>Monday</v>
      </c>
    </row>
    <row r="1297" spans="1:8">
      <c r="A1297" s="9">
        <v>162596645</v>
      </c>
      <c r="B1297" s="6">
        <v>44977</v>
      </c>
      <c r="C1297" s="6">
        <v>45105</v>
      </c>
      <c r="D1297" s="1" t="s">
        <v>7</v>
      </c>
      <c r="E1297" s="1">
        <v>39</v>
      </c>
      <c r="F1297" s="1" t="s">
        <v>6</v>
      </c>
      <c r="G1297" s="44">
        <f t="shared" si="40"/>
        <v>128</v>
      </c>
      <c r="H1297" s="10" t="str">
        <f t="shared" si="41"/>
        <v>Monday</v>
      </c>
    </row>
    <row r="1298" spans="1:8">
      <c r="A1298" s="9">
        <v>177666771</v>
      </c>
      <c r="B1298" s="6">
        <v>44977</v>
      </c>
      <c r="C1298" s="6">
        <v>45089</v>
      </c>
      <c r="D1298" s="1" t="s">
        <v>7</v>
      </c>
      <c r="E1298" s="1">
        <v>39</v>
      </c>
      <c r="F1298" s="1" t="s">
        <v>6</v>
      </c>
      <c r="G1298" s="44">
        <f t="shared" si="40"/>
        <v>112</v>
      </c>
      <c r="H1298" s="10" t="str">
        <f t="shared" si="41"/>
        <v>Monday</v>
      </c>
    </row>
    <row r="1299" spans="1:8">
      <c r="A1299" s="9">
        <v>204884248</v>
      </c>
      <c r="B1299" s="6">
        <v>44977</v>
      </c>
      <c r="C1299" s="6">
        <v>45048</v>
      </c>
      <c r="D1299" s="1" t="s">
        <v>7</v>
      </c>
      <c r="E1299" s="1">
        <v>39</v>
      </c>
      <c r="F1299" s="1" t="s">
        <v>6</v>
      </c>
      <c r="G1299" s="44">
        <f t="shared" si="40"/>
        <v>71</v>
      </c>
      <c r="H1299" s="10" t="str">
        <f t="shared" si="41"/>
        <v>Monday</v>
      </c>
    </row>
    <row r="1300" spans="1:8">
      <c r="A1300" s="9">
        <v>204826054</v>
      </c>
      <c r="B1300" s="6">
        <v>44977</v>
      </c>
      <c r="C1300" s="6">
        <v>45077</v>
      </c>
      <c r="D1300" s="1" t="s">
        <v>7</v>
      </c>
      <c r="E1300" s="1">
        <v>39</v>
      </c>
      <c r="F1300" s="1" t="s">
        <v>6</v>
      </c>
      <c r="G1300" s="44">
        <f t="shared" si="40"/>
        <v>100</v>
      </c>
      <c r="H1300" s="10" t="str">
        <f t="shared" si="41"/>
        <v>Monday</v>
      </c>
    </row>
    <row r="1301" spans="1:8">
      <c r="A1301" s="9">
        <v>145096572</v>
      </c>
      <c r="B1301" s="6">
        <v>44977</v>
      </c>
      <c r="C1301" s="6">
        <v>44999</v>
      </c>
      <c r="D1301" s="1" t="s">
        <v>7</v>
      </c>
      <c r="E1301" s="1">
        <v>39</v>
      </c>
      <c r="F1301" s="1" t="s">
        <v>6</v>
      </c>
      <c r="G1301" s="44">
        <f t="shared" si="40"/>
        <v>22</v>
      </c>
      <c r="H1301" s="10" t="str">
        <f t="shared" si="41"/>
        <v>Monday</v>
      </c>
    </row>
    <row r="1302" spans="1:8">
      <c r="A1302" s="9">
        <v>158472404</v>
      </c>
      <c r="B1302" s="6">
        <v>44977</v>
      </c>
      <c r="C1302" s="6">
        <v>44995</v>
      </c>
      <c r="D1302" s="1" t="s">
        <v>7</v>
      </c>
      <c r="E1302" s="1">
        <v>39</v>
      </c>
      <c r="F1302" s="1" t="s">
        <v>6</v>
      </c>
      <c r="G1302" s="44">
        <f t="shared" si="40"/>
        <v>18</v>
      </c>
      <c r="H1302" s="10" t="str">
        <f t="shared" si="41"/>
        <v>Monday</v>
      </c>
    </row>
    <row r="1303" spans="1:8">
      <c r="A1303" s="9">
        <v>204907118</v>
      </c>
      <c r="B1303" s="6">
        <v>44977</v>
      </c>
      <c r="C1303" s="6">
        <v>45026</v>
      </c>
      <c r="D1303" s="1" t="s">
        <v>7</v>
      </c>
      <c r="E1303" s="1">
        <v>39</v>
      </c>
      <c r="F1303" s="1" t="s">
        <v>6</v>
      </c>
      <c r="G1303" s="44">
        <f t="shared" si="40"/>
        <v>49</v>
      </c>
      <c r="H1303" s="10" t="str">
        <f t="shared" si="41"/>
        <v>Monday</v>
      </c>
    </row>
    <row r="1304" spans="1:8">
      <c r="A1304" s="9">
        <v>204602410</v>
      </c>
      <c r="B1304" s="6">
        <v>44977</v>
      </c>
      <c r="C1304" s="6">
        <v>45005</v>
      </c>
      <c r="D1304" s="1" t="s">
        <v>7</v>
      </c>
      <c r="E1304" s="1">
        <v>39</v>
      </c>
      <c r="F1304" s="1" t="s">
        <v>6</v>
      </c>
      <c r="G1304" s="44">
        <f t="shared" si="40"/>
        <v>28</v>
      </c>
      <c r="H1304" s="10" t="str">
        <f t="shared" si="41"/>
        <v>Monday</v>
      </c>
    </row>
    <row r="1305" spans="1:8">
      <c r="A1305" s="9">
        <v>204853460</v>
      </c>
      <c r="B1305" s="6">
        <v>44977</v>
      </c>
      <c r="C1305" s="6">
        <v>45126</v>
      </c>
      <c r="D1305" s="1" t="s">
        <v>7</v>
      </c>
      <c r="E1305" s="1">
        <v>39</v>
      </c>
      <c r="F1305" s="1" t="s">
        <v>6</v>
      </c>
      <c r="G1305" s="44">
        <f t="shared" si="40"/>
        <v>149</v>
      </c>
      <c r="H1305" s="10" t="str">
        <f t="shared" si="41"/>
        <v>Monday</v>
      </c>
    </row>
    <row r="1306" spans="1:8">
      <c r="A1306" s="9">
        <v>194310997</v>
      </c>
      <c r="B1306" s="6">
        <v>44977</v>
      </c>
      <c r="C1306" s="6">
        <v>45124</v>
      </c>
      <c r="D1306" s="1" t="s">
        <v>7</v>
      </c>
      <c r="E1306" s="1">
        <v>39</v>
      </c>
      <c r="F1306" s="1" t="s">
        <v>6</v>
      </c>
      <c r="G1306" s="44">
        <f t="shared" si="40"/>
        <v>147</v>
      </c>
      <c r="H1306" s="10" t="str">
        <f t="shared" si="41"/>
        <v>Monday</v>
      </c>
    </row>
    <row r="1307" spans="1:8">
      <c r="A1307" s="9">
        <v>204902258</v>
      </c>
      <c r="B1307" s="6">
        <v>44978</v>
      </c>
      <c r="C1307" s="1"/>
      <c r="D1307" s="1" t="s">
        <v>7</v>
      </c>
      <c r="E1307" s="1">
        <v>39</v>
      </c>
      <c r="F1307" s="1" t="s">
        <v>6</v>
      </c>
      <c r="G1307" s="44" t="str">
        <f t="shared" si="40"/>
        <v/>
      </c>
      <c r="H1307" s="10" t="str">
        <f t="shared" si="41"/>
        <v>Tuesday</v>
      </c>
    </row>
    <row r="1308" spans="1:8">
      <c r="A1308" s="9">
        <v>162865034</v>
      </c>
      <c r="B1308" s="6">
        <v>44978</v>
      </c>
      <c r="C1308" s="6">
        <v>45013</v>
      </c>
      <c r="D1308" s="1" t="s">
        <v>7</v>
      </c>
      <c r="E1308" s="1">
        <v>39</v>
      </c>
      <c r="F1308" s="1" t="s">
        <v>6</v>
      </c>
      <c r="G1308" s="44">
        <f t="shared" si="40"/>
        <v>35</v>
      </c>
      <c r="H1308" s="10" t="str">
        <f t="shared" si="41"/>
        <v>Tuesday</v>
      </c>
    </row>
    <row r="1309" spans="1:8">
      <c r="A1309" s="9">
        <v>204467695</v>
      </c>
      <c r="B1309" s="6">
        <v>44978</v>
      </c>
      <c r="C1309" s="6">
        <v>45055</v>
      </c>
      <c r="D1309" s="1" t="s">
        <v>7</v>
      </c>
      <c r="E1309" s="1">
        <v>39</v>
      </c>
      <c r="F1309" s="1" t="s">
        <v>6</v>
      </c>
      <c r="G1309" s="44">
        <f t="shared" si="40"/>
        <v>77</v>
      </c>
      <c r="H1309" s="10" t="str">
        <f t="shared" si="41"/>
        <v>Tuesday</v>
      </c>
    </row>
    <row r="1310" spans="1:8">
      <c r="A1310" s="9">
        <v>204774193</v>
      </c>
      <c r="B1310" s="6">
        <v>44978</v>
      </c>
      <c r="C1310" s="6">
        <v>45076</v>
      </c>
      <c r="D1310" s="1" t="s">
        <v>7</v>
      </c>
      <c r="E1310" s="1">
        <v>39</v>
      </c>
      <c r="F1310" s="1" t="s">
        <v>6</v>
      </c>
      <c r="G1310" s="44">
        <f t="shared" si="40"/>
        <v>98</v>
      </c>
      <c r="H1310" s="10" t="str">
        <f t="shared" si="41"/>
        <v>Tuesday</v>
      </c>
    </row>
    <row r="1311" spans="1:8">
      <c r="A1311" s="9">
        <v>189046085</v>
      </c>
      <c r="B1311" s="6">
        <v>44978</v>
      </c>
      <c r="C1311" s="6">
        <v>45064</v>
      </c>
      <c r="D1311" s="1" t="s">
        <v>7</v>
      </c>
      <c r="E1311" s="1">
        <v>39</v>
      </c>
      <c r="F1311" s="1" t="s">
        <v>6</v>
      </c>
      <c r="G1311" s="44">
        <f t="shared" si="40"/>
        <v>86</v>
      </c>
      <c r="H1311" s="10" t="str">
        <f t="shared" si="41"/>
        <v>Tuesday</v>
      </c>
    </row>
    <row r="1312" spans="1:8">
      <c r="A1312" s="9">
        <v>188082436</v>
      </c>
      <c r="B1312" s="6">
        <v>44978</v>
      </c>
      <c r="C1312" s="6">
        <v>45020</v>
      </c>
      <c r="D1312" s="1" t="s">
        <v>7</v>
      </c>
      <c r="E1312" s="1">
        <v>39</v>
      </c>
      <c r="F1312" s="1" t="s">
        <v>6</v>
      </c>
      <c r="G1312" s="44">
        <f t="shared" si="40"/>
        <v>42</v>
      </c>
      <c r="H1312" s="10" t="str">
        <f t="shared" si="41"/>
        <v>Tuesday</v>
      </c>
    </row>
    <row r="1313" spans="1:8">
      <c r="A1313" s="9">
        <v>204947361</v>
      </c>
      <c r="B1313" s="6">
        <v>44978</v>
      </c>
      <c r="C1313" s="6">
        <v>45021</v>
      </c>
      <c r="D1313" s="1" t="s">
        <v>7</v>
      </c>
      <c r="E1313" s="1">
        <v>39</v>
      </c>
      <c r="F1313" s="1" t="s">
        <v>6</v>
      </c>
      <c r="G1313" s="44">
        <f t="shared" si="40"/>
        <v>43</v>
      </c>
      <c r="H1313" s="10" t="str">
        <f t="shared" si="41"/>
        <v>Tuesday</v>
      </c>
    </row>
    <row r="1314" spans="1:8">
      <c r="A1314" s="9">
        <v>158852962</v>
      </c>
      <c r="B1314" s="6">
        <v>44978</v>
      </c>
      <c r="C1314" s="6">
        <v>45030</v>
      </c>
      <c r="D1314" s="1" t="s">
        <v>7</v>
      </c>
      <c r="E1314" s="1">
        <v>39</v>
      </c>
      <c r="F1314" s="1" t="s">
        <v>6</v>
      </c>
      <c r="G1314" s="44">
        <f t="shared" si="40"/>
        <v>52</v>
      </c>
      <c r="H1314" s="10" t="str">
        <f t="shared" si="41"/>
        <v>Tuesday</v>
      </c>
    </row>
    <row r="1315" spans="1:8">
      <c r="A1315" s="9">
        <v>204742960</v>
      </c>
      <c r="B1315" s="6">
        <v>44978</v>
      </c>
      <c r="C1315" s="6">
        <v>44991</v>
      </c>
      <c r="D1315" s="1" t="s">
        <v>7</v>
      </c>
      <c r="E1315" s="1">
        <v>39</v>
      </c>
      <c r="F1315" s="1" t="s">
        <v>6</v>
      </c>
      <c r="G1315" s="44">
        <f t="shared" si="40"/>
        <v>13</v>
      </c>
      <c r="H1315" s="10" t="str">
        <f t="shared" si="41"/>
        <v>Tuesday</v>
      </c>
    </row>
    <row r="1316" spans="1:8">
      <c r="A1316" s="9">
        <v>204726042</v>
      </c>
      <c r="B1316" s="6">
        <v>44978</v>
      </c>
      <c r="C1316" s="6">
        <v>45002</v>
      </c>
      <c r="D1316" s="1" t="s">
        <v>7</v>
      </c>
      <c r="E1316" s="1">
        <v>39</v>
      </c>
      <c r="F1316" s="1" t="s">
        <v>6</v>
      </c>
      <c r="G1316" s="44">
        <f t="shared" si="40"/>
        <v>24</v>
      </c>
      <c r="H1316" s="10" t="str">
        <f t="shared" si="41"/>
        <v>Tuesday</v>
      </c>
    </row>
    <row r="1317" spans="1:8">
      <c r="A1317" s="9">
        <v>204997225</v>
      </c>
      <c r="B1317" s="6">
        <v>44979</v>
      </c>
      <c r="C1317" s="1"/>
      <c r="D1317" s="1" t="s">
        <v>7</v>
      </c>
      <c r="E1317" s="1">
        <v>39</v>
      </c>
      <c r="F1317" s="1" t="s">
        <v>6</v>
      </c>
      <c r="G1317" s="44" t="str">
        <f t="shared" si="40"/>
        <v/>
      </c>
      <c r="H1317" s="10" t="str">
        <f t="shared" si="41"/>
        <v>Wednesday</v>
      </c>
    </row>
    <row r="1318" spans="1:8">
      <c r="A1318" s="9">
        <v>126103612</v>
      </c>
      <c r="B1318" s="6">
        <v>44979</v>
      </c>
      <c r="C1318" s="1"/>
      <c r="D1318" s="1" t="s">
        <v>7</v>
      </c>
      <c r="E1318" s="1">
        <v>39</v>
      </c>
      <c r="F1318" s="1" t="s">
        <v>6</v>
      </c>
      <c r="G1318" s="44" t="str">
        <f t="shared" si="40"/>
        <v/>
      </c>
      <c r="H1318" s="10" t="str">
        <f t="shared" si="41"/>
        <v>Wednesday</v>
      </c>
    </row>
    <row r="1319" spans="1:8">
      <c r="A1319" s="9">
        <v>204934860</v>
      </c>
      <c r="B1319" s="6">
        <v>44979</v>
      </c>
      <c r="C1319" s="6">
        <v>44980</v>
      </c>
      <c r="D1319" s="1" t="s">
        <v>8</v>
      </c>
      <c r="E1319" s="1">
        <v>39</v>
      </c>
      <c r="F1319" s="1" t="s">
        <v>6</v>
      </c>
      <c r="G1319" s="44">
        <f t="shared" si="40"/>
        <v>1</v>
      </c>
      <c r="H1319" s="10" t="str">
        <f t="shared" si="41"/>
        <v>Wednesday</v>
      </c>
    </row>
    <row r="1320" spans="1:8">
      <c r="A1320" s="9">
        <v>197086298</v>
      </c>
      <c r="B1320" s="6">
        <v>44979</v>
      </c>
      <c r="C1320" s="6">
        <v>45048</v>
      </c>
      <c r="D1320" s="1" t="s">
        <v>7</v>
      </c>
      <c r="E1320" s="1">
        <v>39</v>
      </c>
      <c r="F1320" s="1" t="s">
        <v>6</v>
      </c>
      <c r="G1320" s="44">
        <f t="shared" si="40"/>
        <v>69</v>
      </c>
      <c r="H1320" s="10" t="str">
        <f t="shared" si="41"/>
        <v>Wednesday</v>
      </c>
    </row>
    <row r="1321" spans="1:8">
      <c r="A1321" s="9">
        <v>204732760</v>
      </c>
      <c r="B1321" s="6">
        <v>44979</v>
      </c>
      <c r="C1321" s="6">
        <v>45037</v>
      </c>
      <c r="D1321" s="1" t="s">
        <v>7</v>
      </c>
      <c r="E1321" s="1">
        <v>39</v>
      </c>
      <c r="F1321" s="1" t="s">
        <v>6</v>
      </c>
      <c r="G1321" s="44">
        <f t="shared" si="40"/>
        <v>58</v>
      </c>
      <c r="H1321" s="10" t="str">
        <f t="shared" si="41"/>
        <v>Wednesday</v>
      </c>
    </row>
    <row r="1322" spans="1:8">
      <c r="A1322" s="9">
        <v>204985175</v>
      </c>
      <c r="B1322" s="6">
        <v>44979</v>
      </c>
      <c r="C1322" s="6">
        <v>45029</v>
      </c>
      <c r="D1322" s="1" t="s">
        <v>7</v>
      </c>
      <c r="E1322" s="1">
        <v>39</v>
      </c>
      <c r="F1322" s="1" t="s">
        <v>6</v>
      </c>
      <c r="G1322" s="44">
        <f t="shared" si="40"/>
        <v>50</v>
      </c>
      <c r="H1322" s="10" t="str">
        <f t="shared" si="41"/>
        <v>Wednesday</v>
      </c>
    </row>
    <row r="1323" spans="1:8">
      <c r="A1323" s="9">
        <v>189387698</v>
      </c>
      <c r="B1323" s="6">
        <v>44979</v>
      </c>
      <c r="C1323" s="6">
        <v>45023</v>
      </c>
      <c r="D1323" s="1" t="s">
        <v>7</v>
      </c>
      <c r="E1323" s="1">
        <v>39</v>
      </c>
      <c r="F1323" s="1" t="s">
        <v>6</v>
      </c>
      <c r="G1323" s="44">
        <f t="shared" si="40"/>
        <v>44</v>
      </c>
      <c r="H1323" s="10" t="str">
        <f t="shared" si="41"/>
        <v>Wednesday</v>
      </c>
    </row>
    <row r="1324" spans="1:8">
      <c r="A1324" s="9">
        <v>144160302</v>
      </c>
      <c r="B1324" s="6">
        <v>44979</v>
      </c>
      <c r="C1324" s="6">
        <v>45022</v>
      </c>
      <c r="D1324" s="1" t="s">
        <v>7</v>
      </c>
      <c r="E1324" s="1">
        <v>39</v>
      </c>
      <c r="F1324" s="1" t="s">
        <v>6</v>
      </c>
      <c r="G1324" s="44">
        <f t="shared" si="40"/>
        <v>43</v>
      </c>
      <c r="H1324" s="10" t="str">
        <f t="shared" si="41"/>
        <v>Wednesday</v>
      </c>
    </row>
    <row r="1325" spans="1:8">
      <c r="A1325" s="9">
        <v>195774465</v>
      </c>
      <c r="B1325" s="6">
        <v>44979</v>
      </c>
      <c r="C1325" s="6">
        <v>45045</v>
      </c>
      <c r="D1325" s="1" t="s">
        <v>7</v>
      </c>
      <c r="E1325" s="1">
        <v>39</v>
      </c>
      <c r="F1325" s="1" t="s">
        <v>6</v>
      </c>
      <c r="G1325" s="44">
        <f t="shared" si="40"/>
        <v>66</v>
      </c>
      <c r="H1325" s="10" t="str">
        <f t="shared" si="41"/>
        <v>Wednesday</v>
      </c>
    </row>
    <row r="1326" spans="1:8">
      <c r="A1326" s="9">
        <v>204890622</v>
      </c>
      <c r="B1326" s="6">
        <v>44979</v>
      </c>
      <c r="C1326" s="6">
        <v>45003</v>
      </c>
      <c r="D1326" s="1" t="s">
        <v>7</v>
      </c>
      <c r="E1326" s="1">
        <v>39</v>
      </c>
      <c r="F1326" s="1" t="s">
        <v>6</v>
      </c>
      <c r="G1326" s="44">
        <f t="shared" si="40"/>
        <v>24</v>
      </c>
      <c r="H1326" s="10" t="str">
        <f t="shared" si="41"/>
        <v>Wednesday</v>
      </c>
    </row>
    <row r="1327" spans="1:8">
      <c r="A1327" s="9">
        <v>204206841</v>
      </c>
      <c r="B1327" s="6">
        <v>44979</v>
      </c>
      <c r="C1327" s="6">
        <v>44993</v>
      </c>
      <c r="D1327" s="1" t="s">
        <v>7</v>
      </c>
      <c r="E1327" s="1">
        <v>39</v>
      </c>
      <c r="F1327" s="1" t="s">
        <v>6</v>
      </c>
      <c r="G1327" s="44">
        <f t="shared" si="40"/>
        <v>14</v>
      </c>
      <c r="H1327" s="10" t="str">
        <f t="shared" si="41"/>
        <v>Wednesday</v>
      </c>
    </row>
    <row r="1328" spans="1:8">
      <c r="A1328" s="9">
        <v>204955216</v>
      </c>
      <c r="B1328" s="6">
        <v>44979</v>
      </c>
      <c r="C1328" s="6">
        <v>45005</v>
      </c>
      <c r="D1328" s="1" t="s">
        <v>7</v>
      </c>
      <c r="E1328" s="1">
        <v>39</v>
      </c>
      <c r="F1328" s="1" t="s">
        <v>6</v>
      </c>
      <c r="G1328" s="44">
        <f t="shared" si="40"/>
        <v>26</v>
      </c>
      <c r="H1328" s="10" t="str">
        <f t="shared" si="41"/>
        <v>Wednesday</v>
      </c>
    </row>
    <row r="1329" spans="1:8">
      <c r="A1329" s="9">
        <v>204992891</v>
      </c>
      <c r="B1329" s="6">
        <v>44979</v>
      </c>
      <c r="C1329" s="6">
        <v>45141</v>
      </c>
      <c r="D1329" s="1" t="s">
        <v>7</v>
      </c>
      <c r="E1329" s="1">
        <v>39</v>
      </c>
      <c r="F1329" s="1" t="s">
        <v>6</v>
      </c>
      <c r="G1329" s="44">
        <f t="shared" si="40"/>
        <v>162</v>
      </c>
      <c r="H1329" s="10" t="str">
        <f t="shared" si="41"/>
        <v>Wednesday</v>
      </c>
    </row>
    <row r="1330" spans="1:8">
      <c r="A1330" s="9">
        <v>139152786</v>
      </c>
      <c r="B1330" s="6">
        <v>44980</v>
      </c>
      <c r="C1330" s="1"/>
      <c r="D1330" s="1" t="s">
        <v>7</v>
      </c>
      <c r="E1330" s="1">
        <v>39</v>
      </c>
      <c r="F1330" s="1" t="s">
        <v>6</v>
      </c>
      <c r="G1330" s="44" t="str">
        <f t="shared" si="40"/>
        <v/>
      </c>
      <c r="H1330" s="10" t="str">
        <f t="shared" si="41"/>
        <v>Thursday</v>
      </c>
    </row>
    <row r="1331" spans="1:8">
      <c r="A1331" s="9">
        <v>204753108</v>
      </c>
      <c r="B1331" s="6">
        <v>44980</v>
      </c>
      <c r="C1331" s="1"/>
      <c r="D1331" s="1" t="s">
        <v>7</v>
      </c>
      <c r="E1331" s="1">
        <v>39</v>
      </c>
      <c r="F1331" s="1" t="s">
        <v>6</v>
      </c>
      <c r="G1331" s="44" t="str">
        <f t="shared" si="40"/>
        <v/>
      </c>
      <c r="H1331" s="10" t="str">
        <f t="shared" si="41"/>
        <v>Thursday</v>
      </c>
    </row>
    <row r="1332" spans="1:8">
      <c r="A1332" s="9">
        <v>136703646</v>
      </c>
      <c r="B1332" s="6">
        <v>44980</v>
      </c>
      <c r="C1332" s="6">
        <v>45023</v>
      </c>
      <c r="D1332" s="1" t="s">
        <v>7</v>
      </c>
      <c r="E1332" s="1">
        <v>39</v>
      </c>
      <c r="F1332" s="1" t="s">
        <v>6</v>
      </c>
      <c r="G1332" s="44">
        <f t="shared" si="40"/>
        <v>43</v>
      </c>
      <c r="H1332" s="10" t="str">
        <f t="shared" si="41"/>
        <v>Thursday</v>
      </c>
    </row>
    <row r="1333" spans="1:8">
      <c r="A1333" s="9">
        <v>204294672</v>
      </c>
      <c r="B1333" s="6">
        <v>44980</v>
      </c>
      <c r="C1333" s="6">
        <v>45077</v>
      </c>
      <c r="D1333" s="1" t="s">
        <v>7</v>
      </c>
      <c r="E1333" s="1">
        <v>39</v>
      </c>
      <c r="F1333" s="1" t="s">
        <v>6</v>
      </c>
      <c r="G1333" s="44">
        <f t="shared" si="40"/>
        <v>97</v>
      </c>
      <c r="H1333" s="10" t="str">
        <f t="shared" si="41"/>
        <v>Thursday</v>
      </c>
    </row>
    <row r="1334" spans="1:8">
      <c r="A1334" s="9">
        <v>189505981</v>
      </c>
      <c r="B1334" s="6">
        <v>44980</v>
      </c>
      <c r="C1334" s="6">
        <v>45046</v>
      </c>
      <c r="D1334" s="1" t="s">
        <v>7</v>
      </c>
      <c r="E1334" s="1">
        <v>39</v>
      </c>
      <c r="F1334" s="1" t="s">
        <v>6</v>
      </c>
      <c r="G1334" s="44">
        <f t="shared" si="40"/>
        <v>66</v>
      </c>
      <c r="H1334" s="10" t="str">
        <f t="shared" si="41"/>
        <v>Thursday</v>
      </c>
    </row>
    <row r="1335" spans="1:8">
      <c r="A1335" s="9">
        <v>115899168</v>
      </c>
      <c r="B1335" s="6">
        <v>44980</v>
      </c>
      <c r="C1335" s="6">
        <v>45019</v>
      </c>
      <c r="D1335" s="1" t="s">
        <v>7</v>
      </c>
      <c r="E1335" s="1">
        <v>39</v>
      </c>
      <c r="F1335" s="1" t="s">
        <v>6</v>
      </c>
      <c r="G1335" s="44">
        <f t="shared" si="40"/>
        <v>39</v>
      </c>
      <c r="H1335" s="10" t="str">
        <f t="shared" si="41"/>
        <v>Thursday</v>
      </c>
    </row>
    <row r="1336" spans="1:8">
      <c r="A1336" s="9">
        <v>200117920</v>
      </c>
      <c r="B1336" s="6">
        <v>44980</v>
      </c>
      <c r="C1336" s="6">
        <v>45007</v>
      </c>
      <c r="D1336" s="1" t="s">
        <v>7</v>
      </c>
      <c r="E1336" s="1">
        <v>39</v>
      </c>
      <c r="F1336" s="1" t="s">
        <v>6</v>
      </c>
      <c r="G1336" s="44">
        <f t="shared" si="40"/>
        <v>27</v>
      </c>
      <c r="H1336" s="10" t="str">
        <f t="shared" si="41"/>
        <v>Thursday</v>
      </c>
    </row>
    <row r="1337" spans="1:8">
      <c r="A1337" s="9">
        <v>205057455</v>
      </c>
      <c r="B1337" s="6">
        <v>44980</v>
      </c>
      <c r="C1337" s="6">
        <v>45011</v>
      </c>
      <c r="D1337" s="1" t="s">
        <v>7</v>
      </c>
      <c r="E1337" s="1">
        <v>39</v>
      </c>
      <c r="F1337" s="1" t="s">
        <v>6</v>
      </c>
      <c r="G1337" s="44">
        <f t="shared" si="40"/>
        <v>31</v>
      </c>
      <c r="H1337" s="10" t="str">
        <f t="shared" si="41"/>
        <v>Thursday</v>
      </c>
    </row>
    <row r="1338" spans="1:8">
      <c r="A1338" s="9">
        <v>205028691</v>
      </c>
      <c r="B1338" s="6">
        <v>44980</v>
      </c>
      <c r="C1338" s="6">
        <v>44995</v>
      </c>
      <c r="D1338" s="1" t="s">
        <v>7</v>
      </c>
      <c r="E1338" s="1">
        <v>39</v>
      </c>
      <c r="F1338" s="1" t="s">
        <v>6</v>
      </c>
      <c r="G1338" s="44">
        <f t="shared" si="40"/>
        <v>15</v>
      </c>
      <c r="H1338" s="10" t="str">
        <f t="shared" si="41"/>
        <v>Thursday</v>
      </c>
    </row>
    <row r="1339" spans="1:8">
      <c r="A1339" s="9">
        <v>204857146</v>
      </c>
      <c r="B1339" s="6">
        <v>44980</v>
      </c>
      <c r="C1339" s="6">
        <v>44995</v>
      </c>
      <c r="D1339" s="1" t="s">
        <v>7</v>
      </c>
      <c r="E1339" s="1">
        <v>39</v>
      </c>
      <c r="F1339" s="1" t="s">
        <v>6</v>
      </c>
      <c r="G1339" s="44">
        <f t="shared" si="40"/>
        <v>15</v>
      </c>
      <c r="H1339" s="10" t="str">
        <f t="shared" si="41"/>
        <v>Thursday</v>
      </c>
    </row>
    <row r="1340" spans="1:8">
      <c r="A1340" s="9">
        <v>134131772</v>
      </c>
      <c r="B1340" s="6">
        <v>44981</v>
      </c>
      <c r="C1340" s="6">
        <v>45093</v>
      </c>
      <c r="D1340" s="1" t="s">
        <v>7</v>
      </c>
      <c r="E1340" s="1">
        <v>39</v>
      </c>
      <c r="F1340" s="1" t="s">
        <v>6</v>
      </c>
      <c r="G1340" s="44">
        <f t="shared" si="40"/>
        <v>112</v>
      </c>
      <c r="H1340" s="10" t="str">
        <f t="shared" si="41"/>
        <v>Friday</v>
      </c>
    </row>
    <row r="1341" spans="1:8">
      <c r="A1341" s="9">
        <v>148942254</v>
      </c>
      <c r="B1341" s="6">
        <v>44981</v>
      </c>
      <c r="C1341" s="6">
        <v>45088</v>
      </c>
      <c r="D1341" s="1" t="s">
        <v>7</v>
      </c>
      <c r="E1341" s="1">
        <v>39</v>
      </c>
      <c r="F1341" s="1" t="s">
        <v>6</v>
      </c>
      <c r="G1341" s="44">
        <f t="shared" si="40"/>
        <v>107</v>
      </c>
      <c r="H1341" s="10" t="str">
        <f t="shared" si="41"/>
        <v>Friday</v>
      </c>
    </row>
    <row r="1342" spans="1:8">
      <c r="A1342" s="9">
        <v>204512235</v>
      </c>
      <c r="B1342" s="6">
        <v>44981</v>
      </c>
      <c r="C1342" s="6">
        <v>45093</v>
      </c>
      <c r="D1342" s="1" t="s">
        <v>7</v>
      </c>
      <c r="E1342" s="1">
        <v>39</v>
      </c>
      <c r="F1342" s="1" t="s">
        <v>6</v>
      </c>
      <c r="G1342" s="44">
        <f t="shared" si="40"/>
        <v>112</v>
      </c>
      <c r="H1342" s="10" t="str">
        <f t="shared" si="41"/>
        <v>Friday</v>
      </c>
    </row>
    <row r="1343" spans="1:8">
      <c r="A1343" s="9">
        <v>204977028</v>
      </c>
      <c r="B1343" s="6">
        <v>44981</v>
      </c>
      <c r="C1343" s="6">
        <v>45047</v>
      </c>
      <c r="D1343" s="1" t="s">
        <v>7</v>
      </c>
      <c r="E1343" s="1">
        <v>39</v>
      </c>
      <c r="F1343" s="1" t="s">
        <v>6</v>
      </c>
      <c r="G1343" s="44">
        <f t="shared" si="40"/>
        <v>66</v>
      </c>
      <c r="H1343" s="10" t="str">
        <f t="shared" si="41"/>
        <v>Friday</v>
      </c>
    </row>
    <row r="1344" spans="1:8">
      <c r="A1344" s="9">
        <v>205122220</v>
      </c>
      <c r="B1344" s="6">
        <v>44981</v>
      </c>
      <c r="C1344" s="6">
        <v>45029</v>
      </c>
      <c r="D1344" s="1" t="s">
        <v>7</v>
      </c>
      <c r="E1344" s="1">
        <v>39</v>
      </c>
      <c r="F1344" s="1" t="s">
        <v>6</v>
      </c>
      <c r="G1344" s="44">
        <f t="shared" si="40"/>
        <v>48</v>
      </c>
      <c r="H1344" s="10" t="str">
        <f t="shared" si="41"/>
        <v>Friday</v>
      </c>
    </row>
    <row r="1345" spans="1:8">
      <c r="A1345" s="9">
        <v>179578904</v>
      </c>
      <c r="B1345" s="6">
        <v>44981</v>
      </c>
      <c r="C1345" s="6">
        <v>45034</v>
      </c>
      <c r="D1345" s="1" t="s">
        <v>7</v>
      </c>
      <c r="E1345" s="1">
        <v>39</v>
      </c>
      <c r="F1345" s="1" t="s">
        <v>6</v>
      </c>
      <c r="G1345" s="44">
        <f t="shared" si="40"/>
        <v>53</v>
      </c>
      <c r="H1345" s="10" t="str">
        <f t="shared" si="41"/>
        <v>Friday</v>
      </c>
    </row>
    <row r="1346" spans="1:8">
      <c r="A1346" s="9">
        <v>205120086</v>
      </c>
      <c r="B1346" s="6">
        <v>44981</v>
      </c>
      <c r="C1346" s="6">
        <v>45020</v>
      </c>
      <c r="D1346" s="1" t="s">
        <v>7</v>
      </c>
      <c r="E1346" s="1">
        <v>39</v>
      </c>
      <c r="F1346" s="1" t="s">
        <v>6</v>
      </c>
      <c r="G1346" s="44">
        <f t="shared" si="40"/>
        <v>39</v>
      </c>
      <c r="H1346" s="10" t="str">
        <f t="shared" si="41"/>
        <v>Friday</v>
      </c>
    </row>
    <row r="1347" spans="1:8">
      <c r="A1347" s="9">
        <v>158097854</v>
      </c>
      <c r="B1347" s="6">
        <v>44981</v>
      </c>
      <c r="C1347" s="6">
        <v>45015</v>
      </c>
      <c r="D1347" s="1" t="s">
        <v>7</v>
      </c>
      <c r="E1347" s="1">
        <v>39</v>
      </c>
      <c r="F1347" s="1" t="s">
        <v>6</v>
      </c>
      <c r="G1347" s="44">
        <f t="shared" ref="G1347:G1410" si="42">IF(C1347="", "", DATEDIF(B1347, C1347, "D"))</f>
        <v>34</v>
      </c>
      <c r="H1347" s="10" t="str">
        <f t="shared" ref="H1347:H1410" si="43">TEXT(B1347, "dddd")</f>
        <v>Friday</v>
      </c>
    </row>
    <row r="1348" spans="1:8">
      <c r="A1348" s="9">
        <v>204760569</v>
      </c>
      <c r="B1348" s="6">
        <v>44981</v>
      </c>
      <c r="C1348" s="6">
        <v>45000</v>
      </c>
      <c r="D1348" s="1" t="s">
        <v>7</v>
      </c>
      <c r="E1348" s="1">
        <v>39</v>
      </c>
      <c r="F1348" s="1" t="s">
        <v>6</v>
      </c>
      <c r="G1348" s="44">
        <f t="shared" si="42"/>
        <v>19</v>
      </c>
      <c r="H1348" s="10" t="str">
        <f t="shared" si="43"/>
        <v>Friday</v>
      </c>
    </row>
    <row r="1349" spans="1:8">
      <c r="A1349" s="9">
        <v>204982432</v>
      </c>
      <c r="B1349" s="6">
        <v>44981</v>
      </c>
      <c r="C1349" s="6">
        <v>45016</v>
      </c>
      <c r="D1349" s="1" t="s">
        <v>7</v>
      </c>
      <c r="E1349" s="1">
        <v>39</v>
      </c>
      <c r="F1349" s="1" t="s">
        <v>6</v>
      </c>
      <c r="G1349" s="44">
        <f t="shared" si="42"/>
        <v>35</v>
      </c>
      <c r="H1349" s="10" t="str">
        <f t="shared" si="43"/>
        <v>Friday</v>
      </c>
    </row>
    <row r="1350" spans="1:8">
      <c r="A1350" s="9">
        <v>158351648</v>
      </c>
      <c r="B1350" s="6">
        <v>44981</v>
      </c>
      <c r="C1350" s="6">
        <v>45170</v>
      </c>
      <c r="D1350" s="1" t="s">
        <v>7</v>
      </c>
      <c r="E1350" s="1">
        <v>39</v>
      </c>
      <c r="F1350" s="1" t="s">
        <v>6</v>
      </c>
      <c r="G1350" s="44">
        <f t="shared" si="42"/>
        <v>189</v>
      </c>
      <c r="H1350" s="10" t="str">
        <f t="shared" si="43"/>
        <v>Friday</v>
      </c>
    </row>
    <row r="1351" spans="1:8">
      <c r="A1351" s="9">
        <v>195325206</v>
      </c>
      <c r="B1351" s="6">
        <v>44982</v>
      </c>
      <c r="C1351" s="1"/>
      <c r="D1351" s="1" t="s">
        <v>7</v>
      </c>
      <c r="E1351" s="1">
        <v>39</v>
      </c>
      <c r="F1351" s="1" t="s">
        <v>6</v>
      </c>
      <c r="G1351" s="44" t="str">
        <f t="shared" si="42"/>
        <v/>
      </c>
      <c r="H1351" s="10" t="str">
        <f t="shared" si="43"/>
        <v>Saturday</v>
      </c>
    </row>
    <row r="1352" spans="1:8">
      <c r="A1352" s="9">
        <v>205102955</v>
      </c>
      <c r="B1352" s="6">
        <v>44982</v>
      </c>
      <c r="C1352" s="1"/>
      <c r="D1352" s="1" t="s">
        <v>7</v>
      </c>
      <c r="E1352" s="1">
        <v>39</v>
      </c>
      <c r="F1352" s="1" t="s">
        <v>6</v>
      </c>
      <c r="G1352" s="44" t="str">
        <f t="shared" si="42"/>
        <v/>
      </c>
      <c r="H1352" s="10" t="str">
        <f t="shared" si="43"/>
        <v>Saturday</v>
      </c>
    </row>
    <row r="1353" spans="1:8">
      <c r="A1353" s="9">
        <v>188092110</v>
      </c>
      <c r="B1353" s="6">
        <v>44982</v>
      </c>
      <c r="C1353" s="6">
        <v>45025</v>
      </c>
      <c r="D1353" s="1" t="s">
        <v>7</v>
      </c>
      <c r="E1353" s="1">
        <v>39</v>
      </c>
      <c r="F1353" s="1" t="s">
        <v>6</v>
      </c>
      <c r="G1353" s="44">
        <f t="shared" si="42"/>
        <v>43</v>
      </c>
      <c r="H1353" s="10" t="str">
        <f t="shared" si="43"/>
        <v>Saturday</v>
      </c>
    </row>
    <row r="1354" spans="1:8">
      <c r="A1354" s="9">
        <v>147615998</v>
      </c>
      <c r="B1354" s="6">
        <v>44982</v>
      </c>
      <c r="C1354" s="6">
        <v>45032</v>
      </c>
      <c r="D1354" s="1" t="s">
        <v>7</v>
      </c>
      <c r="E1354" s="1">
        <v>39</v>
      </c>
      <c r="F1354" s="1" t="s">
        <v>6</v>
      </c>
      <c r="G1354" s="44">
        <f t="shared" si="42"/>
        <v>50</v>
      </c>
      <c r="H1354" s="10" t="str">
        <f t="shared" si="43"/>
        <v>Saturday</v>
      </c>
    </row>
    <row r="1355" spans="1:8">
      <c r="A1355" s="9">
        <v>164751472</v>
      </c>
      <c r="B1355" s="6">
        <v>44982</v>
      </c>
      <c r="C1355" s="6">
        <v>45032</v>
      </c>
      <c r="D1355" s="1" t="s">
        <v>7</v>
      </c>
      <c r="E1355" s="1">
        <v>39</v>
      </c>
      <c r="F1355" s="1" t="s">
        <v>6</v>
      </c>
      <c r="G1355" s="44">
        <f t="shared" si="42"/>
        <v>50</v>
      </c>
      <c r="H1355" s="10" t="str">
        <f t="shared" si="43"/>
        <v>Saturday</v>
      </c>
    </row>
    <row r="1356" spans="1:8">
      <c r="A1356" s="9">
        <v>205215538</v>
      </c>
      <c r="B1356" s="6">
        <v>44982</v>
      </c>
      <c r="C1356" s="6">
        <v>44987</v>
      </c>
      <c r="D1356" s="1" t="s">
        <v>7</v>
      </c>
      <c r="E1356" s="1">
        <v>39</v>
      </c>
      <c r="F1356" s="1" t="s">
        <v>6</v>
      </c>
      <c r="G1356" s="44">
        <f t="shared" si="42"/>
        <v>5</v>
      </c>
      <c r="H1356" s="10" t="str">
        <f t="shared" si="43"/>
        <v>Saturday</v>
      </c>
    </row>
    <row r="1357" spans="1:8">
      <c r="A1357" s="9">
        <v>162962849</v>
      </c>
      <c r="B1357" s="6">
        <v>44983</v>
      </c>
      <c r="C1357" s="6">
        <v>45051</v>
      </c>
      <c r="D1357" s="1" t="s">
        <v>7</v>
      </c>
      <c r="E1357" s="1">
        <v>39</v>
      </c>
      <c r="F1357" s="1" t="s">
        <v>6</v>
      </c>
      <c r="G1357" s="44">
        <f t="shared" si="42"/>
        <v>68</v>
      </c>
      <c r="H1357" s="10" t="str">
        <f t="shared" si="43"/>
        <v>Sunday</v>
      </c>
    </row>
    <row r="1358" spans="1:8">
      <c r="A1358" s="9">
        <v>154229833</v>
      </c>
      <c r="B1358" s="6">
        <v>44983</v>
      </c>
      <c r="C1358" s="6">
        <v>44999</v>
      </c>
      <c r="D1358" s="1" t="s">
        <v>7</v>
      </c>
      <c r="E1358" s="1">
        <v>39</v>
      </c>
      <c r="F1358" s="1" t="s">
        <v>6</v>
      </c>
      <c r="G1358" s="44">
        <f t="shared" si="42"/>
        <v>16</v>
      </c>
      <c r="H1358" s="10" t="str">
        <f t="shared" si="43"/>
        <v>Sunday</v>
      </c>
    </row>
    <row r="1359" spans="1:8">
      <c r="A1359" s="9">
        <v>205338718</v>
      </c>
      <c r="B1359" s="6">
        <v>44983</v>
      </c>
      <c r="C1359" s="6">
        <v>45012</v>
      </c>
      <c r="D1359" s="1" t="s">
        <v>7</v>
      </c>
      <c r="E1359" s="1">
        <v>39</v>
      </c>
      <c r="F1359" s="1" t="s">
        <v>6</v>
      </c>
      <c r="G1359" s="44">
        <f t="shared" si="42"/>
        <v>29</v>
      </c>
      <c r="H1359" s="10" t="str">
        <f t="shared" si="43"/>
        <v>Sunday</v>
      </c>
    </row>
    <row r="1360" spans="1:8">
      <c r="A1360" s="9">
        <v>180798046</v>
      </c>
      <c r="B1360" s="6">
        <v>44984</v>
      </c>
      <c r="C1360" s="1"/>
      <c r="D1360" s="1" t="s">
        <v>7</v>
      </c>
      <c r="E1360" s="1">
        <v>39</v>
      </c>
      <c r="F1360" s="1" t="s">
        <v>6</v>
      </c>
      <c r="G1360" s="44" t="str">
        <f t="shared" si="42"/>
        <v/>
      </c>
      <c r="H1360" s="10" t="str">
        <f t="shared" si="43"/>
        <v>Monday</v>
      </c>
    </row>
    <row r="1361" spans="1:8">
      <c r="A1361" s="9">
        <v>135298992</v>
      </c>
      <c r="B1361" s="6">
        <v>44984</v>
      </c>
      <c r="C1361" s="6">
        <v>45004</v>
      </c>
      <c r="D1361" s="1" t="s">
        <v>7</v>
      </c>
      <c r="E1361" s="1">
        <v>39</v>
      </c>
      <c r="F1361" s="1" t="s">
        <v>6</v>
      </c>
      <c r="G1361" s="44">
        <f t="shared" si="42"/>
        <v>20</v>
      </c>
      <c r="H1361" s="10" t="str">
        <f t="shared" si="43"/>
        <v>Monday</v>
      </c>
    </row>
    <row r="1362" spans="1:8">
      <c r="A1362" s="9">
        <v>153141802</v>
      </c>
      <c r="B1362" s="6">
        <v>44984</v>
      </c>
      <c r="C1362" s="6">
        <v>45080</v>
      </c>
      <c r="D1362" s="1" t="s">
        <v>7</v>
      </c>
      <c r="E1362" s="1">
        <v>39</v>
      </c>
      <c r="F1362" s="1" t="s">
        <v>6</v>
      </c>
      <c r="G1362" s="44">
        <f t="shared" si="42"/>
        <v>96</v>
      </c>
      <c r="H1362" s="10" t="str">
        <f t="shared" si="43"/>
        <v>Monday</v>
      </c>
    </row>
    <row r="1363" spans="1:8">
      <c r="A1363" s="9">
        <v>189149014</v>
      </c>
      <c r="B1363" s="6">
        <v>44984</v>
      </c>
      <c r="C1363" s="6">
        <v>45097</v>
      </c>
      <c r="D1363" s="1" t="s">
        <v>7</v>
      </c>
      <c r="E1363" s="1">
        <v>39</v>
      </c>
      <c r="F1363" s="1" t="s">
        <v>6</v>
      </c>
      <c r="G1363" s="44">
        <f t="shared" si="42"/>
        <v>113</v>
      </c>
      <c r="H1363" s="10" t="str">
        <f t="shared" si="43"/>
        <v>Monday</v>
      </c>
    </row>
    <row r="1364" spans="1:8">
      <c r="A1364" s="9">
        <v>180438277</v>
      </c>
      <c r="B1364" s="6">
        <v>44984</v>
      </c>
      <c r="C1364" s="6">
        <v>45065</v>
      </c>
      <c r="D1364" s="1" t="s">
        <v>7</v>
      </c>
      <c r="E1364" s="1">
        <v>39</v>
      </c>
      <c r="F1364" s="1" t="s">
        <v>6</v>
      </c>
      <c r="G1364" s="44">
        <f t="shared" si="42"/>
        <v>81</v>
      </c>
      <c r="H1364" s="10" t="str">
        <f t="shared" si="43"/>
        <v>Monday</v>
      </c>
    </row>
    <row r="1365" spans="1:8">
      <c r="A1365" s="9">
        <v>205471532</v>
      </c>
      <c r="B1365" s="6">
        <v>44984</v>
      </c>
      <c r="C1365" s="6">
        <v>45043</v>
      </c>
      <c r="D1365" s="1" t="s">
        <v>7</v>
      </c>
      <c r="E1365" s="1">
        <v>39</v>
      </c>
      <c r="F1365" s="1" t="s">
        <v>6</v>
      </c>
      <c r="G1365" s="44">
        <f t="shared" si="42"/>
        <v>59</v>
      </c>
      <c r="H1365" s="10" t="str">
        <f t="shared" si="43"/>
        <v>Monday</v>
      </c>
    </row>
    <row r="1366" spans="1:8">
      <c r="A1366" s="9">
        <v>188065488</v>
      </c>
      <c r="B1366" s="6">
        <v>44984</v>
      </c>
      <c r="C1366" s="6">
        <v>45041</v>
      </c>
      <c r="D1366" s="1" t="s">
        <v>7</v>
      </c>
      <c r="E1366" s="1">
        <v>39</v>
      </c>
      <c r="F1366" s="1" t="s">
        <v>6</v>
      </c>
      <c r="G1366" s="44">
        <f t="shared" si="42"/>
        <v>57</v>
      </c>
      <c r="H1366" s="10" t="str">
        <f t="shared" si="43"/>
        <v>Monday</v>
      </c>
    </row>
    <row r="1367" spans="1:8">
      <c r="A1367" s="9">
        <v>205387672</v>
      </c>
      <c r="B1367" s="6">
        <v>44984</v>
      </c>
      <c r="C1367" s="6">
        <v>45025</v>
      </c>
      <c r="D1367" s="1" t="s">
        <v>7</v>
      </c>
      <c r="E1367" s="1">
        <v>39</v>
      </c>
      <c r="F1367" s="1" t="s">
        <v>6</v>
      </c>
      <c r="G1367" s="44">
        <f t="shared" si="42"/>
        <v>41</v>
      </c>
      <c r="H1367" s="10" t="str">
        <f t="shared" si="43"/>
        <v>Monday</v>
      </c>
    </row>
    <row r="1368" spans="1:8">
      <c r="A1368" s="9">
        <v>196251908</v>
      </c>
      <c r="B1368" s="6">
        <v>44984</v>
      </c>
      <c r="C1368" s="6">
        <v>44984</v>
      </c>
      <c r="D1368" s="1" t="s">
        <v>7</v>
      </c>
      <c r="E1368" s="1">
        <v>39</v>
      </c>
      <c r="F1368" s="1" t="s">
        <v>6</v>
      </c>
      <c r="G1368" s="44">
        <f t="shared" si="42"/>
        <v>0</v>
      </c>
      <c r="H1368" s="10" t="str">
        <f t="shared" si="43"/>
        <v>Monday</v>
      </c>
    </row>
    <row r="1369" spans="1:8">
      <c r="A1369" s="9">
        <v>157884031</v>
      </c>
      <c r="B1369" s="6">
        <v>44984</v>
      </c>
      <c r="C1369" s="6">
        <v>45015</v>
      </c>
      <c r="D1369" s="1" t="s">
        <v>7</v>
      </c>
      <c r="E1369" s="1">
        <v>39</v>
      </c>
      <c r="F1369" s="1" t="s">
        <v>6</v>
      </c>
      <c r="G1369" s="44">
        <f t="shared" si="42"/>
        <v>31</v>
      </c>
      <c r="H1369" s="10" t="str">
        <f t="shared" si="43"/>
        <v>Monday</v>
      </c>
    </row>
    <row r="1370" spans="1:8">
      <c r="A1370" s="9">
        <v>204571386</v>
      </c>
      <c r="B1370" s="6">
        <v>44984</v>
      </c>
      <c r="C1370" s="6">
        <v>45008</v>
      </c>
      <c r="D1370" s="1" t="s">
        <v>7</v>
      </c>
      <c r="E1370" s="1">
        <v>39</v>
      </c>
      <c r="F1370" s="1" t="s">
        <v>6</v>
      </c>
      <c r="G1370" s="44">
        <f t="shared" si="42"/>
        <v>24</v>
      </c>
      <c r="H1370" s="10" t="str">
        <f t="shared" si="43"/>
        <v>Monday</v>
      </c>
    </row>
    <row r="1371" spans="1:8">
      <c r="A1371" s="9">
        <v>162909529</v>
      </c>
      <c r="B1371" s="6">
        <v>44984</v>
      </c>
      <c r="C1371" s="6">
        <v>45139</v>
      </c>
      <c r="D1371" s="1" t="s">
        <v>7</v>
      </c>
      <c r="E1371" s="1">
        <v>39</v>
      </c>
      <c r="F1371" s="1" t="s">
        <v>6</v>
      </c>
      <c r="G1371" s="44">
        <f t="shared" si="42"/>
        <v>155</v>
      </c>
      <c r="H1371" s="10" t="str">
        <f t="shared" si="43"/>
        <v>Monday</v>
      </c>
    </row>
    <row r="1372" spans="1:8">
      <c r="A1372" s="9">
        <v>152043244</v>
      </c>
      <c r="B1372" s="6">
        <v>44985</v>
      </c>
      <c r="C1372" s="1"/>
      <c r="D1372" s="1" t="s">
        <v>7</v>
      </c>
      <c r="E1372" s="1">
        <v>39</v>
      </c>
      <c r="F1372" s="1" t="s">
        <v>6</v>
      </c>
      <c r="G1372" s="44" t="str">
        <f t="shared" si="42"/>
        <v/>
      </c>
      <c r="H1372" s="10" t="str">
        <f t="shared" si="43"/>
        <v>Tuesday</v>
      </c>
    </row>
    <row r="1373" spans="1:8">
      <c r="A1373" s="9">
        <v>204567111</v>
      </c>
      <c r="B1373" s="6">
        <v>44985</v>
      </c>
      <c r="C1373" s="1"/>
      <c r="D1373" s="1" t="s">
        <v>7</v>
      </c>
      <c r="E1373" s="1">
        <v>39</v>
      </c>
      <c r="F1373" s="1" t="s">
        <v>6</v>
      </c>
      <c r="G1373" s="44" t="str">
        <f t="shared" si="42"/>
        <v/>
      </c>
      <c r="H1373" s="10" t="str">
        <f t="shared" si="43"/>
        <v>Tuesday</v>
      </c>
    </row>
    <row r="1374" spans="1:8">
      <c r="A1374" s="9">
        <v>205487880</v>
      </c>
      <c r="B1374" s="6">
        <v>44985</v>
      </c>
      <c r="C1374" s="1"/>
      <c r="D1374" s="1" t="s">
        <v>7</v>
      </c>
      <c r="E1374" s="1">
        <v>39</v>
      </c>
      <c r="F1374" s="1" t="s">
        <v>6</v>
      </c>
      <c r="G1374" s="44" t="str">
        <f t="shared" si="42"/>
        <v/>
      </c>
      <c r="H1374" s="10" t="str">
        <f t="shared" si="43"/>
        <v>Tuesday</v>
      </c>
    </row>
    <row r="1375" spans="1:8">
      <c r="A1375" s="9">
        <v>205489808</v>
      </c>
      <c r="B1375" s="6">
        <v>44985</v>
      </c>
      <c r="C1375" s="1"/>
      <c r="D1375" s="1" t="s">
        <v>7</v>
      </c>
      <c r="E1375" s="1">
        <v>39</v>
      </c>
      <c r="F1375" s="1" t="s">
        <v>6</v>
      </c>
      <c r="G1375" s="44" t="str">
        <f t="shared" si="42"/>
        <v/>
      </c>
      <c r="H1375" s="10" t="str">
        <f t="shared" si="43"/>
        <v>Tuesday</v>
      </c>
    </row>
    <row r="1376" spans="1:8">
      <c r="A1376" s="9">
        <v>125828506</v>
      </c>
      <c r="B1376" s="6">
        <v>44985</v>
      </c>
      <c r="C1376" s="6">
        <v>44986</v>
      </c>
      <c r="D1376" s="1" t="s">
        <v>7</v>
      </c>
      <c r="E1376" s="1">
        <v>39</v>
      </c>
      <c r="F1376" s="1" t="s">
        <v>6</v>
      </c>
      <c r="G1376" s="44">
        <f t="shared" si="42"/>
        <v>1</v>
      </c>
      <c r="H1376" s="10" t="str">
        <f t="shared" si="43"/>
        <v>Tuesday</v>
      </c>
    </row>
    <row r="1377" spans="1:8">
      <c r="A1377" s="9">
        <v>154701159</v>
      </c>
      <c r="B1377" s="6">
        <v>44985</v>
      </c>
      <c r="C1377" s="6">
        <v>45012</v>
      </c>
      <c r="D1377" s="1" t="s">
        <v>7</v>
      </c>
      <c r="E1377" s="1">
        <v>39</v>
      </c>
      <c r="F1377" s="1" t="s">
        <v>6</v>
      </c>
      <c r="G1377" s="44">
        <f t="shared" si="42"/>
        <v>27</v>
      </c>
      <c r="H1377" s="10" t="str">
        <f t="shared" si="43"/>
        <v>Tuesday</v>
      </c>
    </row>
    <row r="1378" spans="1:8">
      <c r="A1378" s="9">
        <v>204865394</v>
      </c>
      <c r="B1378" s="6">
        <v>44985</v>
      </c>
      <c r="C1378" s="6">
        <v>45020</v>
      </c>
      <c r="D1378" s="1" t="s">
        <v>7</v>
      </c>
      <c r="E1378" s="1">
        <v>39</v>
      </c>
      <c r="F1378" s="1" t="s">
        <v>6</v>
      </c>
      <c r="G1378" s="44">
        <f t="shared" si="42"/>
        <v>35</v>
      </c>
      <c r="H1378" s="10" t="str">
        <f t="shared" si="43"/>
        <v>Tuesday</v>
      </c>
    </row>
    <row r="1379" spans="1:8">
      <c r="A1379" s="9">
        <v>205044276</v>
      </c>
      <c r="B1379" s="6">
        <v>44985</v>
      </c>
      <c r="C1379" s="6">
        <v>45043</v>
      </c>
      <c r="D1379" s="1" t="s">
        <v>7</v>
      </c>
      <c r="E1379" s="1">
        <v>39</v>
      </c>
      <c r="F1379" s="1" t="s">
        <v>6</v>
      </c>
      <c r="G1379" s="44">
        <f t="shared" si="42"/>
        <v>58</v>
      </c>
      <c r="H1379" s="10" t="str">
        <f t="shared" si="43"/>
        <v>Tuesday</v>
      </c>
    </row>
    <row r="1380" spans="1:8">
      <c r="A1380" s="9">
        <v>194873337</v>
      </c>
      <c r="B1380" s="6">
        <v>44985</v>
      </c>
      <c r="C1380" s="6">
        <v>45034</v>
      </c>
      <c r="D1380" s="1" t="s">
        <v>7</v>
      </c>
      <c r="E1380" s="1">
        <v>39</v>
      </c>
      <c r="F1380" s="1" t="s">
        <v>6</v>
      </c>
      <c r="G1380" s="44">
        <f t="shared" si="42"/>
        <v>49</v>
      </c>
      <c r="H1380" s="10" t="str">
        <f t="shared" si="43"/>
        <v>Tuesday</v>
      </c>
    </row>
    <row r="1381" spans="1:8">
      <c r="A1381" s="9">
        <v>205492734</v>
      </c>
      <c r="B1381" s="6">
        <v>44985</v>
      </c>
      <c r="C1381" s="6">
        <v>45007</v>
      </c>
      <c r="D1381" s="1" t="s">
        <v>7</v>
      </c>
      <c r="E1381" s="1">
        <v>39</v>
      </c>
      <c r="F1381" s="1" t="s">
        <v>6</v>
      </c>
      <c r="G1381" s="44">
        <f t="shared" si="42"/>
        <v>22</v>
      </c>
      <c r="H1381" s="10" t="str">
        <f t="shared" si="43"/>
        <v>Tuesday</v>
      </c>
    </row>
    <row r="1382" spans="1:8">
      <c r="A1382" s="9">
        <v>205548739</v>
      </c>
      <c r="B1382" s="6">
        <v>44986</v>
      </c>
      <c r="C1382" s="1"/>
      <c r="D1382" s="1" t="s">
        <v>7</v>
      </c>
      <c r="E1382" s="1">
        <v>39</v>
      </c>
      <c r="F1382" s="1" t="s">
        <v>6</v>
      </c>
      <c r="G1382" s="44" t="str">
        <f t="shared" si="42"/>
        <v/>
      </c>
      <c r="H1382" s="10" t="str">
        <f t="shared" si="43"/>
        <v>Wednesday</v>
      </c>
    </row>
    <row r="1383" spans="1:8">
      <c r="A1383" s="9">
        <v>202228372</v>
      </c>
      <c r="B1383" s="6">
        <v>44986</v>
      </c>
      <c r="C1383" s="1"/>
      <c r="D1383" s="1" t="s">
        <v>7</v>
      </c>
      <c r="E1383" s="1">
        <v>39</v>
      </c>
      <c r="F1383" s="1" t="s">
        <v>6</v>
      </c>
      <c r="G1383" s="44" t="str">
        <f t="shared" si="42"/>
        <v/>
      </c>
      <c r="H1383" s="10" t="str">
        <f t="shared" si="43"/>
        <v>Wednesday</v>
      </c>
    </row>
    <row r="1384" spans="1:8">
      <c r="A1384" s="9">
        <v>205034931</v>
      </c>
      <c r="B1384" s="6">
        <v>44986</v>
      </c>
      <c r="C1384" s="6">
        <v>44987</v>
      </c>
      <c r="D1384" s="1" t="s">
        <v>8</v>
      </c>
      <c r="E1384" s="1">
        <v>39</v>
      </c>
      <c r="F1384" s="1" t="s">
        <v>6</v>
      </c>
      <c r="G1384" s="44">
        <f t="shared" si="42"/>
        <v>1</v>
      </c>
      <c r="H1384" s="10" t="str">
        <f t="shared" si="43"/>
        <v>Wednesday</v>
      </c>
    </row>
    <row r="1385" spans="1:8">
      <c r="A1385" s="9">
        <v>205129178</v>
      </c>
      <c r="B1385" s="6">
        <v>44986</v>
      </c>
      <c r="C1385" s="6">
        <v>45098</v>
      </c>
      <c r="D1385" s="1" t="s">
        <v>7</v>
      </c>
      <c r="E1385" s="1">
        <v>39</v>
      </c>
      <c r="F1385" s="1" t="s">
        <v>6</v>
      </c>
      <c r="G1385" s="44">
        <f t="shared" si="42"/>
        <v>112</v>
      </c>
      <c r="H1385" s="10" t="str">
        <f t="shared" si="43"/>
        <v>Wednesday</v>
      </c>
    </row>
    <row r="1386" spans="1:8">
      <c r="A1386" s="9">
        <v>160114911</v>
      </c>
      <c r="B1386" s="6">
        <v>44986</v>
      </c>
      <c r="C1386" s="6">
        <v>45024</v>
      </c>
      <c r="D1386" s="1" t="s">
        <v>7</v>
      </c>
      <c r="E1386" s="1">
        <v>39</v>
      </c>
      <c r="F1386" s="1" t="s">
        <v>6</v>
      </c>
      <c r="G1386" s="44">
        <f t="shared" si="42"/>
        <v>38</v>
      </c>
      <c r="H1386" s="10" t="str">
        <f t="shared" si="43"/>
        <v>Wednesday</v>
      </c>
    </row>
    <row r="1387" spans="1:8">
      <c r="A1387" s="9">
        <v>168200039</v>
      </c>
      <c r="B1387" s="6">
        <v>44986</v>
      </c>
      <c r="C1387" s="6">
        <v>45024</v>
      </c>
      <c r="D1387" s="1" t="s">
        <v>7</v>
      </c>
      <c r="E1387" s="1">
        <v>39</v>
      </c>
      <c r="F1387" s="1" t="s">
        <v>6</v>
      </c>
      <c r="G1387" s="44">
        <f t="shared" si="42"/>
        <v>38</v>
      </c>
      <c r="H1387" s="10" t="str">
        <f t="shared" si="43"/>
        <v>Wednesday</v>
      </c>
    </row>
    <row r="1388" spans="1:8">
      <c r="A1388" s="9">
        <v>190622411</v>
      </c>
      <c r="B1388" s="6">
        <v>44986</v>
      </c>
      <c r="C1388" s="6">
        <v>45020</v>
      </c>
      <c r="D1388" s="1" t="s">
        <v>7</v>
      </c>
      <c r="E1388" s="1">
        <v>39</v>
      </c>
      <c r="F1388" s="1" t="s">
        <v>6</v>
      </c>
      <c r="G1388" s="44">
        <f t="shared" si="42"/>
        <v>34</v>
      </c>
      <c r="H1388" s="10" t="str">
        <f t="shared" si="43"/>
        <v>Wednesday</v>
      </c>
    </row>
    <row r="1389" spans="1:8">
      <c r="A1389" s="9">
        <v>204528713</v>
      </c>
      <c r="B1389" s="6">
        <v>44986</v>
      </c>
      <c r="C1389" s="6">
        <v>45034</v>
      </c>
      <c r="D1389" s="1" t="s">
        <v>7</v>
      </c>
      <c r="E1389" s="1">
        <v>39</v>
      </c>
      <c r="F1389" s="1" t="s">
        <v>6</v>
      </c>
      <c r="G1389" s="44">
        <f t="shared" si="42"/>
        <v>48</v>
      </c>
      <c r="H1389" s="10" t="str">
        <f t="shared" si="43"/>
        <v>Wednesday</v>
      </c>
    </row>
    <row r="1390" spans="1:8">
      <c r="A1390" s="9">
        <v>205573796</v>
      </c>
      <c r="B1390" s="6">
        <v>44986</v>
      </c>
      <c r="C1390" s="6">
        <v>45029</v>
      </c>
      <c r="D1390" s="1" t="s">
        <v>7</v>
      </c>
      <c r="E1390" s="1">
        <v>39</v>
      </c>
      <c r="F1390" s="1" t="s">
        <v>6</v>
      </c>
      <c r="G1390" s="44">
        <f t="shared" si="42"/>
        <v>43</v>
      </c>
      <c r="H1390" s="10" t="str">
        <f t="shared" si="43"/>
        <v>Wednesday</v>
      </c>
    </row>
    <row r="1391" spans="1:8">
      <c r="A1391" s="9">
        <v>182009986</v>
      </c>
      <c r="B1391" s="6">
        <v>44986</v>
      </c>
      <c r="C1391" s="6">
        <v>45014</v>
      </c>
      <c r="D1391" s="1" t="s">
        <v>7</v>
      </c>
      <c r="E1391" s="1">
        <v>39</v>
      </c>
      <c r="F1391" s="1" t="s">
        <v>6</v>
      </c>
      <c r="G1391" s="44">
        <f t="shared" si="42"/>
        <v>28</v>
      </c>
      <c r="H1391" s="10" t="str">
        <f t="shared" si="43"/>
        <v>Wednesday</v>
      </c>
    </row>
    <row r="1392" spans="1:8">
      <c r="A1392" s="9">
        <v>205606022</v>
      </c>
      <c r="B1392" s="6">
        <v>44986</v>
      </c>
      <c r="C1392" s="6">
        <v>45006</v>
      </c>
      <c r="D1392" s="1" t="s">
        <v>7</v>
      </c>
      <c r="E1392" s="1">
        <v>39</v>
      </c>
      <c r="F1392" s="1" t="s">
        <v>6</v>
      </c>
      <c r="G1392" s="44">
        <f t="shared" si="42"/>
        <v>20</v>
      </c>
      <c r="H1392" s="10" t="str">
        <f t="shared" si="43"/>
        <v>Wednesday</v>
      </c>
    </row>
    <row r="1393" spans="1:8">
      <c r="A1393" s="9">
        <v>205580089</v>
      </c>
      <c r="B1393" s="6">
        <v>44986</v>
      </c>
      <c r="C1393" s="6">
        <v>45015</v>
      </c>
      <c r="D1393" s="1" t="s">
        <v>7</v>
      </c>
      <c r="E1393" s="1">
        <v>39</v>
      </c>
      <c r="F1393" s="1" t="s">
        <v>6</v>
      </c>
      <c r="G1393" s="44">
        <f t="shared" si="42"/>
        <v>29</v>
      </c>
      <c r="H1393" s="10" t="str">
        <f t="shared" si="43"/>
        <v>Wednesday</v>
      </c>
    </row>
    <row r="1394" spans="1:8">
      <c r="A1394" s="9">
        <v>192949504</v>
      </c>
      <c r="B1394" s="6">
        <v>44986</v>
      </c>
      <c r="C1394" s="6">
        <v>45013</v>
      </c>
      <c r="D1394" s="1" t="s">
        <v>7</v>
      </c>
      <c r="E1394" s="1">
        <v>39</v>
      </c>
      <c r="F1394" s="1" t="s">
        <v>6</v>
      </c>
      <c r="G1394" s="44">
        <f t="shared" si="42"/>
        <v>27</v>
      </c>
      <c r="H1394" s="10" t="str">
        <f t="shared" si="43"/>
        <v>Wednesday</v>
      </c>
    </row>
    <row r="1395" spans="1:8">
      <c r="A1395" s="9">
        <v>205658636</v>
      </c>
      <c r="B1395" s="6">
        <v>44987</v>
      </c>
      <c r="C1395" s="1"/>
      <c r="D1395" s="1" t="s">
        <v>7</v>
      </c>
      <c r="E1395" s="1">
        <v>39</v>
      </c>
      <c r="F1395" s="1" t="s">
        <v>6</v>
      </c>
      <c r="G1395" s="44" t="str">
        <f t="shared" si="42"/>
        <v/>
      </c>
      <c r="H1395" s="10" t="str">
        <f t="shared" si="43"/>
        <v>Thursday</v>
      </c>
    </row>
    <row r="1396" spans="1:8">
      <c r="A1396" s="9">
        <v>205615727</v>
      </c>
      <c r="B1396" s="6">
        <v>44987</v>
      </c>
      <c r="C1396" s="6">
        <v>45103</v>
      </c>
      <c r="D1396" s="1" t="s">
        <v>7</v>
      </c>
      <c r="E1396" s="1">
        <v>39</v>
      </c>
      <c r="F1396" s="1" t="s">
        <v>6</v>
      </c>
      <c r="G1396" s="44">
        <f t="shared" si="42"/>
        <v>116</v>
      </c>
      <c r="H1396" s="10" t="str">
        <f t="shared" si="43"/>
        <v>Thursday</v>
      </c>
    </row>
    <row r="1397" spans="1:8">
      <c r="A1397" s="9">
        <v>205448424</v>
      </c>
      <c r="B1397" s="6">
        <v>44987</v>
      </c>
      <c r="C1397" s="6">
        <v>45076</v>
      </c>
      <c r="D1397" s="1" t="s">
        <v>7</v>
      </c>
      <c r="E1397" s="1">
        <v>39</v>
      </c>
      <c r="F1397" s="1" t="s">
        <v>6</v>
      </c>
      <c r="G1397" s="44">
        <f t="shared" si="42"/>
        <v>89</v>
      </c>
      <c r="H1397" s="10" t="str">
        <f t="shared" si="43"/>
        <v>Thursday</v>
      </c>
    </row>
    <row r="1398" spans="1:8">
      <c r="A1398" s="9">
        <v>196009696</v>
      </c>
      <c r="B1398" s="6">
        <v>44987</v>
      </c>
      <c r="C1398" s="6">
        <v>45048</v>
      </c>
      <c r="D1398" s="1" t="s">
        <v>7</v>
      </c>
      <c r="E1398" s="1">
        <v>39</v>
      </c>
      <c r="F1398" s="1" t="s">
        <v>6</v>
      </c>
      <c r="G1398" s="44">
        <f t="shared" si="42"/>
        <v>61</v>
      </c>
      <c r="H1398" s="10" t="str">
        <f t="shared" si="43"/>
        <v>Thursday</v>
      </c>
    </row>
    <row r="1399" spans="1:8">
      <c r="A1399" s="9">
        <v>205026372</v>
      </c>
      <c r="B1399" s="6">
        <v>44987</v>
      </c>
      <c r="C1399" s="6">
        <v>45048</v>
      </c>
      <c r="D1399" s="1" t="s">
        <v>7</v>
      </c>
      <c r="E1399" s="1">
        <v>39</v>
      </c>
      <c r="F1399" s="1" t="s">
        <v>6</v>
      </c>
      <c r="G1399" s="44">
        <f t="shared" si="42"/>
        <v>61</v>
      </c>
      <c r="H1399" s="10" t="str">
        <f t="shared" si="43"/>
        <v>Thursday</v>
      </c>
    </row>
    <row r="1400" spans="1:8">
      <c r="A1400" s="9">
        <v>167165752</v>
      </c>
      <c r="B1400" s="6">
        <v>44987</v>
      </c>
      <c r="C1400" s="6">
        <v>45076</v>
      </c>
      <c r="D1400" s="1" t="s">
        <v>7</v>
      </c>
      <c r="E1400" s="1">
        <v>39</v>
      </c>
      <c r="F1400" s="1" t="s">
        <v>6</v>
      </c>
      <c r="G1400" s="44">
        <f t="shared" si="42"/>
        <v>89</v>
      </c>
      <c r="H1400" s="10" t="str">
        <f t="shared" si="43"/>
        <v>Thursday</v>
      </c>
    </row>
    <row r="1401" spans="1:8">
      <c r="A1401" s="9">
        <v>205664425</v>
      </c>
      <c r="B1401" s="6">
        <v>44987</v>
      </c>
      <c r="C1401" s="6">
        <v>45041</v>
      </c>
      <c r="D1401" s="1" t="s">
        <v>7</v>
      </c>
      <c r="E1401" s="1">
        <v>39</v>
      </c>
      <c r="F1401" s="1" t="s">
        <v>6</v>
      </c>
      <c r="G1401" s="44">
        <f t="shared" si="42"/>
        <v>54</v>
      </c>
      <c r="H1401" s="10" t="str">
        <f t="shared" si="43"/>
        <v>Thursday</v>
      </c>
    </row>
    <row r="1402" spans="1:8">
      <c r="A1402" s="9">
        <v>199179611</v>
      </c>
      <c r="B1402" s="6">
        <v>44987</v>
      </c>
      <c r="C1402" s="6">
        <v>45039</v>
      </c>
      <c r="D1402" s="1" t="s">
        <v>7</v>
      </c>
      <c r="E1402" s="1">
        <v>39</v>
      </c>
      <c r="F1402" s="1" t="s">
        <v>6</v>
      </c>
      <c r="G1402" s="44">
        <f t="shared" si="42"/>
        <v>52</v>
      </c>
      <c r="H1402" s="10" t="str">
        <f t="shared" si="43"/>
        <v>Thursday</v>
      </c>
    </row>
    <row r="1403" spans="1:8">
      <c r="A1403" s="9">
        <v>205660933</v>
      </c>
      <c r="B1403" s="6">
        <v>44987</v>
      </c>
      <c r="C1403" s="6">
        <v>45018</v>
      </c>
      <c r="D1403" s="1" t="s">
        <v>7</v>
      </c>
      <c r="E1403" s="1">
        <v>39</v>
      </c>
      <c r="F1403" s="1" t="s">
        <v>6</v>
      </c>
      <c r="G1403" s="44">
        <f t="shared" si="42"/>
        <v>31</v>
      </c>
      <c r="H1403" s="10" t="str">
        <f t="shared" si="43"/>
        <v>Thursday</v>
      </c>
    </row>
    <row r="1404" spans="1:8">
      <c r="A1404" s="9">
        <v>205660195</v>
      </c>
      <c r="B1404" s="6">
        <v>44987</v>
      </c>
      <c r="C1404" s="6">
        <v>45019</v>
      </c>
      <c r="D1404" s="1" t="s">
        <v>7</v>
      </c>
      <c r="E1404" s="1">
        <v>39</v>
      </c>
      <c r="F1404" s="1" t="s">
        <v>6</v>
      </c>
      <c r="G1404" s="44">
        <f t="shared" si="42"/>
        <v>32</v>
      </c>
      <c r="H1404" s="10" t="str">
        <f t="shared" si="43"/>
        <v>Thursday</v>
      </c>
    </row>
    <row r="1405" spans="1:8">
      <c r="A1405" s="9">
        <v>168598418</v>
      </c>
      <c r="B1405" s="6">
        <v>44987</v>
      </c>
      <c r="C1405" s="6">
        <v>45038</v>
      </c>
      <c r="D1405" s="1" t="s">
        <v>7</v>
      </c>
      <c r="E1405" s="1">
        <v>39</v>
      </c>
      <c r="F1405" s="1" t="s">
        <v>6</v>
      </c>
      <c r="G1405" s="44">
        <f t="shared" si="42"/>
        <v>51</v>
      </c>
      <c r="H1405" s="10" t="str">
        <f t="shared" si="43"/>
        <v>Thursday</v>
      </c>
    </row>
    <row r="1406" spans="1:8">
      <c r="A1406" s="9">
        <v>161182367</v>
      </c>
      <c r="B1406" s="6">
        <v>44987</v>
      </c>
      <c r="C1406" s="6">
        <v>45025</v>
      </c>
      <c r="D1406" s="1" t="s">
        <v>7</v>
      </c>
      <c r="E1406" s="1">
        <v>39</v>
      </c>
      <c r="F1406" s="1" t="s">
        <v>6</v>
      </c>
      <c r="G1406" s="44">
        <f t="shared" si="42"/>
        <v>38</v>
      </c>
      <c r="H1406" s="10" t="str">
        <f t="shared" si="43"/>
        <v>Thursday</v>
      </c>
    </row>
    <row r="1407" spans="1:8">
      <c r="A1407" s="9">
        <v>156943008</v>
      </c>
      <c r="B1407" s="6">
        <v>44987</v>
      </c>
      <c r="C1407" s="6">
        <v>44987</v>
      </c>
      <c r="D1407" s="1" t="s">
        <v>7</v>
      </c>
      <c r="E1407" s="1">
        <v>39</v>
      </c>
      <c r="F1407" s="1" t="s">
        <v>6</v>
      </c>
      <c r="G1407" s="44">
        <f t="shared" si="42"/>
        <v>0</v>
      </c>
      <c r="H1407" s="10" t="str">
        <f t="shared" si="43"/>
        <v>Thursday</v>
      </c>
    </row>
    <row r="1408" spans="1:8">
      <c r="A1408" s="9">
        <v>190657026</v>
      </c>
      <c r="B1408" s="6">
        <v>44987</v>
      </c>
      <c r="C1408" s="6">
        <v>45014</v>
      </c>
      <c r="D1408" s="1" t="s">
        <v>7</v>
      </c>
      <c r="E1408" s="1">
        <v>39</v>
      </c>
      <c r="F1408" s="1" t="s">
        <v>6</v>
      </c>
      <c r="G1408" s="44">
        <f t="shared" si="42"/>
        <v>27</v>
      </c>
      <c r="H1408" s="10" t="str">
        <f t="shared" si="43"/>
        <v>Thursday</v>
      </c>
    </row>
    <row r="1409" spans="1:8">
      <c r="A1409" s="9">
        <v>205700946</v>
      </c>
      <c r="B1409" s="6">
        <v>44988</v>
      </c>
      <c r="C1409" s="1"/>
      <c r="D1409" s="1" t="s">
        <v>7</v>
      </c>
      <c r="E1409" s="1">
        <v>39</v>
      </c>
      <c r="F1409" s="1" t="s">
        <v>6</v>
      </c>
      <c r="G1409" s="44" t="str">
        <f t="shared" si="42"/>
        <v/>
      </c>
      <c r="H1409" s="10" t="str">
        <f t="shared" si="43"/>
        <v>Friday</v>
      </c>
    </row>
    <row r="1410" spans="1:8">
      <c r="A1410" s="9">
        <v>165807144</v>
      </c>
      <c r="B1410" s="6">
        <v>44988</v>
      </c>
      <c r="C1410" s="1"/>
      <c r="D1410" s="1" t="s">
        <v>7</v>
      </c>
      <c r="E1410" s="1">
        <v>39</v>
      </c>
      <c r="F1410" s="1" t="s">
        <v>6</v>
      </c>
      <c r="G1410" s="44" t="str">
        <f t="shared" si="42"/>
        <v/>
      </c>
      <c r="H1410" s="10" t="str">
        <f t="shared" si="43"/>
        <v>Friday</v>
      </c>
    </row>
    <row r="1411" spans="1:8">
      <c r="A1411" s="9">
        <v>125635419</v>
      </c>
      <c r="B1411" s="6">
        <v>44988</v>
      </c>
      <c r="C1411" s="6">
        <v>44989</v>
      </c>
      <c r="D1411" s="1" t="s">
        <v>7</v>
      </c>
      <c r="E1411" s="1">
        <v>39</v>
      </c>
      <c r="F1411" s="1" t="s">
        <v>6</v>
      </c>
      <c r="G1411" s="44">
        <f t="shared" ref="G1411:G1474" si="44">IF(C1411="", "", DATEDIF(B1411, C1411, "D"))</f>
        <v>1</v>
      </c>
      <c r="H1411" s="10" t="str">
        <f t="shared" ref="H1411:H1474" si="45">TEXT(B1411, "dddd")</f>
        <v>Friday</v>
      </c>
    </row>
    <row r="1412" spans="1:8">
      <c r="A1412" s="9">
        <v>205707486</v>
      </c>
      <c r="B1412" s="6">
        <v>44988</v>
      </c>
      <c r="C1412" s="6">
        <v>44989</v>
      </c>
      <c r="D1412" s="1" t="s">
        <v>8</v>
      </c>
      <c r="E1412" s="1">
        <v>39</v>
      </c>
      <c r="F1412" s="1" t="s">
        <v>6</v>
      </c>
      <c r="G1412" s="44">
        <f t="shared" si="44"/>
        <v>1</v>
      </c>
      <c r="H1412" s="10" t="str">
        <f t="shared" si="45"/>
        <v>Friday</v>
      </c>
    </row>
    <row r="1413" spans="1:8">
      <c r="A1413" s="9">
        <v>150663700</v>
      </c>
      <c r="B1413" s="6">
        <v>44988</v>
      </c>
      <c r="C1413" s="6">
        <v>44989</v>
      </c>
      <c r="D1413" s="1" t="s">
        <v>8</v>
      </c>
      <c r="E1413" s="1">
        <v>39</v>
      </c>
      <c r="F1413" s="1" t="s">
        <v>6</v>
      </c>
      <c r="G1413" s="44">
        <f t="shared" si="44"/>
        <v>1</v>
      </c>
      <c r="H1413" s="10" t="str">
        <f t="shared" si="45"/>
        <v>Friday</v>
      </c>
    </row>
    <row r="1414" spans="1:8">
      <c r="A1414" s="9">
        <v>149157588</v>
      </c>
      <c r="B1414" s="6">
        <v>44988</v>
      </c>
      <c r="C1414" s="6">
        <v>45056</v>
      </c>
      <c r="D1414" s="1" t="s">
        <v>7</v>
      </c>
      <c r="E1414" s="1">
        <v>39</v>
      </c>
      <c r="F1414" s="1" t="s">
        <v>6</v>
      </c>
      <c r="G1414" s="44">
        <f t="shared" si="44"/>
        <v>68</v>
      </c>
      <c r="H1414" s="10" t="str">
        <f t="shared" si="45"/>
        <v>Friday</v>
      </c>
    </row>
    <row r="1415" spans="1:8">
      <c r="A1415" s="9">
        <v>205686881</v>
      </c>
      <c r="B1415" s="6">
        <v>44988</v>
      </c>
      <c r="C1415" s="6">
        <v>45087</v>
      </c>
      <c r="D1415" s="1" t="s">
        <v>7</v>
      </c>
      <c r="E1415" s="1">
        <v>39</v>
      </c>
      <c r="F1415" s="1" t="s">
        <v>6</v>
      </c>
      <c r="G1415" s="44">
        <f t="shared" si="44"/>
        <v>99</v>
      </c>
      <c r="H1415" s="10" t="str">
        <f t="shared" si="45"/>
        <v>Friday</v>
      </c>
    </row>
    <row r="1416" spans="1:8">
      <c r="A1416" s="9">
        <v>138347540</v>
      </c>
      <c r="B1416" s="6">
        <v>44988</v>
      </c>
      <c r="C1416" s="6">
        <v>45054</v>
      </c>
      <c r="D1416" s="1" t="s">
        <v>7</v>
      </c>
      <c r="E1416" s="1">
        <v>39</v>
      </c>
      <c r="F1416" s="1" t="s">
        <v>6</v>
      </c>
      <c r="G1416" s="44">
        <f t="shared" si="44"/>
        <v>66</v>
      </c>
      <c r="H1416" s="10" t="str">
        <f t="shared" si="45"/>
        <v>Friday</v>
      </c>
    </row>
    <row r="1417" spans="1:8">
      <c r="A1417" s="9">
        <v>154344817</v>
      </c>
      <c r="B1417" s="6">
        <v>44988</v>
      </c>
      <c r="C1417" s="6">
        <v>45036</v>
      </c>
      <c r="D1417" s="1" t="s">
        <v>7</v>
      </c>
      <c r="E1417" s="1">
        <v>39</v>
      </c>
      <c r="F1417" s="1" t="s">
        <v>6</v>
      </c>
      <c r="G1417" s="44">
        <f t="shared" si="44"/>
        <v>48</v>
      </c>
      <c r="H1417" s="10" t="str">
        <f t="shared" si="45"/>
        <v>Friday</v>
      </c>
    </row>
    <row r="1418" spans="1:8">
      <c r="A1418" s="9">
        <v>205530810</v>
      </c>
      <c r="B1418" s="6">
        <v>44988</v>
      </c>
      <c r="C1418" s="6">
        <v>45026</v>
      </c>
      <c r="D1418" s="1" t="s">
        <v>7</v>
      </c>
      <c r="E1418" s="1">
        <v>39</v>
      </c>
      <c r="F1418" s="1" t="s">
        <v>6</v>
      </c>
      <c r="G1418" s="44">
        <f t="shared" si="44"/>
        <v>38</v>
      </c>
      <c r="H1418" s="10" t="str">
        <f t="shared" si="45"/>
        <v>Friday</v>
      </c>
    </row>
    <row r="1419" spans="1:8">
      <c r="A1419" s="9">
        <v>205731473</v>
      </c>
      <c r="B1419" s="6">
        <v>44988</v>
      </c>
      <c r="C1419" s="6">
        <v>45004</v>
      </c>
      <c r="D1419" s="1" t="s">
        <v>7</v>
      </c>
      <c r="E1419" s="1">
        <v>39</v>
      </c>
      <c r="F1419" s="1" t="s">
        <v>6</v>
      </c>
      <c r="G1419" s="44">
        <f t="shared" si="44"/>
        <v>16</v>
      </c>
      <c r="H1419" s="10" t="str">
        <f t="shared" si="45"/>
        <v>Friday</v>
      </c>
    </row>
    <row r="1420" spans="1:8">
      <c r="A1420" s="9">
        <v>205692510</v>
      </c>
      <c r="B1420" s="6">
        <v>44989</v>
      </c>
      <c r="C1420" s="1"/>
      <c r="D1420" s="1" t="s">
        <v>7</v>
      </c>
      <c r="E1420" s="1">
        <v>39</v>
      </c>
      <c r="F1420" s="1" t="s">
        <v>6</v>
      </c>
      <c r="G1420" s="44" t="str">
        <f t="shared" si="44"/>
        <v/>
      </c>
      <c r="H1420" s="10" t="str">
        <f t="shared" si="45"/>
        <v>Saturday</v>
      </c>
    </row>
    <row r="1421" spans="1:8">
      <c r="A1421" s="9">
        <v>191670525</v>
      </c>
      <c r="B1421" s="6">
        <v>44989</v>
      </c>
      <c r="C1421" s="6">
        <v>45058</v>
      </c>
      <c r="D1421" s="1" t="s">
        <v>7</v>
      </c>
      <c r="E1421" s="1">
        <v>39</v>
      </c>
      <c r="F1421" s="1" t="s">
        <v>6</v>
      </c>
      <c r="G1421" s="44">
        <f t="shared" si="44"/>
        <v>69</v>
      </c>
      <c r="H1421" s="10" t="str">
        <f t="shared" si="45"/>
        <v>Saturday</v>
      </c>
    </row>
    <row r="1422" spans="1:8">
      <c r="A1422" s="9">
        <v>205492489</v>
      </c>
      <c r="B1422" s="6">
        <v>44989</v>
      </c>
      <c r="C1422" s="6">
        <v>45057</v>
      </c>
      <c r="D1422" s="1" t="s">
        <v>7</v>
      </c>
      <c r="E1422" s="1">
        <v>39</v>
      </c>
      <c r="F1422" s="1" t="s">
        <v>6</v>
      </c>
      <c r="G1422" s="44">
        <f t="shared" si="44"/>
        <v>68</v>
      </c>
      <c r="H1422" s="10" t="str">
        <f t="shared" si="45"/>
        <v>Saturday</v>
      </c>
    </row>
    <row r="1423" spans="1:8">
      <c r="A1423" s="9">
        <v>205026942</v>
      </c>
      <c r="B1423" s="6">
        <v>44989</v>
      </c>
      <c r="C1423" s="6">
        <v>45050</v>
      </c>
      <c r="D1423" s="1" t="s">
        <v>7</v>
      </c>
      <c r="E1423" s="1">
        <v>39</v>
      </c>
      <c r="F1423" s="1" t="s">
        <v>6</v>
      </c>
      <c r="G1423" s="44">
        <f t="shared" si="44"/>
        <v>61</v>
      </c>
      <c r="H1423" s="10" t="str">
        <f t="shared" si="45"/>
        <v>Saturday</v>
      </c>
    </row>
    <row r="1424" spans="1:8">
      <c r="A1424" s="9">
        <v>205768824</v>
      </c>
      <c r="B1424" s="6">
        <v>44989</v>
      </c>
      <c r="C1424" s="6">
        <v>45017</v>
      </c>
      <c r="D1424" s="1" t="s">
        <v>7</v>
      </c>
      <c r="E1424" s="1">
        <v>39</v>
      </c>
      <c r="F1424" s="1" t="s">
        <v>6</v>
      </c>
      <c r="G1424" s="44">
        <f t="shared" si="44"/>
        <v>28</v>
      </c>
      <c r="H1424" s="10" t="str">
        <f t="shared" si="45"/>
        <v>Saturday</v>
      </c>
    </row>
    <row r="1425" spans="1:8">
      <c r="A1425" s="9">
        <v>160824884</v>
      </c>
      <c r="B1425" s="6">
        <v>44989</v>
      </c>
      <c r="C1425" s="6">
        <v>45018</v>
      </c>
      <c r="D1425" s="1" t="s">
        <v>7</v>
      </c>
      <c r="E1425" s="1">
        <v>39</v>
      </c>
      <c r="F1425" s="1" t="s">
        <v>6</v>
      </c>
      <c r="G1425" s="44">
        <f t="shared" si="44"/>
        <v>29</v>
      </c>
      <c r="H1425" s="10" t="str">
        <f t="shared" si="45"/>
        <v>Saturday</v>
      </c>
    </row>
    <row r="1426" spans="1:8">
      <c r="A1426" s="9">
        <v>205742224</v>
      </c>
      <c r="B1426" s="6">
        <v>44989</v>
      </c>
      <c r="C1426" s="6">
        <v>44989</v>
      </c>
      <c r="D1426" s="1" t="s">
        <v>7</v>
      </c>
      <c r="E1426" s="1">
        <v>39</v>
      </c>
      <c r="F1426" s="1" t="s">
        <v>6</v>
      </c>
      <c r="G1426" s="44">
        <f t="shared" si="44"/>
        <v>0</v>
      </c>
      <c r="H1426" s="10" t="str">
        <f t="shared" si="45"/>
        <v>Saturday</v>
      </c>
    </row>
    <row r="1427" spans="1:8">
      <c r="A1427" s="9">
        <v>205804144</v>
      </c>
      <c r="B1427" s="6">
        <v>44990</v>
      </c>
      <c r="C1427" s="6">
        <v>45103</v>
      </c>
      <c r="D1427" s="1" t="s">
        <v>7</v>
      </c>
      <c r="E1427" s="1">
        <v>39</v>
      </c>
      <c r="F1427" s="1" t="s">
        <v>6</v>
      </c>
      <c r="G1427" s="44">
        <f t="shared" si="44"/>
        <v>113</v>
      </c>
      <c r="H1427" s="10" t="str">
        <f t="shared" si="45"/>
        <v>Sunday</v>
      </c>
    </row>
    <row r="1428" spans="1:8">
      <c r="A1428" s="9">
        <v>205703512</v>
      </c>
      <c r="B1428" s="6">
        <v>44990</v>
      </c>
      <c r="C1428" s="6">
        <v>45075</v>
      </c>
      <c r="D1428" s="1" t="s">
        <v>7</v>
      </c>
      <c r="E1428" s="1">
        <v>39</v>
      </c>
      <c r="F1428" s="1" t="s">
        <v>6</v>
      </c>
      <c r="G1428" s="44">
        <f t="shared" si="44"/>
        <v>85</v>
      </c>
      <c r="H1428" s="10" t="str">
        <f t="shared" si="45"/>
        <v>Sunday</v>
      </c>
    </row>
    <row r="1429" spans="1:8">
      <c r="A1429" s="9">
        <v>131181843</v>
      </c>
      <c r="B1429" s="6">
        <v>44990</v>
      </c>
      <c r="C1429" s="6">
        <v>44990</v>
      </c>
      <c r="D1429" s="1" t="s">
        <v>7</v>
      </c>
      <c r="E1429" s="1">
        <v>39</v>
      </c>
      <c r="F1429" s="1" t="s">
        <v>6</v>
      </c>
      <c r="G1429" s="44">
        <f t="shared" si="44"/>
        <v>0</v>
      </c>
      <c r="H1429" s="10" t="str">
        <f t="shared" si="45"/>
        <v>Sunday</v>
      </c>
    </row>
    <row r="1430" spans="1:8">
      <c r="A1430" s="9">
        <v>205713052</v>
      </c>
      <c r="B1430" s="6">
        <v>44991</v>
      </c>
      <c r="C1430" s="1"/>
      <c r="D1430" s="1" t="s">
        <v>7</v>
      </c>
      <c r="E1430" s="1">
        <v>39</v>
      </c>
      <c r="F1430" s="1" t="s">
        <v>6</v>
      </c>
      <c r="G1430" s="44" t="str">
        <f t="shared" si="44"/>
        <v/>
      </c>
      <c r="H1430" s="10" t="str">
        <f t="shared" si="45"/>
        <v>Monday</v>
      </c>
    </row>
    <row r="1431" spans="1:8">
      <c r="A1431" s="9">
        <v>138121122</v>
      </c>
      <c r="B1431" s="6">
        <v>44991</v>
      </c>
      <c r="C1431" s="1"/>
      <c r="D1431" s="1" t="s">
        <v>7</v>
      </c>
      <c r="E1431" s="1">
        <v>39</v>
      </c>
      <c r="F1431" s="1" t="s">
        <v>6</v>
      </c>
      <c r="G1431" s="44" t="str">
        <f t="shared" si="44"/>
        <v/>
      </c>
      <c r="H1431" s="10" t="str">
        <f t="shared" si="45"/>
        <v>Monday</v>
      </c>
    </row>
    <row r="1432" spans="1:8">
      <c r="A1432" s="9">
        <v>191326286</v>
      </c>
      <c r="B1432" s="6">
        <v>44991</v>
      </c>
      <c r="C1432" s="1"/>
      <c r="D1432" s="1" t="s">
        <v>7</v>
      </c>
      <c r="E1432" s="1">
        <v>39</v>
      </c>
      <c r="F1432" s="1" t="s">
        <v>6</v>
      </c>
      <c r="G1432" s="44" t="str">
        <f t="shared" si="44"/>
        <v/>
      </c>
      <c r="H1432" s="10" t="str">
        <f t="shared" si="45"/>
        <v>Monday</v>
      </c>
    </row>
    <row r="1433" spans="1:8">
      <c r="A1433" s="9">
        <v>178838732</v>
      </c>
      <c r="B1433" s="6">
        <v>44991</v>
      </c>
      <c r="C1433" s="1"/>
      <c r="D1433" s="1" t="s">
        <v>7</v>
      </c>
      <c r="E1433" s="1">
        <v>39</v>
      </c>
      <c r="F1433" s="1" t="s">
        <v>6</v>
      </c>
      <c r="G1433" s="44" t="str">
        <f t="shared" si="44"/>
        <v/>
      </c>
      <c r="H1433" s="10" t="str">
        <f t="shared" si="45"/>
        <v>Monday</v>
      </c>
    </row>
    <row r="1434" spans="1:8">
      <c r="A1434" s="9">
        <v>205871342</v>
      </c>
      <c r="B1434" s="6">
        <v>44991</v>
      </c>
      <c r="C1434" s="1"/>
      <c r="D1434" s="1" t="s">
        <v>7</v>
      </c>
      <c r="E1434" s="1">
        <v>39</v>
      </c>
      <c r="F1434" s="1" t="s">
        <v>6</v>
      </c>
      <c r="G1434" s="44" t="str">
        <f t="shared" si="44"/>
        <v/>
      </c>
      <c r="H1434" s="10" t="str">
        <f t="shared" si="45"/>
        <v>Monday</v>
      </c>
    </row>
    <row r="1435" spans="1:8">
      <c r="A1435" s="9">
        <v>202160641</v>
      </c>
      <c r="B1435" s="6">
        <v>44991</v>
      </c>
      <c r="C1435" s="6">
        <v>45082</v>
      </c>
      <c r="D1435" s="1" t="s">
        <v>7</v>
      </c>
      <c r="E1435" s="1">
        <v>39</v>
      </c>
      <c r="F1435" s="1" t="s">
        <v>6</v>
      </c>
      <c r="G1435" s="44">
        <f t="shared" si="44"/>
        <v>91</v>
      </c>
      <c r="H1435" s="10" t="str">
        <f t="shared" si="45"/>
        <v>Monday</v>
      </c>
    </row>
    <row r="1436" spans="1:8">
      <c r="A1436" s="9">
        <v>205786362</v>
      </c>
      <c r="B1436" s="6">
        <v>44991</v>
      </c>
      <c r="C1436" s="6">
        <v>45072</v>
      </c>
      <c r="D1436" s="1" t="s">
        <v>7</v>
      </c>
      <c r="E1436" s="1">
        <v>39</v>
      </c>
      <c r="F1436" s="1" t="s">
        <v>6</v>
      </c>
      <c r="G1436" s="44">
        <f t="shared" si="44"/>
        <v>81</v>
      </c>
      <c r="H1436" s="10" t="str">
        <f t="shared" si="45"/>
        <v>Monday</v>
      </c>
    </row>
    <row r="1437" spans="1:8">
      <c r="A1437" s="9">
        <v>159798906</v>
      </c>
      <c r="B1437" s="6">
        <v>44991</v>
      </c>
      <c r="C1437" s="6">
        <v>45023</v>
      </c>
      <c r="D1437" s="1" t="s">
        <v>7</v>
      </c>
      <c r="E1437" s="1">
        <v>39</v>
      </c>
      <c r="F1437" s="1" t="s">
        <v>6</v>
      </c>
      <c r="G1437" s="44">
        <f t="shared" si="44"/>
        <v>32</v>
      </c>
      <c r="H1437" s="10" t="str">
        <f t="shared" si="45"/>
        <v>Monday</v>
      </c>
    </row>
    <row r="1438" spans="1:8">
      <c r="A1438" s="9">
        <v>166276152</v>
      </c>
      <c r="B1438" s="6">
        <v>44991</v>
      </c>
      <c r="C1438" s="6">
        <v>45019</v>
      </c>
      <c r="D1438" s="1" t="s">
        <v>7</v>
      </c>
      <c r="E1438" s="1">
        <v>39</v>
      </c>
      <c r="F1438" s="1" t="s">
        <v>6</v>
      </c>
      <c r="G1438" s="44">
        <f t="shared" si="44"/>
        <v>28</v>
      </c>
      <c r="H1438" s="10" t="str">
        <f t="shared" si="45"/>
        <v>Monday</v>
      </c>
    </row>
    <row r="1439" spans="1:8">
      <c r="A1439" s="9">
        <v>156353738</v>
      </c>
      <c r="B1439" s="6">
        <v>44991</v>
      </c>
      <c r="C1439" s="6">
        <v>44998</v>
      </c>
      <c r="D1439" s="1" t="s">
        <v>7</v>
      </c>
      <c r="E1439" s="1">
        <v>39</v>
      </c>
      <c r="F1439" s="1" t="s">
        <v>6</v>
      </c>
      <c r="G1439" s="44">
        <f t="shared" si="44"/>
        <v>7</v>
      </c>
      <c r="H1439" s="10" t="str">
        <f t="shared" si="45"/>
        <v>Monday</v>
      </c>
    </row>
    <row r="1440" spans="1:8">
      <c r="A1440" s="9">
        <v>205864612</v>
      </c>
      <c r="B1440" s="6">
        <v>44991</v>
      </c>
      <c r="C1440" s="6">
        <v>45003</v>
      </c>
      <c r="D1440" s="1" t="s">
        <v>7</v>
      </c>
      <c r="E1440" s="1">
        <v>39</v>
      </c>
      <c r="F1440" s="1" t="s">
        <v>6</v>
      </c>
      <c r="G1440" s="44">
        <f t="shared" si="44"/>
        <v>12</v>
      </c>
      <c r="H1440" s="10" t="str">
        <f t="shared" si="45"/>
        <v>Monday</v>
      </c>
    </row>
    <row r="1441" spans="1:8">
      <c r="A1441" s="9">
        <v>142757196</v>
      </c>
      <c r="B1441" s="6">
        <v>44992</v>
      </c>
      <c r="C1441" s="6">
        <v>45116</v>
      </c>
      <c r="D1441" s="1" t="s">
        <v>7</v>
      </c>
      <c r="E1441" s="1">
        <v>39</v>
      </c>
      <c r="F1441" s="1" t="s">
        <v>6</v>
      </c>
      <c r="G1441" s="44">
        <f t="shared" si="44"/>
        <v>124</v>
      </c>
      <c r="H1441" s="10" t="str">
        <f t="shared" si="45"/>
        <v>Tuesday</v>
      </c>
    </row>
    <row r="1442" spans="1:8">
      <c r="A1442" s="9">
        <v>205971108</v>
      </c>
      <c r="B1442" s="6">
        <v>44992</v>
      </c>
      <c r="C1442" s="6">
        <v>45099</v>
      </c>
      <c r="D1442" s="1" t="s">
        <v>7</v>
      </c>
      <c r="E1442" s="1">
        <v>39</v>
      </c>
      <c r="F1442" s="1" t="s">
        <v>6</v>
      </c>
      <c r="G1442" s="44">
        <f t="shared" si="44"/>
        <v>107</v>
      </c>
      <c r="H1442" s="10" t="str">
        <f t="shared" si="45"/>
        <v>Tuesday</v>
      </c>
    </row>
    <row r="1443" spans="1:8">
      <c r="A1443" s="9">
        <v>206001231</v>
      </c>
      <c r="B1443" s="6">
        <v>44992</v>
      </c>
      <c r="C1443" s="6">
        <v>45077</v>
      </c>
      <c r="D1443" s="1" t="s">
        <v>7</v>
      </c>
      <c r="E1443" s="1">
        <v>39</v>
      </c>
      <c r="F1443" s="1" t="s">
        <v>6</v>
      </c>
      <c r="G1443" s="44">
        <f t="shared" si="44"/>
        <v>85</v>
      </c>
      <c r="H1443" s="10" t="str">
        <f t="shared" si="45"/>
        <v>Tuesday</v>
      </c>
    </row>
    <row r="1444" spans="1:8">
      <c r="A1444" s="9">
        <v>205878686</v>
      </c>
      <c r="B1444" s="6">
        <v>44992</v>
      </c>
      <c r="C1444" s="6">
        <v>44992</v>
      </c>
      <c r="D1444" s="1" t="s">
        <v>7</v>
      </c>
      <c r="E1444" s="1">
        <v>39</v>
      </c>
      <c r="F1444" s="1" t="s">
        <v>6</v>
      </c>
      <c r="G1444" s="44">
        <f t="shared" si="44"/>
        <v>0</v>
      </c>
      <c r="H1444" s="10" t="str">
        <f t="shared" si="45"/>
        <v>Tuesday</v>
      </c>
    </row>
    <row r="1445" spans="1:8">
      <c r="A1445" s="9">
        <v>206052140</v>
      </c>
      <c r="B1445" s="6">
        <v>44993</v>
      </c>
      <c r="C1445" s="1"/>
      <c r="D1445" s="1" t="s">
        <v>7</v>
      </c>
      <c r="E1445" s="1">
        <v>39</v>
      </c>
      <c r="F1445" s="1" t="s">
        <v>6</v>
      </c>
      <c r="G1445" s="44" t="str">
        <f t="shared" si="44"/>
        <v/>
      </c>
      <c r="H1445" s="10" t="str">
        <f t="shared" si="45"/>
        <v>Wednesday</v>
      </c>
    </row>
    <row r="1446" spans="1:8">
      <c r="A1446" s="9">
        <v>154082747</v>
      </c>
      <c r="B1446" s="6">
        <v>44993</v>
      </c>
      <c r="C1446" s="6">
        <v>44994</v>
      </c>
      <c r="D1446" s="1" t="s">
        <v>7</v>
      </c>
      <c r="E1446" s="1">
        <v>39</v>
      </c>
      <c r="F1446" s="1" t="s">
        <v>6</v>
      </c>
      <c r="G1446" s="44">
        <f t="shared" si="44"/>
        <v>1</v>
      </c>
      <c r="H1446" s="10" t="str">
        <f t="shared" si="45"/>
        <v>Wednesday</v>
      </c>
    </row>
    <row r="1447" spans="1:8">
      <c r="A1447" s="9">
        <v>206017161</v>
      </c>
      <c r="B1447" s="6">
        <v>44993</v>
      </c>
      <c r="C1447" s="6">
        <v>44994</v>
      </c>
      <c r="D1447" s="1" t="s">
        <v>8</v>
      </c>
      <c r="E1447" s="1">
        <v>39</v>
      </c>
      <c r="F1447" s="1" t="s">
        <v>6</v>
      </c>
      <c r="G1447" s="44">
        <f t="shared" si="44"/>
        <v>1</v>
      </c>
      <c r="H1447" s="10" t="str">
        <f t="shared" si="45"/>
        <v>Wednesday</v>
      </c>
    </row>
    <row r="1448" spans="1:8">
      <c r="A1448" s="9">
        <v>203152686</v>
      </c>
      <c r="B1448" s="6">
        <v>44993</v>
      </c>
      <c r="C1448" s="6">
        <v>45067</v>
      </c>
      <c r="D1448" s="1" t="s">
        <v>7</v>
      </c>
      <c r="E1448" s="1">
        <v>39</v>
      </c>
      <c r="F1448" s="1" t="s">
        <v>6</v>
      </c>
      <c r="G1448" s="44">
        <f t="shared" si="44"/>
        <v>74</v>
      </c>
      <c r="H1448" s="10" t="str">
        <f t="shared" si="45"/>
        <v>Wednesday</v>
      </c>
    </row>
    <row r="1449" spans="1:8">
      <c r="A1449" s="9">
        <v>203320717</v>
      </c>
      <c r="B1449" s="6">
        <v>44993</v>
      </c>
      <c r="C1449" s="6">
        <v>45023</v>
      </c>
      <c r="D1449" s="1" t="s">
        <v>7</v>
      </c>
      <c r="E1449" s="1">
        <v>39</v>
      </c>
      <c r="F1449" s="1" t="s">
        <v>6</v>
      </c>
      <c r="G1449" s="44">
        <f t="shared" si="44"/>
        <v>30</v>
      </c>
      <c r="H1449" s="10" t="str">
        <f t="shared" si="45"/>
        <v>Wednesday</v>
      </c>
    </row>
    <row r="1450" spans="1:8">
      <c r="A1450" s="9">
        <v>206076518</v>
      </c>
      <c r="B1450" s="6">
        <v>44994</v>
      </c>
      <c r="C1450" s="1"/>
      <c r="D1450" s="1" t="s">
        <v>7</v>
      </c>
      <c r="E1450" s="1">
        <v>39</v>
      </c>
      <c r="F1450" s="1" t="s">
        <v>6</v>
      </c>
      <c r="G1450" s="44" t="str">
        <f t="shared" si="44"/>
        <v/>
      </c>
      <c r="H1450" s="10" t="str">
        <f t="shared" si="45"/>
        <v>Thursday</v>
      </c>
    </row>
    <row r="1451" spans="1:8">
      <c r="A1451" s="9">
        <v>205881578</v>
      </c>
      <c r="B1451" s="6">
        <v>44994</v>
      </c>
      <c r="C1451" s="6">
        <v>45165</v>
      </c>
      <c r="D1451" s="1" t="s">
        <v>7</v>
      </c>
      <c r="E1451" s="1">
        <v>39</v>
      </c>
      <c r="F1451" s="1" t="s">
        <v>6</v>
      </c>
      <c r="G1451" s="44">
        <f t="shared" si="44"/>
        <v>171</v>
      </c>
      <c r="H1451" s="10" t="str">
        <f t="shared" si="45"/>
        <v>Thursday</v>
      </c>
    </row>
    <row r="1452" spans="1:8">
      <c r="A1452" s="9">
        <v>152513944</v>
      </c>
      <c r="B1452" s="6">
        <v>44994</v>
      </c>
      <c r="C1452" s="6">
        <v>44995</v>
      </c>
      <c r="D1452" s="1" t="s">
        <v>7</v>
      </c>
      <c r="E1452" s="1">
        <v>39</v>
      </c>
      <c r="F1452" s="1" t="s">
        <v>6</v>
      </c>
      <c r="G1452" s="44">
        <f t="shared" si="44"/>
        <v>1</v>
      </c>
      <c r="H1452" s="10" t="str">
        <f t="shared" si="45"/>
        <v>Thursday</v>
      </c>
    </row>
    <row r="1453" spans="1:8">
      <c r="A1453" s="9">
        <v>132371176</v>
      </c>
      <c r="B1453" s="6">
        <v>44994</v>
      </c>
      <c r="C1453" s="6">
        <v>44995</v>
      </c>
      <c r="D1453" s="1" t="s">
        <v>8</v>
      </c>
      <c r="E1453" s="1">
        <v>39</v>
      </c>
      <c r="F1453" s="1" t="s">
        <v>6</v>
      </c>
      <c r="G1453" s="44">
        <f t="shared" si="44"/>
        <v>1</v>
      </c>
      <c r="H1453" s="10" t="str">
        <f t="shared" si="45"/>
        <v>Thursday</v>
      </c>
    </row>
    <row r="1454" spans="1:8">
      <c r="A1454" s="9">
        <v>135092264</v>
      </c>
      <c r="B1454" s="6">
        <v>44994</v>
      </c>
      <c r="C1454" s="6">
        <v>45118</v>
      </c>
      <c r="D1454" s="1" t="s">
        <v>7</v>
      </c>
      <c r="E1454" s="1">
        <v>39</v>
      </c>
      <c r="F1454" s="1" t="s">
        <v>6</v>
      </c>
      <c r="G1454" s="44">
        <f t="shared" si="44"/>
        <v>124</v>
      </c>
      <c r="H1454" s="10" t="str">
        <f t="shared" si="45"/>
        <v>Thursday</v>
      </c>
    </row>
    <row r="1455" spans="1:8">
      <c r="A1455" s="9">
        <v>151297084</v>
      </c>
      <c r="B1455" s="6">
        <v>44994</v>
      </c>
      <c r="C1455" s="6">
        <v>45071</v>
      </c>
      <c r="D1455" s="1" t="s">
        <v>7</v>
      </c>
      <c r="E1455" s="1">
        <v>39</v>
      </c>
      <c r="F1455" s="1" t="s">
        <v>6</v>
      </c>
      <c r="G1455" s="44">
        <f t="shared" si="44"/>
        <v>77</v>
      </c>
      <c r="H1455" s="10" t="str">
        <f t="shared" si="45"/>
        <v>Thursday</v>
      </c>
    </row>
    <row r="1456" spans="1:8">
      <c r="A1456" s="9">
        <v>167010855</v>
      </c>
      <c r="B1456" s="6">
        <v>44994</v>
      </c>
      <c r="C1456" s="6">
        <v>45085</v>
      </c>
      <c r="D1456" s="1" t="s">
        <v>7</v>
      </c>
      <c r="E1456" s="1">
        <v>39</v>
      </c>
      <c r="F1456" s="1" t="s">
        <v>6</v>
      </c>
      <c r="G1456" s="44">
        <f t="shared" si="44"/>
        <v>91</v>
      </c>
      <c r="H1456" s="10" t="str">
        <f t="shared" si="45"/>
        <v>Thursday</v>
      </c>
    </row>
    <row r="1457" spans="1:8">
      <c r="A1457" s="9">
        <v>206122788</v>
      </c>
      <c r="B1457" s="6">
        <v>44994</v>
      </c>
      <c r="C1457" s="6">
        <v>45093</v>
      </c>
      <c r="D1457" s="1" t="s">
        <v>7</v>
      </c>
      <c r="E1457" s="1">
        <v>39</v>
      </c>
      <c r="F1457" s="1" t="s">
        <v>6</v>
      </c>
      <c r="G1457" s="44">
        <f t="shared" si="44"/>
        <v>99</v>
      </c>
      <c r="H1457" s="10" t="str">
        <f t="shared" si="45"/>
        <v>Thursday</v>
      </c>
    </row>
    <row r="1458" spans="1:8">
      <c r="A1458" s="9">
        <v>158439764</v>
      </c>
      <c r="B1458" s="6">
        <v>44994</v>
      </c>
      <c r="C1458" s="6">
        <v>45047</v>
      </c>
      <c r="D1458" s="1" t="s">
        <v>7</v>
      </c>
      <c r="E1458" s="1">
        <v>39</v>
      </c>
      <c r="F1458" s="1" t="s">
        <v>6</v>
      </c>
      <c r="G1458" s="44">
        <f t="shared" si="44"/>
        <v>53</v>
      </c>
      <c r="H1458" s="10" t="str">
        <f t="shared" si="45"/>
        <v>Thursday</v>
      </c>
    </row>
    <row r="1459" spans="1:8">
      <c r="A1459" s="9">
        <v>136723151</v>
      </c>
      <c r="B1459" s="6">
        <v>44994</v>
      </c>
      <c r="C1459" s="6">
        <v>45023</v>
      </c>
      <c r="D1459" s="1" t="s">
        <v>7</v>
      </c>
      <c r="E1459" s="1">
        <v>39</v>
      </c>
      <c r="F1459" s="1" t="s">
        <v>6</v>
      </c>
      <c r="G1459" s="44">
        <f t="shared" si="44"/>
        <v>29</v>
      </c>
      <c r="H1459" s="10" t="str">
        <f t="shared" si="45"/>
        <v>Thursday</v>
      </c>
    </row>
    <row r="1460" spans="1:8">
      <c r="A1460" s="9">
        <v>205875358</v>
      </c>
      <c r="B1460" s="6">
        <v>44994</v>
      </c>
      <c r="C1460" s="6">
        <v>45038</v>
      </c>
      <c r="D1460" s="1" t="s">
        <v>7</v>
      </c>
      <c r="E1460" s="1">
        <v>39</v>
      </c>
      <c r="F1460" s="1" t="s">
        <v>6</v>
      </c>
      <c r="G1460" s="44">
        <f t="shared" si="44"/>
        <v>44</v>
      </c>
      <c r="H1460" s="10" t="str">
        <f t="shared" si="45"/>
        <v>Thursday</v>
      </c>
    </row>
    <row r="1461" spans="1:8">
      <c r="A1461" s="9">
        <v>206082900</v>
      </c>
      <c r="B1461" s="6">
        <v>44994</v>
      </c>
      <c r="C1461" s="6">
        <v>45139</v>
      </c>
      <c r="D1461" s="1" t="s">
        <v>7</v>
      </c>
      <c r="E1461" s="1">
        <v>39</v>
      </c>
      <c r="F1461" s="1" t="s">
        <v>6</v>
      </c>
      <c r="G1461" s="44">
        <f t="shared" si="44"/>
        <v>145</v>
      </c>
      <c r="H1461" s="10" t="str">
        <f t="shared" si="45"/>
        <v>Thursday</v>
      </c>
    </row>
    <row r="1462" spans="1:8">
      <c r="A1462" s="9">
        <v>206139451</v>
      </c>
      <c r="B1462" s="6">
        <v>44995</v>
      </c>
      <c r="C1462" s="1"/>
      <c r="D1462" s="1" t="s">
        <v>7</v>
      </c>
      <c r="E1462" s="1">
        <v>39</v>
      </c>
      <c r="F1462" s="1" t="s">
        <v>6</v>
      </c>
      <c r="G1462" s="44" t="str">
        <f t="shared" si="44"/>
        <v/>
      </c>
      <c r="H1462" s="10" t="str">
        <f t="shared" si="45"/>
        <v>Friday</v>
      </c>
    </row>
    <row r="1463" spans="1:8">
      <c r="A1463" s="9">
        <v>206196328</v>
      </c>
      <c r="B1463" s="6">
        <v>44995</v>
      </c>
      <c r="C1463" s="1"/>
      <c r="D1463" s="1" t="s">
        <v>7</v>
      </c>
      <c r="E1463" s="1">
        <v>39</v>
      </c>
      <c r="F1463" s="1" t="s">
        <v>6</v>
      </c>
      <c r="G1463" s="44" t="str">
        <f t="shared" si="44"/>
        <v/>
      </c>
      <c r="H1463" s="10" t="str">
        <f t="shared" si="45"/>
        <v>Friday</v>
      </c>
    </row>
    <row r="1464" spans="1:8">
      <c r="A1464" s="9">
        <v>201122030</v>
      </c>
      <c r="B1464" s="6">
        <v>44995</v>
      </c>
      <c r="C1464" s="6">
        <v>45082</v>
      </c>
      <c r="D1464" s="1" t="s">
        <v>7</v>
      </c>
      <c r="E1464" s="1">
        <v>39</v>
      </c>
      <c r="F1464" s="1" t="s">
        <v>6</v>
      </c>
      <c r="G1464" s="44">
        <f t="shared" si="44"/>
        <v>87</v>
      </c>
      <c r="H1464" s="10" t="str">
        <f t="shared" si="45"/>
        <v>Friday</v>
      </c>
    </row>
    <row r="1465" spans="1:8">
      <c r="A1465" s="9">
        <v>156218152</v>
      </c>
      <c r="B1465" s="6">
        <v>44995</v>
      </c>
      <c r="C1465" s="6">
        <v>45086</v>
      </c>
      <c r="D1465" s="1" t="s">
        <v>7</v>
      </c>
      <c r="E1465" s="1">
        <v>39</v>
      </c>
      <c r="F1465" s="1" t="s">
        <v>6</v>
      </c>
      <c r="G1465" s="44">
        <f t="shared" si="44"/>
        <v>91</v>
      </c>
      <c r="H1465" s="10" t="str">
        <f t="shared" si="45"/>
        <v>Friday</v>
      </c>
    </row>
    <row r="1466" spans="1:8">
      <c r="A1466" s="9">
        <v>162718092</v>
      </c>
      <c r="B1466" s="6">
        <v>44995</v>
      </c>
      <c r="C1466" s="6">
        <v>45056</v>
      </c>
      <c r="D1466" s="1" t="s">
        <v>7</v>
      </c>
      <c r="E1466" s="1">
        <v>39</v>
      </c>
      <c r="F1466" s="1" t="s">
        <v>6</v>
      </c>
      <c r="G1466" s="44">
        <f t="shared" si="44"/>
        <v>61</v>
      </c>
      <c r="H1466" s="10" t="str">
        <f t="shared" si="45"/>
        <v>Friday</v>
      </c>
    </row>
    <row r="1467" spans="1:8">
      <c r="A1467" s="9">
        <v>174606946</v>
      </c>
      <c r="B1467" s="6">
        <v>44995</v>
      </c>
      <c r="C1467" s="6">
        <v>45055</v>
      </c>
      <c r="D1467" s="1" t="s">
        <v>7</v>
      </c>
      <c r="E1467" s="1">
        <v>39</v>
      </c>
      <c r="F1467" s="1" t="s">
        <v>6</v>
      </c>
      <c r="G1467" s="44">
        <f t="shared" si="44"/>
        <v>60</v>
      </c>
      <c r="H1467" s="10" t="str">
        <f t="shared" si="45"/>
        <v>Friday</v>
      </c>
    </row>
    <row r="1468" spans="1:8">
      <c r="A1468" s="9">
        <v>206159331</v>
      </c>
      <c r="B1468" s="6">
        <v>44995</v>
      </c>
      <c r="C1468" s="6">
        <v>45010</v>
      </c>
      <c r="D1468" s="1" t="s">
        <v>7</v>
      </c>
      <c r="E1468" s="1">
        <v>39</v>
      </c>
      <c r="F1468" s="1" t="s">
        <v>6</v>
      </c>
      <c r="G1468" s="44">
        <f t="shared" si="44"/>
        <v>15</v>
      </c>
      <c r="H1468" s="10" t="str">
        <f t="shared" si="45"/>
        <v>Friday</v>
      </c>
    </row>
    <row r="1469" spans="1:8">
      <c r="A1469" s="9">
        <v>206272716</v>
      </c>
      <c r="B1469" s="6">
        <v>44996</v>
      </c>
      <c r="C1469" s="1"/>
      <c r="D1469" s="1" t="s">
        <v>7</v>
      </c>
      <c r="E1469" s="1">
        <v>39</v>
      </c>
      <c r="F1469" s="1" t="s">
        <v>6</v>
      </c>
      <c r="G1469" s="44" t="str">
        <f t="shared" si="44"/>
        <v/>
      </c>
      <c r="H1469" s="10" t="str">
        <f t="shared" si="45"/>
        <v>Saturday</v>
      </c>
    </row>
    <row r="1470" spans="1:8">
      <c r="A1470" s="9">
        <v>138104184</v>
      </c>
      <c r="B1470" s="6">
        <v>44996</v>
      </c>
      <c r="C1470" s="6">
        <v>45176</v>
      </c>
      <c r="D1470" s="1" t="s">
        <v>7</v>
      </c>
      <c r="E1470" s="1">
        <v>39</v>
      </c>
      <c r="F1470" s="1" t="s">
        <v>6</v>
      </c>
      <c r="G1470" s="44">
        <f t="shared" si="44"/>
        <v>180</v>
      </c>
      <c r="H1470" s="10" t="str">
        <f t="shared" si="45"/>
        <v>Saturday</v>
      </c>
    </row>
    <row r="1471" spans="1:8">
      <c r="A1471" s="9">
        <v>168264884</v>
      </c>
      <c r="B1471" s="6">
        <v>44996</v>
      </c>
      <c r="C1471" s="6">
        <v>45056</v>
      </c>
      <c r="D1471" s="1" t="s">
        <v>7</v>
      </c>
      <c r="E1471" s="1">
        <v>39</v>
      </c>
      <c r="F1471" s="1" t="s">
        <v>6</v>
      </c>
      <c r="G1471" s="44">
        <f t="shared" si="44"/>
        <v>60</v>
      </c>
      <c r="H1471" s="10" t="str">
        <f t="shared" si="45"/>
        <v>Saturday</v>
      </c>
    </row>
    <row r="1472" spans="1:8">
      <c r="A1472" s="9">
        <v>153200640</v>
      </c>
      <c r="B1472" s="6">
        <v>44996</v>
      </c>
      <c r="C1472" s="6">
        <v>45028</v>
      </c>
      <c r="D1472" s="1" t="s">
        <v>7</v>
      </c>
      <c r="E1472" s="1">
        <v>39</v>
      </c>
      <c r="F1472" s="1" t="s">
        <v>6</v>
      </c>
      <c r="G1472" s="44">
        <f t="shared" si="44"/>
        <v>32</v>
      </c>
      <c r="H1472" s="10" t="str">
        <f t="shared" si="45"/>
        <v>Saturday</v>
      </c>
    </row>
    <row r="1473" spans="1:8">
      <c r="A1473" s="9">
        <v>206251362</v>
      </c>
      <c r="B1473" s="6">
        <v>44996</v>
      </c>
      <c r="C1473" s="6">
        <v>45034</v>
      </c>
      <c r="D1473" s="1" t="s">
        <v>7</v>
      </c>
      <c r="E1473" s="1">
        <v>39</v>
      </c>
      <c r="F1473" s="1" t="s">
        <v>6</v>
      </c>
      <c r="G1473" s="44">
        <f t="shared" si="44"/>
        <v>38</v>
      </c>
      <c r="H1473" s="10" t="str">
        <f t="shared" si="45"/>
        <v>Saturday</v>
      </c>
    </row>
    <row r="1474" spans="1:8">
      <c r="A1474" s="9">
        <v>192386902</v>
      </c>
      <c r="B1474" s="6">
        <v>44996</v>
      </c>
      <c r="C1474" s="6">
        <v>45034</v>
      </c>
      <c r="D1474" s="1" t="s">
        <v>7</v>
      </c>
      <c r="E1474" s="1">
        <v>39</v>
      </c>
      <c r="F1474" s="1" t="s">
        <v>6</v>
      </c>
      <c r="G1474" s="44">
        <f t="shared" si="44"/>
        <v>38</v>
      </c>
      <c r="H1474" s="10" t="str">
        <f t="shared" si="45"/>
        <v>Saturday</v>
      </c>
    </row>
    <row r="1475" spans="1:8">
      <c r="A1475" s="9">
        <v>205851263</v>
      </c>
      <c r="B1475" s="6">
        <v>44996</v>
      </c>
      <c r="C1475" s="6">
        <v>44999</v>
      </c>
      <c r="D1475" s="1" t="s">
        <v>7</v>
      </c>
      <c r="E1475" s="1">
        <v>39</v>
      </c>
      <c r="F1475" s="1" t="s">
        <v>6</v>
      </c>
      <c r="G1475" s="44">
        <f t="shared" ref="G1475:G1538" si="46">IF(C1475="", "", DATEDIF(B1475, C1475, "D"))</f>
        <v>3</v>
      </c>
      <c r="H1475" s="10" t="str">
        <f t="shared" ref="H1475:H1538" si="47">TEXT(B1475, "dddd")</f>
        <v>Saturday</v>
      </c>
    </row>
    <row r="1476" spans="1:8">
      <c r="A1476" s="9">
        <v>197873706</v>
      </c>
      <c r="B1476" s="6">
        <v>44997</v>
      </c>
      <c r="C1476" s="6">
        <v>45150</v>
      </c>
      <c r="D1476" s="1" t="s">
        <v>7</v>
      </c>
      <c r="E1476" s="1">
        <v>39</v>
      </c>
      <c r="F1476" s="1" t="s">
        <v>6</v>
      </c>
      <c r="G1476" s="44">
        <f t="shared" si="46"/>
        <v>153</v>
      </c>
      <c r="H1476" s="10" t="str">
        <f t="shared" si="47"/>
        <v>Sunday</v>
      </c>
    </row>
    <row r="1477" spans="1:8">
      <c r="A1477" s="9">
        <v>206284048</v>
      </c>
      <c r="B1477" s="6">
        <v>44997</v>
      </c>
      <c r="C1477" s="6">
        <v>45003</v>
      </c>
      <c r="D1477" s="1" t="s">
        <v>7</v>
      </c>
      <c r="E1477" s="1">
        <v>39</v>
      </c>
      <c r="F1477" s="1" t="s">
        <v>6</v>
      </c>
      <c r="G1477" s="44">
        <f t="shared" si="46"/>
        <v>6</v>
      </c>
      <c r="H1477" s="10" t="str">
        <f t="shared" si="47"/>
        <v>Sunday</v>
      </c>
    </row>
    <row r="1478" spans="1:8">
      <c r="A1478" s="9">
        <v>149761545</v>
      </c>
      <c r="B1478" s="6">
        <v>44997</v>
      </c>
      <c r="C1478" s="6">
        <v>45131</v>
      </c>
      <c r="D1478" s="1" t="s">
        <v>7</v>
      </c>
      <c r="E1478" s="1">
        <v>39</v>
      </c>
      <c r="F1478" s="1" t="s">
        <v>6</v>
      </c>
      <c r="G1478" s="44">
        <f t="shared" si="46"/>
        <v>134</v>
      </c>
      <c r="H1478" s="10" t="str">
        <f t="shared" si="47"/>
        <v>Sunday</v>
      </c>
    </row>
    <row r="1479" spans="1:8">
      <c r="A1479" s="9">
        <v>155010717</v>
      </c>
      <c r="B1479" s="6">
        <v>44998</v>
      </c>
      <c r="C1479" s="6">
        <v>45077</v>
      </c>
      <c r="D1479" s="1" t="s">
        <v>7</v>
      </c>
      <c r="E1479" s="1">
        <v>39</v>
      </c>
      <c r="F1479" s="1" t="s">
        <v>6</v>
      </c>
      <c r="G1479" s="44">
        <f t="shared" si="46"/>
        <v>79</v>
      </c>
      <c r="H1479" s="10" t="str">
        <f t="shared" si="47"/>
        <v>Monday</v>
      </c>
    </row>
    <row r="1480" spans="1:8">
      <c r="A1480" s="9">
        <v>151407531</v>
      </c>
      <c r="B1480" s="6">
        <v>44998</v>
      </c>
      <c r="C1480" s="6">
        <v>45028</v>
      </c>
      <c r="D1480" s="1" t="s">
        <v>7</v>
      </c>
      <c r="E1480" s="1">
        <v>39</v>
      </c>
      <c r="F1480" s="1" t="s">
        <v>6</v>
      </c>
      <c r="G1480" s="44">
        <f t="shared" si="46"/>
        <v>30</v>
      </c>
      <c r="H1480" s="10" t="str">
        <f t="shared" si="47"/>
        <v>Monday</v>
      </c>
    </row>
    <row r="1481" spans="1:8">
      <c r="A1481" s="9">
        <v>206407796</v>
      </c>
      <c r="B1481" s="6">
        <v>44998</v>
      </c>
      <c r="C1481" s="6">
        <v>45058</v>
      </c>
      <c r="D1481" s="1" t="s">
        <v>7</v>
      </c>
      <c r="E1481" s="1">
        <v>39</v>
      </c>
      <c r="F1481" s="1" t="s">
        <v>6</v>
      </c>
      <c r="G1481" s="44">
        <f t="shared" si="46"/>
        <v>60</v>
      </c>
      <c r="H1481" s="10" t="str">
        <f t="shared" si="47"/>
        <v>Monday</v>
      </c>
    </row>
    <row r="1482" spans="1:8">
      <c r="A1482" s="9">
        <v>206247835</v>
      </c>
      <c r="B1482" s="6">
        <v>44998</v>
      </c>
      <c r="C1482" s="6">
        <v>45071</v>
      </c>
      <c r="D1482" s="1" t="s">
        <v>7</v>
      </c>
      <c r="E1482" s="1">
        <v>39</v>
      </c>
      <c r="F1482" s="1" t="s">
        <v>6</v>
      </c>
      <c r="G1482" s="44">
        <f t="shared" si="46"/>
        <v>73</v>
      </c>
      <c r="H1482" s="10" t="str">
        <f t="shared" si="47"/>
        <v>Monday</v>
      </c>
    </row>
    <row r="1483" spans="1:8">
      <c r="A1483" s="9">
        <v>206382927</v>
      </c>
      <c r="B1483" s="6">
        <v>44998</v>
      </c>
      <c r="C1483" s="6">
        <v>45070</v>
      </c>
      <c r="D1483" s="1" t="s">
        <v>7</v>
      </c>
      <c r="E1483" s="1">
        <v>39</v>
      </c>
      <c r="F1483" s="1" t="s">
        <v>6</v>
      </c>
      <c r="G1483" s="44">
        <f t="shared" si="46"/>
        <v>72</v>
      </c>
      <c r="H1483" s="10" t="str">
        <f t="shared" si="47"/>
        <v>Monday</v>
      </c>
    </row>
    <row r="1484" spans="1:8">
      <c r="A1484" s="9">
        <v>206147500</v>
      </c>
      <c r="B1484" s="6">
        <v>44998</v>
      </c>
      <c r="C1484" s="6">
        <v>45064</v>
      </c>
      <c r="D1484" s="1" t="s">
        <v>7</v>
      </c>
      <c r="E1484" s="1">
        <v>39</v>
      </c>
      <c r="F1484" s="1" t="s">
        <v>6</v>
      </c>
      <c r="G1484" s="44">
        <f t="shared" si="46"/>
        <v>66</v>
      </c>
      <c r="H1484" s="10" t="str">
        <f t="shared" si="47"/>
        <v>Monday</v>
      </c>
    </row>
    <row r="1485" spans="1:8">
      <c r="A1485" s="9">
        <v>206330714</v>
      </c>
      <c r="B1485" s="6">
        <v>44998</v>
      </c>
      <c r="C1485" s="6">
        <v>45023</v>
      </c>
      <c r="D1485" s="1" t="s">
        <v>7</v>
      </c>
      <c r="E1485" s="1">
        <v>39</v>
      </c>
      <c r="F1485" s="1" t="s">
        <v>6</v>
      </c>
      <c r="G1485" s="44">
        <f t="shared" si="46"/>
        <v>25</v>
      </c>
      <c r="H1485" s="10" t="str">
        <f t="shared" si="47"/>
        <v>Monday</v>
      </c>
    </row>
    <row r="1486" spans="1:8">
      <c r="A1486" s="9">
        <v>206121650</v>
      </c>
      <c r="B1486" s="6">
        <v>44998</v>
      </c>
      <c r="C1486" s="6">
        <v>45025</v>
      </c>
      <c r="D1486" s="1" t="s">
        <v>7</v>
      </c>
      <c r="E1486" s="1">
        <v>39</v>
      </c>
      <c r="F1486" s="1" t="s">
        <v>6</v>
      </c>
      <c r="G1486" s="44">
        <f t="shared" si="46"/>
        <v>27</v>
      </c>
      <c r="H1486" s="10" t="str">
        <f t="shared" si="47"/>
        <v>Monday</v>
      </c>
    </row>
    <row r="1487" spans="1:8">
      <c r="A1487" s="9">
        <v>182504578</v>
      </c>
      <c r="B1487" s="6">
        <v>44998</v>
      </c>
      <c r="C1487" s="6">
        <v>45036</v>
      </c>
      <c r="D1487" s="1" t="s">
        <v>7</v>
      </c>
      <c r="E1487" s="1">
        <v>39</v>
      </c>
      <c r="F1487" s="1" t="s">
        <v>6</v>
      </c>
      <c r="G1487" s="44">
        <f t="shared" si="46"/>
        <v>38</v>
      </c>
      <c r="H1487" s="10" t="str">
        <f t="shared" si="47"/>
        <v>Monday</v>
      </c>
    </row>
    <row r="1488" spans="1:8">
      <c r="A1488" s="9">
        <v>204362311</v>
      </c>
      <c r="B1488" s="6">
        <v>44998</v>
      </c>
      <c r="C1488" s="6">
        <v>45091</v>
      </c>
      <c r="D1488" s="1" t="s">
        <v>7</v>
      </c>
      <c r="E1488" s="1">
        <v>39</v>
      </c>
      <c r="F1488" s="1" t="s">
        <v>6</v>
      </c>
      <c r="G1488" s="44">
        <f t="shared" si="46"/>
        <v>93</v>
      </c>
      <c r="H1488" s="10" t="str">
        <f t="shared" si="47"/>
        <v>Monday</v>
      </c>
    </row>
    <row r="1489" spans="1:8">
      <c r="A1489" s="9">
        <v>206504573</v>
      </c>
      <c r="B1489" s="6">
        <v>44999</v>
      </c>
      <c r="C1489" s="1"/>
      <c r="D1489" s="1" t="s">
        <v>7</v>
      </c>
      <c r="E1489" s="1">
        <v>39</v>
      </c>
      <c r="F1489" s="1" t="s">
        <v>6</v>
      </c>
      <c r="G1489" s="44" t="str">
        <f t="shared" si="46"/>
        <v/>
      </c>
      <c r="H1489" s="10" t="str">
        <f t="shared" si="47"/>
        <v>Tuesday</v>
      </c>
    </row>
    <row r="1490" spans="1:8">
      <c r="A1490" s="9">
        <v>206490851</v>
      </c>
      <c r="B1490" s="6">
        <v>44999</v>
      </c>
      <c r="C1490" s="1"/>
      <c r="D1490" s="1" t="s">
        <v>7</v>
      </c>
      <c r="E1490" s="1">
        <v>39</v>
      </c>
      <c r="F1490" s="1" t="s">
        <v>6</v>
      </c>
      <c r="G1490" s="44" t="str">
        <f t="shared" si="46"/>
        <v/>
      </c>
      <c r="H1490" s="10" t="str">
        <f t="shared" si="47"/>
        <v>Tuesday</v>
      </c>
    </row>
    <row r="1491" spans="1:8">
      <c r="A1491" s="9">
        <v>206468868</v>
      </c>
      <c r="B1491" s="6">
        <v>44999</v>
      </c>
      <c r="C1491" s="1"/>
      <c r="D1491" s="1" t="s">
        <v>7</v>
      </c>
      <c r="E1491" s="1">
        <v>39</v>
      </c>
      <c r="F1491" s="1" t="s">
        <v>6</v>
      </c>
      <c r="G1491" s="44" t="str">
        <f t="shared" si="46"/>
        <v/>
      </c>
      <c r="H1491" s="10" t="str">
        <f t="shared" si="47"/>
        <v>Tuesday</v>
      </c>
    </row>
    <row r="1492" spans="1:8">
      <c r="A1492" s="9">
        <v>206316124</v>
      </c>
      <c r="B1492" s="6">
        <v>44999</v>
      </c>
      <c r="C1492" s="1"/>
      <c r="D1492" s="1" t="s">
        <v>7</v>
      </c>
      <c r="E1492" s="1">
        <v>39</v>
      </c>
      <c r="F1492" s="1" t="s">
        <v>6</v>
      </c>
      <c r="G1492" s="44" t="str">
        <f t="shared" si="46"/>
        <v/>
      </c>
      <c r="H1492" s="10" t="str">
        <f t="shared" si="47"/>
        <v>Tuesday</v>
      </c>
    </row>
    <row r="1493" spans="1:8">
      <c r="A1493" s="9">
        <v>203404034</v>
      </c>
      <c r="B1493" s="6">
        <v>44999</v>
      </c>
      <c r="C1493" s="6">
        <v>45099</v>
      </c>
      <c r="D1493" s="1" t="s">
        <v>7</v>
      </c>
      <c r="E1493" s="1">
        <v>39</v>
      </c>
      <c r="F1493" s="1" t="s">
        <v>6</v>
      </c>
      <c r="G1493" s="44">
        <f t="shared" si="46"/>
        <v>100</v>
      </c>
      <c r="H1493" s="10" t="str">
        <f t="shared" si="47"/>
        <v>Tuesday</v>
      </c>
    </row>
    <row r="1494" spans="1:8">
      <c r="A1494" s="9">
        <v>206284545</v>
      </c>
      <c r="B1494" s="6">
        <v>44999</v>
      </c>
      <c r="C1494" s="6">
        <v>45080</v>
      </c>
      <c r="D1494" s="1" t="s">
        <v>7</v>
      </c>
      <c r="E1494" s="1">
        <v>39</v>
      </c>
      <c r="F1494" s="1" t="s">
        <v>6</v>
      </c>
      <c r="G1494" s="44">
        <f t="shared" si="46"/>
        <v>81</v>
      </c>
      <c r="H1494" s="10" t="str">
        <f t="shared" si="47"/>
        <v>Tuesday</v>
      </c>
    </row>
    <row r="1495" spans="1:8">
      <c r="A1495" s="9">
        <v>206470657</v>
      </c>
      <c r="B1495" s="6">
        <v>44999</v>
      </c>
      <c r="C1495" s="6">
        <v>45049</v>
      </c>
      <c r="D1495" s="1" t="s">
        <v>7</v>
      </c>
      <c r="E1495" s="1">
        <v>39</v>
      </c>
      <c r="F1495" s="1" t="s">
        <v>6</v>
      </c>
      <c r="G1495" s="44">
        <f t="shared" si="46"/>
        <v>50</v>
      </c>
      <c r="H1495" s="10" t="str">
        <f t="shared" si="47"/>
        <v>Tuesday</v>
      </c>
    </row>
    <row r="1496" spans="1:8">
      <c r="A1496" s="9">
        <v>206458744</v>
      </c>
      <c r="B1496" s="6">
        <v>44999</v>
      </c>
      <c r="C1496" s="6">
        <v>45040</v>
      </c>
      <c r="D1496" s="1" t="s">
        <v>7</v>
      </c>
      <c r="E1496" s="1">
        <v>39</v>
      </c>
      <c r="F1496" s="1" t="s">
        <v>6</v>
      </c>
      <c r="G1496" s="44">
        <f t="shared" si="46"/>
        <v>41</v>
      </c>
      <c r="H1496" s="10" t="str">
        <f t="shared" si="47"/>
        <v>Tuesday</v>
      </c>
    </row>
    <row r="1497" spans="1:8">
      <c r="A1497" s="9">
        <v>206122814</v>
      </c>
      <c r="B1497" s="6">
        <v>44999</v>
      </c>
      <c r="C1497" s="6">
        <v>45029</v>
      </c>
      <c r="D1497" s="1" t="s">
        <v>7</v>
      </c>
      <c r="E1497" s="1">
        <v>39</v>
      </c>
      <c r="F1497" s="1" t="s">
        <v>6</v>
      </c>
      <c r="G1497" s="44">
        <f t="shared" si="46"/>
        <v>30</v>
      </c>
      <c r="H1497" s="10" t="str">
        <f t="shared" si="47"/>
        <v>Tuesday</v>
      </c>
    </row>
    <row r="1498" spans="1:8">
      <c r="A1498" s="9">
        <v>206549666</v>
      </c>
      <c r="B1498" s="6">
        <v>45000</v>
      </c>
      <c r="C1498" s="1"/>
      <c r="D1498" s="1" t="s">
        <v>7</v>
      </c>
      <c r="E1498" s="1">
        <v>39</v>
      </c>
      <c r="F1498" s="1" t="s">
        <v>6</v>
      </c>
      <c r="G1498" s="44" t="str">
        <f t="shared" si="46"/>
        <v/>
      </c>
      <c r="H1498" s="10" t="str">
        <f t="shared" si="47"/>
        <v>Wednesday</v>
      </c>
    </row>
    <row r="1499" spans="1:8">
      <c r="A1499" s="9">
        <v>133623621</v>
      </c>
      <c r="B1499" s="6">
        <v>45000</v>
      </c>
      <c r="C1499" s="1"/>
      <c r="D1499" s="1" t="s">
        <v>7</v>
      </c>
      <c r="E1499" s="1">
        <v>39</v>
      </c>
      <c r="F1499" s="1" t="s">
        <v>6</v>
      </c>
      <c r="G1499" s="44" t="str">
        <f t="shared" si="46"/>
        <v/>
      </c>
      <c r="H1499" s="10" t="str">
        <f t="shared" si="47"/>
        <v>Wednesday</v>
      </c>
    </row>
    <row r="1500" spans="1:8">
      <c r="A1500" s="9">
        <v>130982816</v>
      </c>
      <c r="B1500" s="6">
        <v>45000</v>
      </c>
      <c r="C1500" s="1"/>
      <c r="D1500" s="1" t="s">
        <v>7</v>
      </c>
      <c r="E1500" s="1">
        <v>39</v>
      </c>
      <c r="F1500" s="1" t="s">
        <v>6</v>
      </c>
      <c r="G1500" s="44" t="str">
        <f t="shared" si="46"/>
        <v/>
      </c>
      <c r="H1500" s="10" t="str">
        <f t="shared" si="47"/>
        <v>Wednesday</v>
      </c>
    </row>
    <row r="1501" spans="1:8">
      <c r="A1501" s="9">
        <v>143776119</v>
      </c>
      <c r="B1501" s="6">
        <v>45000</v>
      </c>
      <c r="C1501" s="6">
        <v>45166</v>
      </c>
      <c r="D1501" s="1" t="s">
        <v>7</v>
      </c>
      <c r="E1501" s="1">
        <v>39</v>
      </c>
      <c r="F1501" s="1" t="s">
        <v>6</v>
      </c>
      <c r="G1501" s="44">
        <f t="shared" si="46"/>
        <v>166</v>
      </c>
      <c r="H1501" s="10" t="str">
        <f t="shared" si="47"/>
        <v>Wednesday</v>
      </c>
    </row>
    <row r="1502" spans="1:8">
      <c r="A1502" s="9">
        <v>206542743</v>
      </c>
      <c r="B1502" s="6">
        <v>45000</v>
      </c>
      <c r="C1502" s="6">
        <v>45001</v>
      </c>
      <c r="D1502" s="1" t="s">
        <v>8</v>
      </c>
      <c r="E1502" s="1">
        <v>39</v>
      </c>
      <c r="F1502" s="1" t="s">
        <v>6</v>
      </c>
      <c r="G1502" s="44">
        <f t="shared" si="46"/>
        <v>1</v>
      </c>
      <c r="H1502" s="10" t="str">
        <f t="shared" si="47"/>
        <v>Wednesday</v>
      </c>
    </row>
    <row r="1503" spans="1:8">
      <c r="A1503" s="9">
        <v>206158603</v>
      </c>
      <c r="B1503" s="6">
        <v>45000</v>
      </c>
      <c r="C1503" s="6">
        <v>45001</v>
      </c>
      <c r="D1503" s="1" t="s">
        <v>8</v>
      </c>
      <c r="E1503" s="1">
        <v>39</v>
      </c>
      <c r="F1503" s="1" t="s">
        <v>6</v>
      </c>
      <c r="G1503" s="44">
        <f t="shared" si="46"/>
        <v>1</v>
      </c>
      <c r="H1503" s="10" t="str">
        <f t="shared" si="47"/>
        <v>Wednesday</v>
      </c>
    </row>
    <row r="1504" spans="1:8">
      <c r="A1504" s="9">
        <v>206548046</v>
      </c>
      <c r="B1504" s="6">
        <v>45000</v>
      </c>
      <c r="C1504" s="6">
        <v>45085</v>
      </c>
      <c r="D1504" s="1" t="s">
        <v>7</v>
      </c>
      <c r="E1504" s="1">
        <v>39</v>
      </c>
      <c r="F1504" s="1" t="s">
        <v>6</v>
      </c>
      <c r="G1504" s="44">
        <f t="shared" si="46"/>
        <v>85</v>
      </c>
      <c r="H1504" s="10" t="str">
        <f t="shared" si="47"/>
        <v>Wednesday</v>
      </c>
    </row>
    <row r="1505" spans="1:8">
      <c r="A1505" s="9">
        <v>168464004</v>
      </c>
      <c r="B1505" s="6">
        <v>45000</v>
      </c>
      <c r="C1505" s="6">
        <v>45078</v>
      </c>
      <c r="D1505" s="1" t="s">
        <v>7</v>
      </c>
      <c r="E1505" s="1">
        <v>39</v>
      </c>
      <c r="F1505" s="1" t="s">
        <v>6</v>
      </c>
      <c r="G1505" s="44">
        <f t="shared" si="46"/>
        <v>78</v>
      </c>
      <c r="H1505" s="10" t="str">
        <f t="shared" si="47"/>
        <v>Wednesday</v>
      </c>
    </row>
    <row r="1506" spans="1:8">
      <c r="A1506" s="9">
        <v>146330379</v>
      </c>
      <c r="B1506" s="6">
        <v>45000</v>
      </c>
      <c r="C1506" s="6">
        <v>45035</v>
      </c>
      <c r="D1506" s="1" t="s">
        <v>7</v>
      </c>
      <c r="E1506" s="1">
        <v>39</v>
      </c>
      <c r="F1506" s="1" t="s">
        <v>6</v>
      </c>
      <c r="G1506" s="44">
        <f t="shared" si="46"/>
        <v>35</v>
      </c>
      <c r="H1506" s="10" t="str">
        <f t="shared" si="47"/>
        <v>Wednesday</v>
      </c>
    </row>
    <row r="1507" spans="1:8">
      <c r="A1507" s="9">
        <v>206006946</v>
      </c>
      <c r="B1507" s="6">
        <v>45000</v>
      </c>
      <c r="C1507" s="6">
        <v>45068</v>
      </c>
      <c r="D1507" s="1" t="s">
        <v>7</v>
      </c>
      <c r="E1507" s="1">
        <v>39</v>
      </c>
      <c r="F1507" s="1" t="s">
        <v>6</v>
      </c>
      <c r="G1507" s="44">
        <f t="shared" si="46"/>
        <v>68</v>
      </c>
      <c r="H1507" s="10" t="str">
        <f t="shared" si="47"/>
        <v>Wednesday</v>
      </c>
    </row>
    <row r="1508" spans="1:8">
      <c r="A1508" s="9">
        <v>206531388</v>
      </c>
      <c r="B1508" s="6">
        <v>45000</v>
      </c>
      <c r="C1508" s="6">
        <v>45021</v>
      </c>
      <c r="D1508" s="1" t="s">
        <v>7</v>
      </c>
      <c r="E1508" s="1">
        <v>39</v>
      </c>
      <c r="F1508" s="1" t="s">
        <v>6</v>
      </c>
      <c r="G1508" s="44">
        <f t="shared" si="46"/>
        <v>21</v>
      </c>
      <c r="H1508" s="10" t="str">
        <f t="shared" si="47"/>
        <v>Wednesday</v>
      </c>
    </row>
    <row r="1509" spans="1:8">
      <c r="A1509" s="9">
        <v>206512820</v>
      </c>
      <c r="B1509" s="6">
        <v>45000</v>
      </c>
      <c r="C1509" s="6">
        <v>45119</v>
      </c>
      <c r="D1509" s="1" t="s">
        <v>7</v>
      </c>
      <c r="E1509" s="1">
        <v>39</v>
      </c>
      <c r="F1509" s="1" t="s">
        <v>6</v>
      </c>
      <c r="G1509" s="44">
        <f t="shared" si="46"/>
        <v>119</v>
      </c>
      <c r="H1509" s="10" t="str">
        <f t="shared" si="47"/>
        <v>Wednesday</v>
      </c>
    </row>
    <row r="1510" spans="1:8">
      <c r="A1510" s="9">
        <v>206501414</v>
      </c>
      <c r="B1510" s="6">
        <v>45001</v>
      </c>
      <c r="C1510" s="1"/>
      <c r="D1510" s="1" t="s">
        <v>7</v>
      </c>
      <c r="E1510" s="1">
        <v>39</v>
      </c>
      <c r="F1510" s="1" t="s">
        <v>6</v>
      </c>
      <c r="G1510" s="44" t="str">
        <f t="shared" si="46"/>
        <v/>
      </c>
      <c r="H1510" s="10" t="str">
        <f t="shared" si="47"/>
        <v>Thursday</v>
      </c>
    </row>
    <row r="1511" spans="1:8">
      <c r="A1511" s="9">
        <v>181175226</v>
      </c>
      <c r="B1511" s="6">
        <v>45001</v>
      </c>
      <c r="C1511" s="6">
        <v>45016</v>
      </c>
      <c r="D1511" s="1" t="s">
        <v>7</v>
      </c>
      <c r="E1511" s="1">
        <v>39</v>
      </c>
      <c r="F1511" s="1" t="s">
        <v>6</v>
      </c>
      <c r="G1511" s="44">
        <f t="shared" si="46"/>
        <v>15</v>
      </c>
      <c r="H1511" s="10" t="str">
        <f t="shared" si="47"/>
        <v>Thursday</v>
      </c>
    </row>
    <row r="1512" spans="1:8">
      <c r="A1512" s="9">
        <v>148758550</v>
      </c>
      <c r="B1512" s="6">
        <v>45002</v>
      </c>
      <c r="C1512" s="1"/>
      <c r="D1512" s="1" t="s">
        <v>7</v>
      </c>
      <c r="E1512" s="1">
        <v>39</v>
      </c>
      <c r="F1512" s="1" t="s">
        <v>6</v>
      </c>
      <c r="G1512" s="44" t="str">
        <f t="shared" si="46"/>
        <v/>
      </c>
      <c r="H1512" s="10" t="str">
        <f t="shared" si="47"/>
        <v>Friday</v>
      </c>
    </row>
    <row r="1513" spans="1:8">
      <c r="A1513" s="9">
        <v>206682036</v>
      </c>
      <c r="B1513" s="6">
        <v>45002</v>
      </c>
      <c r="C1513" s="1"/>
      <c r="D1513" s="1" t="s">
        <v>7</v>
      </c>
      <c r="E1513" s="1">
        <v>39</v>
      </c>
      <c r="F1513" s="1" t="s">
        <v>6</v>
      </c>
      <c r="G1513" s="44" t="str">
        <f t="shared" si="46"/>
        <v/>
      </c>
      <c r="H1513" s="10" t="str">
        <f t="shared" si="47"/>
        <v>Friday</v>
      </c>
    </row>
    <row r="1514" spans="1:8">
      <c r="A1514" s="9">
        <v>206149654</v>
      </c>
      <c r="B1514" s="6">
        <v>45002</v>
      </c>
      <c r="C1514" s="1"/>
      <c r="D1514" s="1" t="s">
        <v>7</v>
      </c>
      <c r="E1514" s="1">
        <v>39</v>
      </c>
      <c r="F1514" s="1" t="s">
        <v>6</v>
      </c>
      <c r="G1514" s="44" t="str">
        <f t="shared" si="46"/>
        <v/>
      </c>
      <c r="H1514" s="10" t="str">
        <f t="shared" si="47"/>
        <v>Friday</v>
      </c>
    </row>
    <row r="1515" spans="1:8">
      <c r="A1515" s="9">
        <v>206653056</v>
      </c>
      <c r="B1515" s="6">
        <v>45002</v>
      </c>
      <c r="C1515" s="1"/>
      <c r="D1515" s="1" t="s">
        <v>7</v>
      </c>
      <c r="E1515" s="1">
        <v>39</v>
      </c>
      <c r="F1515" s="1" t="s">
        <v>6</v>
      </c>
      <c r="G1515" s="44" t="str">
        <f t="shared" si="46"/>
        <v/>
      </c>
      <c r="H1515" s="10" t="str">
        <f t="shared" si="47"/>
        <v>Friday</v>
      </c>
    </row>
    <row r="1516" spans="1:8">
      <c r="A1516" s="9">
        <v>198466025</v>
      </c>
      <c r="B1516" s="6">
        <v>45002</v>
      </c>
      <c r="C1516" s="1"/>
      <c r="D1516" s="1" t="s">
        <v>7</v>
      </c>
      <c r="E1516" s="1">
        <v>39</v>
      </c>
      <c r="F1516" s="1" t="s">
        <v>6</v>
      </c>
      <c r="G1516" s="44" t="str">
        <f t="shared" si="46"/>
        <v/>
      </c>
      <c r="H1516" s="10" t="str">
        <f t="shared" si="47"/>
        <v>Friday</v>
      </c>
    </row>
    <row r="1517" spans="1:8">
      <c r="A1517" s="9">
        <v>206685935</v>
      </c>
      <c r="B1517" s="6">
        <v>45002</v>
      </c>
      <c r="C1517" s="6">
        <v>45003</v>
      </c>
      <c r="D1517" s="1" t="s">
        <v>8</v>
      </c>
      <c r="E1517" s="1">
        <v>39</v>
      </c>
      <c r="F1517" s="1" t="s">
        <v>6</v>
      </c>
      <c r="G1517" s="44">
        <f t="shared" si="46"/>
        <v>1</v>
      </c>
      <c r="H1517" s="10" t="str">
        <f t="shared" si="47"/>
        <v>Friday</v>
      </c>
    </row>
    <row r="1518" spans="1:8">
      <c r="A1518" s="9">
        <v>206659390</v>
      </c>
      <c r="B1518" s="6">
        <v>45002</v>
      </c>
      <c r="C1518" s="6">
        <v>45003</v>
      </c>
      <c r="D1518" s="1" t="s">
        <v>8</v>
      </c>
      <c r="E1518" s="1">
        <v>39</v>
      </c>
      <c r="F1518" s="1" t="s">
        <v>6</v>
      </c>
      <c r="G1518" s="44">
        <f t="shared" si="46"/>
        <v>1</v>
      </c>
      <c r="H1518" s="10" t="str">
        <f t="shared" si="47"/>
        <v>Friday</v>
      </c>
    </row>
    <row r="1519" spans="1:8">
      <c r="A1519" s="9">
        <v>206550926</v>
      </c>
      <c r="B1519" s="6">
        <v>45002</v>
      </c>
      <c r="C1519" s="6">
        <v>45033</v>
      </c>
      <c r="D1519" s="1" t="s">
        <v>7</v>
      </c>
      <c r="E1519" s="1">
        <v>39</v>
      </c>
      <c r="F1519" s="1" t="s">
        <v>6</v>
      </c>
      <c r="G1519" s="44">
        <f t="shared" si="46"/>
        <v>31</v>
      </c>
      <c r="H1519" s="10" t="str">
        <f t="shared" si="47"/>
        <v>Friday</v>
      </c>
    </row>
    <row r="1520" spans="1:8">
      <c r="A1520" s="9">
        <v>206673590</v>
      </c>
      <c r="B1520" s="6">
        <v>45002</v>
      </c>
      <c r="C1520" s="6">
        <v>45015</v>
      </c>
      <c r="D1520" s="1" t="s">
        <v>7</v>
      </c>
      <c r="E1520" s="1">
        <v>39</v>
      </c>
      <c r="F1520" s="1" t="s">
        <v>6</v>
      </c>
      <c r="G1520" s="44">
        <f t="shared" si="46"/>
        <v>13</v>
      </c>
      <c r="H1520" s="10" t="str">
        <f t="shared" si="47"/>
        <v>Friday</v>
      </c>
    </row>
    <row r="1521" spans="1:8">
      <c r="A1521" s="9">
        <v>205593462</v>
      </c>
      <c r="B1521" s="6">
        <v>45002</v>
      </c>
      <c r="C1521" s="6">
        <v>45148</v>
      </c>
      <c r="D1521" s="1" t="s">
        <v>7</v>
      </c>
      <c r="E1521" s="1">
        <v>39</v>
      </c>
      <c r="F1521" s="1" t="s">
        <v>6</v>
      </c>
      <c r="G1521" s="44">
        <f t="shared" si="46"/>
        <v>146</v>
      </c>
      <c r="H1521" s="10" t="str">
        <f t="shared" si="47"/>
        <v>Friday</v>
      </c>
    </row>
    <row r="1522" spans="1:8">
      <c r="A1522" s="9">
        <v>205889926</v>
      </c>
      <c r="B1522" s="6">
        <v>45003</v>
      </c>
      <c r="C1522" s="1"/>
      <c r="D1522" s="1" t="s">
        <v>7</v>
      </c>
      <c r="E1522" s="1">
        <v>39</v>
      </c>
      <c r="F1522" s="1" t="s">
        <v>6</v>
      </c>
      <c r="G1522" s="44" t="str">
        <f t="shared" si="46"/>
        <v/>
      </c>
      <c r="H1522" s="10" t="str">
        <f t="shared" si="47"/>
        <v>Saturday</v>
      </c>
    </row>
    <row r="1523" spans="1:8">
      <c r="A1523" s="9">
        <v>151713121</v>
      </c>
      <c r="B1523" s="6">
        <v>45003</v>
      </c>
      <c r="C1523" s="1"/>
      <c r="D1523" s="1" t="s">
        <v>7</v>
      </c>
      <c r="E1523" s="1">
        <v>39</v>
      </c>
      <c r="F1523" s="1" t="s">
        <v>6</v>
      </c>
      <c r="G1523" s="44" t="str">
        <f t="shared" si="46"/>
        <v/>
      </c>
      <c r="H1523" s="10" t="str">
        <f t="shared" si="47"/>
        <v>Saturday</v>
      </c>
    </row>
    <row r="1524" spans="1:8">
      <c r="A1524" s="9">
        <v>206759898</v>
      </c>
      <c r="B1524" s="6">
        <v>45003</v>
      </c>
      <c r="C1524" s="6">
        <v>45004</v>
      </c>
      <c r="D1524" s="1" t="s">
        <v>8</v>
      </c>
      <c r="E1524" s="1">
        <v>39</v>
      </c>
      <c r="F1524" s="1" t="s">
        <v>6</v>
      </c>
      <c r="G1524" s="44">
        <f t="shared" si="46"/>
        <v>1</v>
      </c>
      <c r="H1524" s="10" t="str">
        <f t="shared" si="47"/>
        <v>Saturday</v>
      </c>
    </row>
    <row r="1525" spans="1:8">
      <c r="A1525" s="9">
        <v>206750792</v>
      </c>
      <c r="B1525" s="6">
        <v>45003</v>
      </c>
      <c r="C1525" s="6">
        <v>45004</v>
      </c>
      <c r="D1525" s="1" t="s">
        <v>8</v>
      </c>
      <c r="E1525" s="1">
        <v>39</v>
      </c>
      <c r="F1525" s="1" t="s">
        <v>6</v>
      </c>
      <c r="G1525" s="44">
        <f t="shared" si="46"/>
        <v>1</v>
      </c>
      <c r="H1525" s="10" t="str">
        <f t="shared" si="47"/>
        <v>Saturday</v>
      </c>
    </row>
    <row r="1526" spans="1:8">
      <c r="A1526" s="9">
        <v>206742592</v>
      </c>
      <c r="B1526" s="6">
        <v>45003</v>
      </c>
      <c r="C1526" s="6">
        <v>45004</v>
      </c>
      <c r="D1526" s="1" t="s">
        <v>8</v>
      </c>
      <c r="E1526" s="1">
        <v>39</v>
      </c>
      <c r="F1526" s="1" t="s">
        <v>6</v>
      </c>
      <c r="G1526" s="44">
        <f t="shared" si="46"/>
        <v>1</v>
      </c>
      <c r="H1526" s="10" t="str">
        <f t="shared" si="47"/>
        <v>Saturday</v>
      </c>
    </row>
    <row r="1527" spans="1:8">
      <c r="A1527" s="9">
        <v>206700008</v>
      </c>
      <c r="B1527" s="6">
        <v>45003</v>
      </c>
      <c r="C1527" s="6">
        <v>45004</v>
      </c>
      <c r="D1527" s="1" t="s">
        <v>8</v>
      </c>
      <c r="E1527" s="1">
        <v>39</v>
      </c>
      <c r="F1527" s="1" t="s">
        <v>6</v>
      </c>
      <c r="G1527" s="44">
        <f t="shared" si="46"/>
        <v>1</v>
      </c>
      <c r="H1527" s="10" t="str">
        <f t="shared" si="47"/>
        <v>Saturday</v>
      </c>
    </row>
    <row r="1528" spans="1:8">
      <c r="A1528" s="9">
        <v>156170916</v>
      </c>
      <c r="B1528" s="6">
        <v>45003</v>
      </c>
      <c r="C1528" s="6">
        <v>45152</v>
      </c>
      <c r="D1528" s="1" t="s">
        <v>7</v>
      </c>
      <c r="E1528" s="1">
        <v>39</v>
      </c>
      <c r="F1528" s="1" t="s">
        <v>6</v>
      </c>
      <c r="G1528" s="44">
        <f t="shared" si="46"/>
        <v>149</v>
      </c>
      <c r="H1528" s="10" t="str">
        <f t="shared" si="47"/>
        <v>Saturday</v>
      </c>
    </row>
    <row r="1529" spans="1:8">
      <c r="A1529" s="9">
        <v>206607664</v>
      </c>
      <c r="B1529" s="6">
        <v>45003</v>
      </c>
      <c r="C1529" s="6">
        <v>45041</v>
      </c>
      <c r="D1529" s="1" t="s">
        <v>7</v>
      </c>
      <c r="E1529" s="1">
        <v>39</v>
      </c>
      <c r="F1529" s="1" t="s">
        <v>6</v>
      </c>
      <c r="G1529" s="44">
        <f t="shared" si="46"/>
        <v>38</v>
      </c>
      <c r="H1529" s="10" t="str">
        <f t="shared" si="47"/>
        <v>Saturday</v>
      </c>
    </row>
    <row r="1530" spans="1:8">
      <c r="A1530" s="9">
        <v>183332399</v>
      </c>
      <c r="B1530" s="6">
        <v>45004</v>
      </c>
      <c r="C1530" s="1"/>
      <c r="D1530" s="1" t="s">
        <v>7</v>
      </c>
      <c r="E1530" s="1">
        <v>39</v>
      </c>
      <c r="F1530" s="1" t="s">
        <v>6</v>
      </c>
      <c r="G1530" s="44" t="str">
        <f t="shared" si="46"/>
        <v/>
      </c>
      <c r="H1530" s="10" t="str">
        <f t="shared" si="47"/>
        <v>Sunday</v>
      </c>
    </row>
    <row r="1531" spans="1:8">
      <c r="A1531" s="9">
        <v>176705210</v>
      </c>
      <c r="B1531" s="6">
        <v>45004</v>
      </c>
      <c r="C1531" s="6">
        <v>45005</v>
      </c>
      <c r="D1531" s="1" t="s">
        <v>7</v>
      </c>
      <c r="E1531" s="1">
        <v>39</v>
      </c>
      <c r="F1531" s="1" t="s">
        <v>6</v>
      </c>
      <c r="G1531" s="44">
        <f t="shared" si="46"/>
        <v>1</v>
      </c>
      <c r="H1531" s="10" t="str">
        <f t="shared" si="47"/>
        <v>Sunday</v>
      </c>
    </row>
    <row r="1532" spans="1:8">
      <c r="A1532" s="9">
        <v>154901722</v>
      </c>
      <c r="B1532" s="6">
        <v>45004</v>
      </c>
      <c r="C1532" s="6">
        <v>45004</v>
      </c>
      <c r="D1532" s="1" t="s">
        <v>7</v>
      </c>
      <c r="E1532" s="1">
        <v>39</v>
      </c>
      <c r="F1532" s="1" t="s">
        <v>6</v>
      </c>
      <c r="G1532" s="44">
        <f t="shared" si="46"/>
        <v>0</v>
      </c>
      <c r="H1532" s="10" t="str">
        <f t="shared" si="47"/>
        <v>Sunday</v>
      </c>
    </row>
    <row r="1533" spans="1:8">
      <c r="A1533" s="9">
        <v>153438676</v>
      </c>
      <c r="B1533" s="6">
        <v>45004</v>
      </c>
      <c r="C1533" s="6">
        <v>45072</v>
      </c>
      <c r="D1533" s="1" t="s">
        <v>7</v>
      </c>
      <c r="E1533" s="1">
        <v>39</v>
      </c>
      <c r="F1533" s="1" t="s">
        <v>6</v>
      </c>
      <c r="G1533" s="44">
        <f t="shared" si="46"/>
        <v>68</v>
      </c>
      <c r="H1533" s="10" t="str">
        <f t="shared" si="47"/>
        <v>Sunday</v>
      </c>
    </row>
    <row r="1534" spans="1:8">
      <c r="A1534" s="9">
        <v>154901722</v>
      </c>
      <c r="B1534" s="6">
        <v>45004</v>
      </c>
      <c r="C1534" s="6">
        <v>45050</v>
      </c>
      <c r="D1534" s="1" t="s">
        <v>7</v>
      </c>
      <c r="E1534" s="1">
        <v>39</v>
      </c>
      <c r="F1534" s="1" t="s">
        <v>6</v>
      </c>
      <c r="G1534" s="44">
        <f t="shared" si="46"/>
        <v>46</v>
      </c>
      <c r="H1534" s="10" t="str">
        <f t="shared" si="47"/>
        <v>Sunday</v>
      </c>
    </row>
    <row r="1535" spans="1:8">
      <c r="A1535" s="9">
        <v>123768696</v>
      </c>
      <c r="B1535" s="6">
        <v>45004</v>
      </c>
      <c r="C1535" s="6">
        <v>45027</v>
      </c>
      <c r="D1535" s="1" t="s">
        <v>7</v>
      </c>
      <c r="E1535" s="1">
        <v>39</v>
      </c>
      <c r="F1535" s="1" t="s">
        <v>6</v>
      </c>
      <c r="G1535" s="44">
        <f t="shared" si="46"/>
        <v>23</v>
      </c>
      <c r="H1535" s="10" t="str">
        <f t="shared" si="47"/>
        <v>Sunday</v>
      </c>
    </row>
    <row r="1536" spans="1:8">
      <c r="A1536" s="9">
        <v>142976081</v>
      </c>
      <c r="B1536" s="6">
        <v>45004</v>
      </c>
      <c r="C1536" s="6">
        <v>45035</v>
      </c>
      <c r="D1536" s="1" t="s">
        <v>7</v>
      </c>
      <c r="E1536" s="1">
        <v>39</v>
      </c>
      <c r="F1536" s="1" t="s">
        <v>6</v>
      </c>
      <c r="G1536" s="44">
        <f t="shared" si="46"/>
        <v>31</v>
      </c>
      <c r="H1536" s="10" t="str">
        <f t="shared" si="47"/>
        <v>Sunday</v>
      </c>
    </row>
    <row r="1537" spans="1:8">
      <c r="A1537" s="9">
        <v>152223051</v>
      </c>
      <c r="B1537" s="6">
        <v>45005</v>
      </c>
      <c r="C1537" s="1"/>
      <c r="D1537" s="1" t="s">
        <v>7</v>
      </c>
      <c r="E1537" s="1">
        <v>39</v>
      </c>
      <c r="F1537" s="1" t="s">
        <v>6</v>
      </c>
      <c r="G1537" s="44" t="str">
        <f t="shared" si="46"/>
        <v/>
      </c>
      <c r="H1537" s="10" t="str">
        <f t="shared" si="47"/>
        <v>Monday</v>
      </c>
    </row>
    <row r="1538" spans="1:8">
      <c r="A1538" s="9">
        <v>206865174</v>
      </c>
      <c r="B1538" s="6">
        <v>45005</v>
      </c>
      <c r="C1538" s="1"/>
      <c r="D1538" s="1" t="s">
        <v>7</v>
      </c>
      <c r="E1538" s="1">
        <v>39</v>
      </c>
      <c r="F1538" s="1" t="s">
        <v>6</v>
      </c>
      <c r="G1538" s="44" t="str">
        <f t="shared" si="46"/>
        <v/>
      </c>
      <c r="H1538" s="10" t="str">
        <f t="shared" si="47"/>
        <v>Monday</v>
      </c>
    </row>
    <row r="1539" spans="1:8">
      <c r="A1539" s="9">
        <v>143327052</v>
      </c>
      <c r="B1539" s="6">
        <v>45005</v>
      </c>
      <c r="C1539" s="1"/>
      <c r="D1539" s="1" t="s">
        <v>7</v>
      </c>
      <c r="E1539" s="1">
        <v>39</v>
      </c>
      <c r="F1539" s="1" t="s">
        <v>6</v>
      </c>
      <c r="G1539" s="44" t="str">
        <f t="shared" ref="G1539:G1602" si="48">IF(C1539="", "", DATEDIF(B1539, C1539, "D"))</f>
        <v/>
      </c>
      <c r="H1539" s="10" t="str">
        <f t="shared" ref="H1539:H1602" si="49">TEXT(B1539, "dddd")</f>
        <v>Monday</v>
      </c>
    </row>
    <row r="1540" spans="1:8">
      <c r="A1540" s="9">
        <v>202270426</v>
      </c>
      <c r="B1540" s="6">
        <v>45005</v>
      </c>
      <c r="C1540" s="6">
        <v>45006</v>
      </c>
      <c r="D1540" s="1" t="s">
        <v>7</v>
      </c>
      <c r="E1540" s="1">
        <v>39</v>
      </c>
      <c r="F1540" s="1" t="s">
        <v>6</v>
      </c>
      <c r="G1540" s="44">
        <f t="shared" si="48"/>
        <v>1</v>
      </c>
      <c r="H1540" s="10" t="str">
        <f t="shared" si="49"/>
        <v>Monday</v>
      </c>
    </row>
    <row r="1541" spans="1:8">
      <c r="A1541" s="9">
        <v>185602413</v>
      </c>
      <c r="B1541" s="6">
        <v>45005</v>
      </c>
      <c r="C1541" s="6">
        <v>45104</v>
      </c>
      <c r="D1541" s="1" t="s">
        <v>7</v>
      </c>
      <c r="E1541" s="1">
        <v>39</v>
      </c>
      <c r="F1541" s="1" t="s">
        <v>6</v>
      </c>
      <c r="G1541" s="44">
        <f t="shared" si="48"/>
        <v>99</v>
      </c>
      <c r="H1541" s="10" t="str">
        <f t="shared" si="49"/>
        <v>Monday</v>
      </c>
    </row>
    <row r="1542" spans="1:8">
      <c r="A1542" s="9">
        <v>206679618</v>
      </c>
      <c r="B1542" s="6">
        <v>45005</v>
      </c>
      <c r="C1542" s="6">
        <v>45047</v>
      </c>
      <c r="D1542" s="1" t="s">
        <v>7</v>
      </c>
      <c r="E1542" s="1">
        <v>39</v>
      </c>
      <c r="F1542" s="1" t="s">
        <v>6</v>
      </c>
      <c r="G1542" s="44">
        <f t="shared" si="48"/>
        <v>42</v>
      </c>
      <c r="H1542" s="10" t="str">
        <f t="shared" si="49"/>
        <v>Monday</v>
      </c>
    </row>
    <row r="1543" spans="1:8">
      <c r="A1543" s="9">
        <v>127561439</v>
      </c>
      <c r="B1543" s="6">
        <v>45005</v>
      </c>
      <c r="C1543" s="6">
        <v>45035</v>
      </c>
      <c r="D1543" s="1" t="s">
        <v>7</v>
      </c>
      <c r="E1543" s="1">
        <v>39</v>
      </c>
      <c r="F1543" s="1" t="s">
        <v>6</v>
      </c>
      <c r="G1543" s="44">
        <f t="shared" si="48"/>
        <v>30</v>
      </c>
      <c r="H1543" s="10" t="str">
        <f t="shared" si="49"/>
        <v>Monday</v>
      </c>
    </row>
    <row r="1544" spans="1:8">
      <c r="A1544" s="9">
        <v>176705210</v>
      </c>
      <c r="B1544" s="6">
        <v>45005</v>
      </c>
      <c r="C1544" s="6">
        <v>45005</v>
      </c>
      <c r="D1544" s="1" t="s">
        <v>7</v>
      </c>
      <c r="E1544" s="1">
        <v>39</v>
      </c>
      <c r="F1544" s="1" t="s">
        <v>6</v>
      </c>
      <c r="G1544" s="44">
        <f t="shared" si="48"/>
        <v>0</v>
      </c>
      <c r="H1544" s="10" t="str">
        <f t="shared" si="49"/>
        <v>Monday</v>
      </c>
    </row>
    <row r="1545" spans="1:8">
      <c r="A1545" s="9">
        <v>206693452</v>
      </c>
      <c r="B1545" s="6">
        <v>45006</v>
      </c>
      <c r="C1545" s="1"/>
      <c r="D1545" s="1" t="s">
        <v>7</v>
      </c>
      <c r="E1545" s="1">
        <v>39</v>
      </c>
      <c r="F1545" s="1" t="s">
        <v>6</v>
      </c>
      <c r="G1545" s="44" t="str">
        <f t="shared" si="48"/>
        <v/>
      </c>
      <c r="H1545" s="10" t="str">
        <f t="shared" si="49"/>
        <v>Tuesday</v>
      </c>
    </row>
    <row r="1546" spans="1:8">
      <c r="A1546" s="9">
        <v>193499084</v>
      </c>
      <c r="B1546" s="6">
        <v>45006</v>
      </c>
      <c r="C1546" s="1"/>
      <c r="D1546" s="1" t="s">
        <v>7</v>
      </c>
      <c r="E1546" s="1">
        <v>39</v>
      </c>
      <c r="F1546" s="1" t="s">
        <v>6</v>
      </c>
      <c r="G1546" s="44" t="str">
        <f t="shared" si="48"/>
        <v/>
      </c>
      <c r="H1546" s="10" t="str">
        <f t="shared" si="49"/>
        <v>Tuesday</v>
      </c>
    </row>
    <row r="1547" spans="1:8">
      <c r="A1547" s="9">
        <v>206995576</v>
      </c>
      <c r="B1547" s="6">
        <v>45006</v>
      </c>
      <c r="C1547" s="6">
        <v>45163</v>
      </c>
      <c r="D1547" s="1" t="s">
        <v>7</v>
      </c>
      <c r="E1547" s="1">
        <v>39</v>
      </c>
      <c r="F1547" s="1" t="s">
        <v>6</v>
      </c>
      <c r="G1547" s="44">
        <f t="shared" si="48"/>
        <v>157</v>
      </c>
      <c r="H1547" s="10" t="str">
        <f t="shared" si="49"/>
        <v>Tuesday</v>
      </c>
    </row>
    <row r="1548" spans="1:8">
      <c r="A1548" s="9">
        <v>154783053</v>
      </c>
      <c r="B1548" s="6">
        <v>45006</v>
      </c>
      <c r="C1548" s="6">
        <v>45050</v>
      </c>
      <c r="D1548" s="1" t="s">
        <v>7</v>
      </c>
      <c r="E1548" s="1">
        <v>39</v>
      </c>
      <c r="F1548" s="1" t="s">
        <v>6</v>
      </c>
      <c r="G1548" s="44">
        <f t="shared" si="48"/>
        <v>44</v>
      </c>
      <c r="H1548" s="10" t="str">
        <f t="shared" si="49"/>
        <v>Tuesday</v>
      </c>
    </row>
    <row r="1549" spans="1:8">
      <c r="A1549" s="9">
        <v>158349405</v>
      </c>
      <c r="B1549" s="6">
        <v>45006</v>
      </c>
      <c r="C1549" s="6">
        <v>45154</v>
      </c>
      <c r="D1549" s="1" t="s">
        <v>7</v>
      </c>
      <c r="E1549" s="1">
        <v>39</v>
      </c>
      <c r="F1549" s="1" t="s">
        <v>6</v>
      </c>
      <c r="G1549" s="44">
        <f t="shared" si="48"/>
        <v>148</v>
      </c>
      <c r="H1549" s="10" t="str">
        <f t="shared" si="49"/>
        <v>Tuesday</v>
      </c>
    </row>
    <row r="1550" spans="1:8">
      <c r="A1550" s="9">
        <v>205554002</v>
      </c>
      <c r="B1550" s="6">
        <v>45006</v>
      </c>
      <c r="C1550" s="6">
        <v>45153</v>
      </c>
      <c r="D1550" s="1" t="s">
        <v>7</v>
      </c>
      <c r="E1550" s="1">
        <v>39</v>
      </c>
      <c r="F1550" s="1" t="s">
        <v>6</v>
      </c>
      <c r="G1550" s="44">
        <f t="shared" si="48"/>
        <v>147</v>
      </c>
      <c r="H1550" s="10" t="str">
        <f t="shared" si="49"/>
        <v>Tuesday</v>
      </c>
    </row>
    <row r="1551" spans="1:8">
      <c r="A1551" s="9">
        <v>207045565</v>
      </c>
      <c r="B1551" s="6">
        <v>45007</v>
      </c>
      <c r="C1551" s="1"/>
      <c r="D1551" s="1" t="s">
        <v>7</v>
      </c>
      <c r="E1551" s="1">
        <v>39</v>
      </c>
      <c r="F1551" s="1" t="s">
        <v>6</v>
      </c>
      <c r="G1551" s="44" t="str">
        <f t="shared" si="48"/>
        <v/>
      </c>
      <c r="H1551" s="10" t="str">
        <f t="shared" si="49"/>
        <v>Wednesday</v>
      </c>
    </row>
    <row r="1552" spans="1:8">
      <c r="A1552" s="9">
        <v>205483607</v>
      </c>
      <c r="B1552" s="6">
        <v>45007</v>
      </c>
      <c r="C1552" s="1"/>
      <c r="D1552" s="1" t="s">
        <v>7</v>
      </c>
      <c r="E1552" s="1">
        <v>39</v>
      </c>
      <c r="F1552" s="1" t="s">
        <v>6</v>
      </c>
      <c r="G1552" s="44" t="str">
        <f t="shared" si="48"/>
        <v/>
      </c>
      <c r="H1552" s="10" t="str">
        <f t="shared" si="49"/>
        <v>Wednesday</v>
      </c>
    </row>
    <row r="1553" spans="1:8">
      <c r="A1553" s="9">
        <v>147662374</v>
      </c>
      <c r="B1553" s="6">
        <v>45007</v>
      </c>
      <c r="C1553" s="1"/>
      <c r="D1553" s="1" t="s">
        <v>7</v>
      </c>
      <c r="E1553" s="1">
        <v>39</v>
      </c>
      <c r="F1553" s="1" t="s">
        <v>6</v>
      </c>
      <c r="G1553" s="44" t="str">
        <f t="shared" si="48"/>
        <v/>
      </c>
      <c r="H1553" s="10" t="str">
        <f t="shared" si="49"/>
        <v>Wednesday</v>
      </c>
    </row>
    <row r="1554" spans="1:8">
      <c r="A1554" s="9">
        <v>150652956</v>
      </c>
      <c r="B1554" s="6">
        <v>45007</v>
      </c>
      <c r="C1554" s="6">
        <v>45027</v>
      </c>
      <c r="D1554" s="1" t="s">
        <v>7</v>
      </c>
      <c r="E1554" s="1">
        <v>39</v>
      </c>
      <c r="F1554" s="1" t="s">
        <v>6</v>
      </c>
      <c r="G1554" s="44">
        <f t="shared" si="48"/>
        <v>20</v>
      </c>
      <c r="H1554" s="10" t="str">
        <f t="shared" si="49"/>
        <v>Wednesday</v>
      </c>
    </row>
    <row r="1555" spans="1:8">
      <c r="A1555" s="9">
        <v>206527656</v>
      </c>
      <c r="B1555" s="6">
        <v>45007</v>
      </c>
      <c r="C1555" s="6">
        <v>45085</v>
      </c>
      <c r="D1555" s="1" t="s">
        <v>7</v>
      </c>
      <c r="E1555" s="1">
        <v>39</v>
      </c>
      <c r="F1555" s="1" t="s">
        <v>6</v>
      </c>
      <c r="G1555" s="44">
        <f t="shared" si="48"/>
        <v>78</v>
      </c>
      <c r="H1555" s="10" t="str">
        <f t="shared" si="49"/>
        <v>Wednesday</v>
      </c>
    </row>
    <row r="1556" spans="1:8">
      <c r="A1556" s="9">
        <v>207041353</v>
      </c>
      <c r="B1556" s="6">
        <v>45007</v>
      </c>
      <c r="C1556" s="6">
        <v>45065</v>
      </c>
      <c r="D1556" s="1" t="s">
        <v>7</v>
      </c>
      <c r="E1556" s="1">
        <v>39</v>
      </c>
      <c r="F1556" s="1" t="s">
        <v>6</v>
      </c>
      <c r="G1556" s="44">
        <f t="shared" si="48"/>
        <v>58</v>
      </c>
      <c r="H1556" s="10" t="str">
        <f t="shared" si="49"/>
        <v>Wednesday</v>
      </c>
    </row>
    <row r="1557" spans="1:8">
      <c r="A1557" s="9">
        <v>204448911</v>
      </c>
      <c r="B1557" s="6">
        <v>45007</v>
      </c>
      <c r="C1557" s="6">
        <v>45037</v>
      </c>
      <c r="D1557" s="1" t="s">
        <v>7</v>
      </c>
      <c r="E1557" s="1">
        <v>39</v>
      </c>
      <c r="F1557" s="1" t="s">
        <v>6</v>
      </c>
      <c r="G1557" s="44">
        <f t="shared" si="48"/>
        <v>30</v>
      </c>
      <c r="H1557" s="10" t="str">
        <f t="shared" si="49"/>
        <v>Wednesday</v>
      </c>
    </row>
    <row r="1558" spans="1:8">
      <c r="A1558" s="9">
        <v>206951785</v>
      </c>
      <c r="B1558" s="6">
        <v>45007</v>
      </c>
      <c r="C1558" s="6">
        <v>45036</v>
      </c>
      <c r="D1558" s="1" t="s">
        <v>7</v>
      </c>
      <c r="E1558" s="1">
        <v>39</v>
      </c>
      <c r="F1558" s="1" t="s">
        <v>6</v>
      </c>
      <c r="G1558" s="44">
        <f t="shared" si="48"/>
        <v>29</v>
      </c>
      <c r="H1558" s="10" t="str">
        <f t="shared" si="49"/>
        <v>Wednesday</v>
      </c>
    </row>
    <row r="1559" spans="1:8">
      <c r="A1559" s="9">
        <v>206892555</v>
      </c>
      <c r="B1559" s="6">
        <v>45007</v>
      </c>
      <c r="C1559" s="6">
        <v>45009</v>
      </c>
      <c r="D1559" s="1" t="s">
        <v>7</v>
      </c>
      <c r="E1559" s="1">
        <v>39</v>
      </c>
      <c r="F1559" s="1" t="s">
        <v>6</v>
      </c>
      <c r="G1559" s="44">
        <f t="shared" si="48"/>
        <v>2</v>
      </c>
      <c r="H1559" s="10" t="str">
        <f t="shared" si="49"/>
        <v>Wednesday</v>
      </c>
    </row>
    <row r="1560" spans="1:8">
      <c r="A1560" s="9">
        <v>207051401</v>
      </c>
      <c r="B1560" s="6">
        <v>45008</v>
      </c>
      <c r="C1560" s="1"/>
      <c r="D1560" s="1" t="s">
        <v>7</v>
      </c>
      <c r="E1560" s="1">
        <v>39</v>
      </c>
      <c r="F1560" s="1" t="s">
        <v>6</v>
      </c>
      <c r="G1560" s="44" t="str">
        <f t="shared" si="48"/>
        <v/>
      </c>
      <c r="H1560" s="10" t="str">
        <f t="shared" si="49"/>
        <v>Thursday</v>
      </c>
    </row>
    <row r="1561" spans="1:8">
      <c r="A1561" s="9">
        <v>206904848</v>
      </c>
      <c r="B1561" s="6">
        <v>45008</v>
      </c>
      <c r="C1561" s="1"/>
      <c r="D1561" s="1" t="s">
        <v>7</v>
      </c>
      <c r="E1561" s="1">
        <v>39</v>
      </c>
      <c r="F1561" s="1" t="s">
        <v>6</v>
      </c>
      <c r="G1561" s="44" t="str">
        <f t="shared" si="48"/>
        <v/>
      </c>
      <c r="H1561" s="10" t="str">
        <f t="shared" si="49"/>
        <v>Thursday</v>
      </c>
    </row>
    <row r="1562" spans="1:8">
      <c r="A1562" s="9">
        <v>204598188</v>
      </c>
      <c r="B1562" s="6">
        <v>45008</v>
      </c>
      <c r="C1562" s="6">
        <v>45169</v>
      </c>
      <c r="D1562" s="1" t="s">
        <v>7</v>
      </c>
      <c r="E1562" s="1">
        <v>39</v>
      </c>
      <c r="F1562" s="1" t="s">
        <v>6</v>
      </c>
      <c r="G1562" s="44">
        <f t="shared" si="48"/>
        <v>161</v>
      </c>
      <c r="H1562" s="10" t="str">
        <f t="shared" si="49"/>
        <v>Thursday</v>
      </c>
    </row>
    <row r="1563" spans="1:8">
      <c r="A1563" s="9">
        <v>206447228</v>
      </c>
      <c r="B1563" s="6">
        <v>45008</v>
      </c>
      <c r="C1563" s="6">
        <v>45072</v>
      </c>
      <c r="D1563" s="1" t="s">
        <v>7</v>
      </c>
      <c r="E1563" s="1">
        <v>39</v>
      </c>
      <c r="F1563" s="1" t="s">
        <v>6</v>
      </c>
      <c r="G1563" s="44">
        <f t="shared" si="48"/>
        <v>64</v>
      </c>
      <c r="H1563" s="10" t="str">
        <f t="shared" si="49"/>
        <v>Thursday</v>
      </c>
    </row>
    <row r="1564" spans="1:8">
      <c r="A1564" s="9">
        <v>206190599</v>
      </c>
      <c r="B1564" s="6">
        <v>45008</v>
      </c>
      <c r="C1564" s="6">
        <v>45057</v>
      </c>
      <c r="D1564" s="1" t="s">
        <v>7</v>
      </c>
      <c r="E1564" s="1">
        <v>39</v>
      </c>
      <c r="F1564" s="1" t="s">
        <v>6</v>
      </c>
      <c r="G1564" s="44">
        <f t="shared" si="48"/>
        <v>49</v>
      </c>
      <c r="H1564" s="10" t="str">
        <f t="shared" si="49"/>
        <v>Thursday</v>
      </c>
    </row>
    <row r="1565" spans="1:8">
      <c r="A1565" s="9">
        <v>207014740</v>
      </c>
      <c r="B1565" s="6">
        <v>45008</v>
      </c>
      <c r="C1565" s="6">
        <v>45023</v>
      </c>
      <c r="D1565" s="1" t="s">
        <v>7</v>
      </c>
      <c r="E1565" s="1">
        <v>39</v>
      </c>
      <c r="F1565" s="1" t="s">
        <v>6</v>
      </c>
      <c r="G1565" s="44">
        <f t="shared" si="48"/>
        <v>15</v>
      </c>
      <c r="H1565" s="10" t="str">
        <f t="shared" si="49"/>
        <v>Thursday</v>
      </c>
    </row>
    <row r="1566" spans="1:8">
      <c r="A1566" s="9">
        <v>156762690</v>
      </c>
      <c r="B1566" s="6">
        <v>45008</v>
      </c>
      <c r="C1566" s="6">
        <v>45037</v>
      </c>
      <c r="D1566" s="1" t="s">
        <v>7</v>
      </c>
      <c r="E1566" s="1">
        <v>39</v>
      </c>
      <c r="F1566" s="1" t="s">
        <v>6</v>
      </c>
      <c r="G1566" s="44">
        <f t="shared" si="48"/>
        <v>29</v>
      </c>
      <c r="H1566" s="10" t="str">
        <f t="shared" si="49"/>
        <v>Thursday</v>
      </c>
    </row>
    <row r="1567" spans="1:8">
      <c r="A1567" s="9">
        <v>207116463</v>
      </c>
      <c r="B1567" s="6">
        <v>45008</v>
      </c>
      <c r="C1567" s="6">
        <v>45037</v>
      </c>
      <c r="D1567" s="1" t="s">
        <v>7</v>
      </c>
      <c r="E1567" s="1">
        <v>39</v>
      </c>
      <c r="F1567" s="1" t="s">
        <v>6</v>
      </c>
      <c r="G1567" s="44">
        <f t="shared" si="48"/>
        <v>29</v>
      </c>
      <c r="H1567" s="10" t="str">
        <f t="shared" si="49"/>
        <v>Thursday</v>
      </c>
    </row>
    <row r="1568" spans="1:8">
      <c r="A1568" s="9">
        <v>206555111</v>
      </c>
      <c r="B1568" s="6">
        <v>45008</v>
      </c>
      <c r="C1568" s="6">
        <v>45033</v>
      </c>
      <c r="D1568" s="1" t="s">
        <v>7</v>
      </c>
      <c r="E1568" s="1">
        <v>39</v>
      </c>
      <c r="F1568" s="1" t="s">
        <v>6</v>
      </c>
      <c r="G1568" s="44">
        <f t="shared" si="48"/>
        <v>25</v>
      </c>
      <c r="H1568" s="10" t="str">
        <f t="shared" si="49"/>
        <v>Thursday</v>
      </c>
    </row>
    <row r="1569" spans="1:8">
      <c r="A1569" s="9">
        <v>169543155</v>
      </c>
      <c r="B1569" s="6">
        <v>45008</v>
      </c>
      <c r="C1569" s="6">
        <v>45046</v>
      </c>
      <c r="D1569" s="1" t="s">
        <v>7</v>
      </c>
      <c r="E1569" s="1">
        <v>39</v>
      </c>
      <c r="F1569" s="1" t="s">
        <v>6</v>
      </c>
      <c r="G1569" s="44">
        <f t="shared" si="48"/>
        <v>38</v>
      </c>
      <c r="H1569" s="10" t="str">
        <f t="shared" si="49"/>
        <v>Thursday</v>
      </c>
    </row>
    <row r="1570" spans="1:8">
      <c r="A1570" s="9">
        <v>202270426</v>
      </c>
      <c r="B1570" s="6">
        <v>45008</v>
      </c>
      <c r="C1570" s="6">
        <v>45046</v>
      </c>
      <c r="D1570" s="1" t="s">
        <v>7</v>
      </c>
      <c r="E1570" s="1">
        <v>39</v>
      </c>
      <c r="F1570" s="1" t="s">
        <v>6</v>
      </c>
      <c r="G1570" s="44">
        <f t="shared" si="48"/>
        <v>38</v>
      </c>
      <c r="H1570" s="10" t="str">
        <f t="shared" si="49"/>
        <v>Thursday</v>
      </c>
    </row>
    <row r="1571" spans="1:8">
      <c r="A1571" s="9">
        <v>207005361</v>
      </c>
      <c r="B1571" s="6">
        <v>45008</v>
      </c>
      <c r="C1571" s="6">
        <v>45118</v>
      </c>
      <c r="D1571" s="1" t="s">
        <v>7</v>
      </c>
      <c r="E1571" s="1">
        <v>39</v>
      </c>
      <c r="F1571" s="1" t="s">
        <v>6</v>
      </c>
      <c r="G1571" s="44">
        <f t="shared" si="48"/>
        <v>110</v>
      </c>
      <c r="H1571" s="10" t="str">
        <f t="shared" si="49"/>
        <v>Thursday</v>
      </c>
    </row>
    <row r="1572" spans="1:8">
      <c r="A1572" s="9">
        <v>206105763</v>
      </c>
      <c r="B1572" s="6">
        <v>45009</v>
      </c>
      <c r="C1572" s="1"/>
      <c r="D1572" s="1" t="s">
        <v>7</v>
      </c>
      <c r="E1572" s="1">
        <v>39</v>
      </c>
      <c r="F1572" s="1" t="s">
        <v>6</v>
      </c>
      <c r="G1572" s="44" t="str">
        <f t="shared" si="48"/>
        <v/>
      </c>
      <c r="H1572" s="10" t="str">
        <f t="shared" si="49"/>
        <v>Friday</v>
      </c>
    </row>
    <row r="1573" spans="1:8">
      <c r="A1573" s="9">
        <v>198968224</v>
      </c>
      <c r="B1573" s="6">
        <v>45009</v>
      </c>
      <c r="C1573" s="1"/>
      <c r="D1573" s="1" t="s">
        <v>7</v>
      </c>
      <c r="E1573" s="1">
        <v>39</v>
      </c>
      <c r="F1573" s="1" t="s">
        <v>6</v>
      </c>
      <c r="G1573" s="44" t="str">
        <f t="shared" si="48"/>
        <v/>
      </c>
      <c r="H1573" s="10" t="str">
        <f t="shared" si="49"/>
        <v>Friday</v>
      </c>
    </row>
    <row r="1574" spans="1:8">
      <c r="A1574" s="9">
        <v>205342230</v>
      </c>
      <c r="B1574" s="6">
        <v>45009</v>
      </c>
      <c r="C1574" s="1"/>
      <c r="D1574" s="1" t="s">
        <v>7</v>
      </c>
      <c r="E1574" s="1">
        <v>39</v>
      </c>
      <c r="F1574" s="1" t="s">
        <v>6</v>
      </c>
      <c r="G1574" s="44" t="str">
        <f t="shared" si="48"/>
        <v/>
      </c>
      <c r="H1574" s="10" t="str">
        <f t="shared" si="49"/>
        <v>Friday</v>
      </c>
    </row>
    <row r="1575" spans="1:8">
      <c r="A1575" s="9">
        <v>207224044</v>
      </c>
      <c r="B1575" s="6">
        <v>45009</v>
      </c>
      <c r="C1575" s="1"/>
      <c r="D1575" s="1" t="s">
        <v>7</v>
      </c>
      <c r="E1575" s="1">
        <v>39</v>
      </c>
      <c r="F1575" s="1" t="s">
        <v>6</v>
      </c>
      <c r="G1575" s="44" t="str">
        <f t="shared" si="48"/>
        <v/>
      </c>
      <c r="H1575" s="10" t="str">
        <f t="shared" si="49"/>
        <v>Friday</v>
      </c>
    </row>
    <row r="1576" spans="1:8">
      <c r="A1576" s="9">
        <v>174232231</v>
      </c>
      <c r="B1576" s="6">
        <v>45009</v>
      </c>
      <c r="C1576" s="1"/>
      <c r="D1576" s="1" t="s">
        <v>7</v>
      </c>
      <c r="E1576" s="1">
        <v>39</v>
      </c>
      <c r="F1576" s="1" t="s">
        <v>6</v>
      </c>
      <c r="G1576" s="44" t="str">
        <f t="shared" si="48"/>
        <v/>
      </c>
      <c r="H1576" s="10" t="str">
        <f t="shared" si="49"/>
        <v>Friday</v>
      </c>
    </row>
    <row r="1577" spans="1:8">
      <c r="A1577" s="9">
        <v>207017124</v>
      </c>
      <c r="B1577" s="6">
        <v>45009</v>
      </c>
      <c r="C1577" s="6">
        <v>45009</v>
      </c>
      <c r="D1577" s="1" t="s">
        <v>8</v>
      </c>
      <c r="E1577" s="1">
        <v>39</v>
      </c>
      <c r="F1577" s="1" t="s">
        <v>6</v>
      </c>
      <c r="G1577" s="44">
        <f t="shared" si="48"/>
        <v>0</v>
      </c>
      <c r="H1577" s="10" t="str">
        <f t="shared" si="49"/>
        <v>Friday</v>
      </c>
    </row>
    <row r="1578" spans="1:8">
      <c r="A1578" s="9">
        <v>194006146</v>
      </c>
      <c r="B1578" s="6">
        <v>45009</v>
      </c>
      <c r="C1578" s="6">
        <v>45093</v>
      </c>
      <c r="D1578" s="1" t="s">
        <v>7</v>
      </c>
      <c r="E1578" s="1">
        <v>39</v>
      </c>
      <c r="F1578" s="1" t="s">
        <v>6</v>
      </c>
      <c r="G1578" s="44">
        <f t="shared" si="48"/>
        <v>84</v>
      </c>
      <c r="H1578" s="10" t="str">
        <f t="shared" si="49"/>
        <v>Friday</v>
      </c>
    </row>
    <row r="1579" spans="1:8">
      <c r="A1579" s="9">
        <v>150509580</v>
      </c>
      <c r="B1579" s="6">
        <v>45009</v>
      </c>
      <c r="C1579" s="6">
        <v>45086</v>
      </c>
      <c r="D1579" s="1" t="s">
        <v>7</v>
      </c>
      <c r="E1579" s="1">
        <v>39</v>
      </c>
      <c r="F1579" s="1" t="s">
        <v>6</v>
      </c>
      <c r="G1579" s="44">
        <f t="shared" si="48"/>
        <v>77</v>
      </c>
      <c r="H1579" s="10" t="str">
        <f t="shared" si="49"/>
        <v>Friday</v>
      </c>
    </row>
    <row r="1580" spans="1:8">
      <c r="A1580" s="9">
        <v>207120479</v>
      </c>
      <c r="B1580" s="6">
        <v>45009</v>
      </c>
      <c r="C1580" s="6">
        <v>45076</v>
      </c>
      <c r="D1580" s="1" t="s">
        <v>7</v>
      </c>
      <c r="E1580" s="1">
        <v>39</v>
      </c>
      <c r="F1580" s="1" t="s">
        <v>6</v>
      </c>
      <c r="G1580" s="44">
        <f t="shared" si="48"/>
        <v>67</v>
      </c>
      <c r="H1580" s="10" t="str">
        <f t="shared" si="49"/>
        <v>Friday</v>
      </c>
    </row>
    <row r="1581" spans="1:8">
      <c r="A1581" s="9">
        <v>162069198</v>
      </c>
      <c r="B1581" s="6">
        <v>45009</v>
      </c>
      <c r="C1581" s="6">
        <v>45039</v>
      </c>
      <c r="D1581" s="1" t="s">
        <v>7</v>
      </c>
      <c r="E1581" s="1">
        <v>39</v>
      </c>
      <c r="F1581" s="1" t="s">
        <v>6</v>
      </c>
      <c r="G1581" s="44">
        <f t="shared" si="48"/>
        <v>30</v>
      </c>
      <c r="H1581" s="10" t="str">
        <f t="shared" si="49"/>
        <v>Friday</v>
      </c>
    </row>
    <row r="1582" spans="1:8">
      <c r="A1582" s="9">
        <v>206742272</v>
      </c>
      <c r="B1582" s="6">
        <v>45009</v>
      </c>
      <c r="C1582" s="6">
        <v>45044</v>
      </c>
      <c r="D1582" s="1" t="s">
        <v>7</v>
      </c>
      <c r="E1582" s="1">
        <v>39</v>
      </c>
      <c r="F1582" s="1" t="s">
        <v>6</v>
      </c>
      <c r="G1582" s="44">
        <f t="shared" si="48"/>
        <v>35</v>
      </c>
      <c r="H1582" s="10" t="str">
        <f t="shared" si="49"/>
        <v>Friday</v>
      </c>
    </row>
    <row r="1583" spans="1:8">
      <c r="A1583" s="9">
        <v>207433836</v>
      </c>
      <c r="B1583" s="6">
        <v>45010</v>
      </c>
      <c r="C1583" s="1"/>
      <c r="D1583" s="1" t="s">
        <v>7</v>
      </c>
      <c r="E1583" s="1">
        <v>39</v>
      </c>
      <c r="F1583" s="1" t="s">
        <v>6</v>
      </c>
      <c r="G1583" s="44" t="str">
        <f t="shared" si="48"/>
        <v/>
      </c>
      <c r="H1583" s="10" t="str">
        <f t="shared" si="49"/>
        <v>Saturday</v>
      </c>
    </row>
    <row r="1584" spans="1:8">
      <c r="A1584" s="9">
        <v>207382183</v>
      </c>
      <c r="B1584" s="6">
        <v>45010</v>
      </c>
      <c r="C1584" s="1"/>
      <c r="D1584" s="1" t="s">
        <v>7</v>
      </c>
      <c r="E1584" s="1">
        <v>39</v>
      </c>
      <c r="F1584" s="1" t="s">
        <v>6</v>
      </c>
      <c r="G1584" s="44" t="str">
        <f t="shared" si="48"/>
        <v/>
      </c>
      <c r="H1584" s="10" t="str">
        <f t="shared" si="49"/>
        <v>Saturday</v>
      </c>
    </row>
    <row r="1585" spans="1:8">
      <c r="A1585" s="9">
        <v>205051942</v>
      </c>
      <c r="B1585" s="6">
        <v>45010</v>
      </c>
      <c r="C1585" s="1"/>
      <c r="D1585" s="1" t="s">
        <v>7</v>
      </c>
      <c r="E1585" s="1">
        <v>39</v>
      </c>
      <c r="F1585" s="1" t="s">
        <v>6</v>
      </c>
      <c r="G1585" s="44" t="str">
        <f t="shared" si="48"/>
        <v/>
      </c>
      <c r="H1585" s="10" t="str">
        <f t="shared" si="49"/>
        <v>Saturday</v>
      </c>
    </row>
    <row r="1586" spans="1:8">
      <c r="A1586" s="9">
        <v>132631414</v>
      </c>
      <c r="B1586" s="6">
        <v>45010</v>
      </c>
      <c r="C1586" s="6">
        <v>45109</v>
      </c>
      <c r="D1586" s="1" t="s">
        <v>7</v>
      </c>
      <c r="E1586" s="1">
        <v>39</v>
      </c>
      <c r="F1586" s="1" t="s">
        <v>6</v>
      </c>
      <c r="G1586" s="44">
        <f t="shared" si="48"/>
        <v>99</v>
      </c>
      <c r="H1586" s="10" t="str">
        <f t="shared" si="49"/>
        <v>Saturday</v>
      </c>
    </row>
    <row r="1587" spans="1:8">
      <c r="A1587" s="9">
        <v>207529664</v>
      </c>
      <c r="B1587" s="6">
        <v>45010</v>
      </c>
      <c r="C1587" s="6">
        <v>45016</v>
      </c>
      <c r="D1587" s="1" t="s">
        <v>7</v>
      </c>
      <c r="E1587" s="1">
        <v>39</v>
      </c>
      <c r="F1587" s="1" t="s">
        <v>6</v>
      </c>
      <c r="G1587" s="44">
        <f t="shared" si="48"/>
        <v>6</v>
      </c>
      <c r="H1587" s="10" t="str">
        <f t="shared" si="49"/>
        <v>Saturday</v>
      </c>
    </row>
    <row r="1588" spans="1:8">
      <c r="A1588" s="9">
        <v>207022940</v>
      </c>
      <c r="B1588" s="6">
        <v>45010</v>
      </c>
      <c r="C1588" s="6">
        <v>45117</v>
      </c>
      <c r="D1588" s="1" t="s">
        <v>7</v>
      </c>
      <c r="E1588" s="1">
        <v>39</v>
      </c>
      <c r="F1588" s="1" t="s">
        <v>6</v>
      </c>
      <c r="G1588" s="44">
        <f t="shared" si="48"/>
        <v>107</v>
      </c>
      <c r="H1588" s="10" t="str">
        <f t="shared" si="49"/>
        <v>Saturday</v>
      </c>
    </row>
    <row r="1589" spans="1:8">
      <c r="A1589" s="9">
        <v>207388337</v>
      </c>
      <c r="B1589" s="6">
        <v>45010</v>
      </c>
      <c r="C1589" s="6">
        <v>45141</v>
      </c>
      <c r="D1589" s="1" t="s">
        <v>7</v>
      </c>
      <c r="E1589" s="1">
        <v>39</v>
      </c>
      <c r="F1589" s="1" t="s">
        <v>6</v>
      </c>
      <c r="G1589" s="44">
        <f t="shared" si="48"/>
        <v>131</v>
      </c>
      <c r="H1589" s="10" t="str">
        <f t="shared" si="49"/>
        <v>Saturday</v>
      </c>
    </row>
    <row r="1590" spans="1:8">
      <c r="A1590" s="9">
        <v>205883858</v>
      </c>
      <c r="B1590" s="6">
        <v>45011</v>
      </c>
      <c r="C1590" s="1"/>
      <c r="D1590" s="1" t="s">
        <v>7</v>
      </c>
      <c r="E1590" s="1">
        <v>39</v>
      </c>
      <c r="F1590" s="1" t="s">
        <v>6</v>
      </c>
      <c r="G1590" s="44" t="str">
        <f t="shared" si="48"/>
        <v/>
      </c>
      <c r="H1590" s="10" t="str">
        <f t="shared" si="49"/>
        <v>Sunday</v>
      </c>
    </row>
    <row r="1591" spans="1:8">
      <c r="A1591" s="9">
        <v>173711359</v>
      </c>
      <c r="B1591" s="6">
        <v>45011</v>
      </c>
      <c r="C1591" s="6">
        <v>45087</v>
      </c>
      <c r="D1591" s="1" t="s">
        <v>7</v>
      </c>
      <c r="E1591" s="1">
        <v>39</v>
      </c>
      <c r="F1591" s="1" t="s">
        <v>6</v>
      </c>
      <c r="G1591" s="44">
        <f t="shared" si="48"/>
        <v>76</v>
      </c>
      <c r="H1591" s="10" t="str">
        <f t="shared" si="49"/>
        <v>Sunday</v>
      </c>
    </row>
    <row r="1592" spans="1:8">
      <c r="A1592" s="9">
        <v>207078726</v>
      </c>
      <c r="B1592" s="6">
        <v>45011</v>
      </c>
      <c r="C1592" s="6">
        <v>45090</v>
      </c>
      <c r="D1592" s="1" t="s">
        <v>7</v>
      </c>
      <c r="E1592" s="1">
        <v>39</v>
      </c>
      <c r="F1592" s="1" t="s">
        <v>6</v>
      </c>
      <c r="G1592" s="44">
        <f t="shared" si="48"/>
        <v>79</v>
      </c>
      <c r="H1592" s="10" t="str">
        <f t="shared" si="49"/>
        <v>Sunday</v>
      </c>
    </row>
    <row r="1593" spans="1:8">
      <c r="A1593" s="9">
        <v>207415911</v>
      </c>
      <c r="B1593" s="6">
        <v>45011</v>
      </c>
      <c r="C1593" s="6">
        <v>45077</v>
      </c>
      <c r="D1593" s="1" t="s">
        <v>7</v>
      </c>
      <c r="E1593" s="1">
        <v>39</v>
      </c>
      <c r="F1593" s="1" t="s">
        <v>6</v>
      </c>
      <c r="G1593" s="44">
        <f t="shared" si="48"/>
        <v>66</v>
      </c>
      <c r="H1593" s="10" t="str">
        <f t="shared" si="49"/>
        <v>Sunday</v>
      </c>
    </row>
    <row r="1594" spans="1:8">
      <c r="A1594" s="9">
        <v>207391012</v>
      </c>
      <c r="B1594" s="6">
        <v>45011</v>
      </c>
      <c r="C1594" s="6">
        <v>45022</v>
      </c>
      <c r="D1594" s="1" t="s">
        <v>7</v>
      </c>
      <c r="E1594" s="1">
        <v>39</v>
      </c>
      <c r="F1594" s="1" t="s">
        <v>6</v>
      </c>
      <c r="G1594" s="44">
        <f t="shared" si="48"/>
        <v>11</v>
      </c>
      <c r="H1594" s="10" t="str">
        <f t="shared" si="49"/>
        <v>Sunday</v>
      </c>
    </row>
    <row r="1595" spans="1:8">
      <c r="A1595" s="9">
        <v>207699946</v>
      </c>
      <c r="B1595" s="6">
        <v>45011</v>
      </c>
      <c r="C1595" s="6">
        <v>45040</v>
      </c>
      <c r="D1595" s="1" t="s">
        <v>7</v>
      </c>
      <c r="E1595" s="1">
        <v>39</v>
      </c>
      <c r="F1595" s="1" t="s">
        <v>6</v>
      </c>
      <c r="G1595" s="44">
        <f t="shared" si="48"/>
        <v>29</v>
      </c>
      <c r="H1595" s="10" t="str">
        <f t="shared" si="49"/>
        <v>Sunday</v>
      </c>
    </row>
    <row r="1596" spans="1:8">
      <c r="A1596" s="9">
        <v>207665488</v>
      </c>
      <c r="B1596" s="6">
        <v>45011</v>
      </c>
      <c r="C1596" s="6">
        <v>45011</v>
      </c>
      <c r="D1596" s="1" t="s">
        <v>7</v>
      </c>
      <c r="E1596" s="1">
        <v>39</v>
      </c>
      <c r="F1596" s="1" t="s">
        <v>6</v>
      </c>
      <c r="G1596" s="44">
        <f t="shared" si="48"/>
        <v>0</v>
      </c>
      <c r="H1596" s="10" t="str">
        <f t="shared" si="49"/>
        <v>Sunday</v>
      </c>
    </row>
    <row r="1597" spans="1:8">
      <c r="A1597" s="9">
        <v>207742153</v>
      </c>
      <c r="B1597" s="6">
        <v>45011</v>
      </c>
      <c r="C1597" s="6">
        <v>45114</v>
      </c>
      <c r="D1597" s="1" t="s">
        <v>7</v>
      </c>
      <c r="E1597" s="1">
        <v>39</v>
      </c>
      <c r="F1597" s="1" t="s">
        <v>6</v>
      </c>
      <c r="G1597" s="44">
        <f t="shared" si="48"/>
        <v>103</v>
      </c>
      <c r="H1597" s="10" t="str">
        <f t="shared" si="49"/>
        <v>Sunday</v>
      </c>
    </row>
    <row r="1598" spans="1:8">
      <c r="A1598" s="9">
        <v>207288677</v>
      </c>
      <c r="B1598" s="6">
        <v>45012</v>
      </c>
      <c r="C1598" s="1"/>
      <c r="D1598" s="1" t="s">
        <v>7</v>
      </c>
      <c r="E1598" s="1">
        <v>39</v>
      </c>
      <c r="F1598" s="1" t="s">
        <v>6</v>
      </c>
      <c r="G1598" s="44" t="str">
        <f t="shared" si="48"/>
        <v/>
      </c>
      <c r="H1598" s="10" t="str">
        <f t="shared" si="49"/>
        <v>Monday</v>
      </c>
    </row>
    <row r="1599" spans="1:8">
      <c r="A1599" s="9">
        <v>208151007</v>
      </c>
      <c r="B1599" s="6">
        <v>45012</v>
      </c>
      <c r="C1599" s="1"/>
      <c r="D1599" s="1" t="s">
        <v>7</v>
      </c>
      <c r="E1599" s="1">
        <v>39</v>
      </c>
      <c r="F1599" s="1" t="s">
        <v>6</v>
      </c>
      <c r="G1599" s="44" t="str">
        <f t="shared" si="48"/>
        <v/>
      </c>
      <c r="H1599" s="10" t="str">
        <f t="shared" si="49"/>
        <v>Monday</v>
      </c>
    </row>
    <row r="1600" spans="1:8">
      <c r="A1600" s="9">
        <v>207218336</v>
      </c>
      <c r="B1600" s="6">
        <v>45012</v>
      </c>
      <c r="C1600" s="1"/>
      <c r="D1600" s="1" t="s">
        <v>7</v>
      </c>
      <c r="E1600" s="1">
        <v>39</v>
      </c>
      <c r="F1600" s="1" t="s">
        <v>6</v>
      </c>
      <c r="G1600" s="44" t="str">
        <f t="shared" si="48"/>
        <v/>
      </c>
      <c r="H1600" s="10" t="str">
        <f t="shared" si="49"/>
        <v>Monday</v>
      </c>
    </row>
    <row r="1601" spans="1:8">
      <c r="A1601" s="9">
        <v>208105889</v>
      </c>
      <c r="B1601" s="6">
        <v>45012</v>
      </c>
      <c r="C1601" s="1"/>
      <c r="D1601" s="1" t="s">
        <v>7</v>
      </c>
      <c r="E1601" s="1">
        <v>39</v>
      </c>
      <c r="F1601" s="1" t="s">
        <v>6</v>
      </c>
      <c r="G1601" s="44" t="str">
        <f t="shared" si="48"/>
        <v/>
      </c>
      <c r="H1601" s="10" t="str">
        <f t="shared" si="49"/>
        <v>Monday</v>
      </c>
    </row>
    <row r="1602" spans="1:8">
      <c r="A1602" s="9">
        <v>152221925</v>
      </c>
      <c r="B1602" s="6">
        <v>45012</v>
      </c>
      <c r="C1602" s="6">
        <v>45096</v>
      </c>
      <c r="D1602" s="1" t="s">
        <v>7</v>
      </c>
      <c r="E1602" s="1">
        <v>39</v>
      </c>
      <c r="F1602" s="1" t="s">
        <v>6</v>
      </c>
      <c r="G1602" s="44">
        <f t="shared" si="48"/>
        <v>84</v>
      </c>
      <c r="H1602" s="10" t="str">
        <f t="shared" si="49"/>
        <v>Monday</v>
      </c>
    </row>
    <row r="1603" spans="1:8">
      <c r="A1603" s="9">
        <v>207090754</v>
      </c>
      <c r="B1603" s="6">
        <v>45012</v>
      </c>
      <c r="C1603" s="6">
        <v>45078</v>
      </c>
      <c r="D1603" s="1" t="s">
        <v>7</v>
      </c>
      <c r="E1603" s="1">
        <v>39</v>
      </c>
      <c r="F1603" s="1" t="s">
        <v>6</v>
      </c>
      <c r="G1603" s="44">
        <f t="shared" ref="G1603:G1666" si="50">IF(C1603="", "", DATEDIF(B1603, C1603, "D"))</f>
        <v>66</v>
      </c>
      <c r="H1603" s="10" t="str">
        <f t="shared" ref="H1603:H1666" si="51">TEXT(B1603, "dddd")</f>
        <v>Monday</v>
      </c>
    </row>
    <row r="1604" spans="1:8">
      <c r="A1604" s="9">
        <v>128283235</v>
      </c>
      <c r="B1604" s="6">
        <v>45012</v>
      </c>
      <c r="C1604" s="6">
        <v>45134</v>
      </c>
      <c r="D1604" s="1" t="s">
        <v>7</v>
      </c>
      <c r="E1604" s="1">
        <v>39</v>
      </c>
      <c r="F1604" s="1" t="s">
        <v>6</v>
      </c>
      <c r="G1604" s="44">
        <f t="shared" si="50"/>
        <v>122</v>
      </c>
      <c r="H1604" s="10" t="str">
        <f t="shared" si="51"/>
        <v>Monday</v>
      </c>
    </row>
    <row r="1605" spans="1:8">
      <c r="A1605" s="9">
        <v>206686106</v>
      </c>
      <c r="B1605" s="6">
        <v>45012</v>
      </c>
      <c r="C1605" s="6">
        <v>45050</v>
      </c>
      <c r="D1605" s="1" t="s">
        <v>7</v>
      </c>
      <c r="E1605" s="1">
        <v>39</v>
      </c>
      <c r="F1605" s="1" t="s">
        <v>6</v>
      </c>
      <c r="G1605" s="44">
        <f t="shared" si="50"/>
        <v>38</v>
      </c>
      <c r="H1605" s="10" t="str">
        <f t="shared" si="51"/>
        <v>Monday</v>
      </c>
    </row>
    <row r="1606" spans="1:8">
      <c r="A1606" s="9">
        <v>208090380</v>
      </c>
      <c r="B1606" s="6">
        <v>45012</v>
      </c>
      <c r="C1606" s="6">
        <v>45026</v>
      </c>
      <c r="D1606" s="1" t="s">
        <v>7</v>
      </c>
      <c r="E1606" s="1">
        <v>39</v>
      </c>
      <c r="F1606" s="1" t="s">
        <v>6</v>
      </c>
      <c r="G1606" s="44">
        <f t="shared" si="50"/>
        <v>14</v>
      </c>
      <c r="H1606" s="10" t="str">
        <f t="shared" si="51"/>
        <v>Monday</v>
      </c>
    </row>
    <row r="1607" spans="1:8">
      <c r="A1607" s="9">
        <v>153281230</v>
      </c>
      <c r="B1607" s="6">
        <v>45012</v>
      </c>
      <c r="C1607" s="6">
        <v>45033</v>
      </c>
      <c r="D1607" s="1" t="s">
        <v>7</v>
      </c>
      <c r="E1607" s="1">
        <v>39</v>
      </c>
      <c r="F1607" s="1" t="s">
        <v>6</v>
      </c>
      <c r="G1607" s="44">
        <f t="shared" si="50"/>
        <v>21</v>
      </c>
      <c r="H1607" s="10" t="str">
        <f t="shared" si="51"/>
        <v>Monday</v>
      </c>
    </row>
    <row r="1608" spans="1:8">
      <c r="A1608" s="9">
        <v>205049710</v>
      </c>
      <c r="B1608" s="6">
        <v>45012</v>
      </c>
      <c r="C1608" s="6">
        <v>45013</v>
      </c>
      <c r="D1608" s="1" t="s">
        <v>7</v>
      </c>
      <c r="E1608" s="1">
        <v>39</v>
      </c>
      <c r="F1608" s="1" t="s">
        <v>6</v>
      </c>
      <c r="G1608" s="44">
        <f t="shared" si="50"/>
        <v>1</v>
      </c>
      <c r="H1608" s="10" t="str">
        <f t="shared" si="51"/>
        <v>Monday</v>
      </c>
    </row>
    <row r="1609" spans="1:8">
      <c r="A1609" s="9">
        <v>208618235</v>
      </c>
      <c r="B1609" s="6">
        <v>45013</v>
      </c>
      <c r="C1609" s="1"/>
      <c r="D1609" s="1" t="s">
        <v>7</v>
      </c>
      <c r="E1609" s="1">
        <v>39</v>
      </c>
      <c r="F1609" s="1" t="s">
        <v>6</v>
      </c>
      <c r="G1609" s="44" t="str">
        <f t="shared" si="50"/>
        <v/>
      </c>
      <c r="H1609" s="10" t="str">
        <f t="shared" si="51"/>
        <v>Tuesday</v>
      </c>
    </row>
    <row r="1610" spans="1:8">
      <c r="A1610" s="9">
        <v>167713351</v>
      </c>
      <c r="B1610" s="6">
        <v>45013</v>
      </c>
      <c r="C1610" s="1"/>
      <c r="D1610" s="1" t="s">
        <v>7</v>
      </c>
      <c r="E1610" s="1">
        <v>39</v>
      </c>
      <c r="F1610" s="1" t="s">
        <v>6</v>
      </c>
      <c r="G1610" s="44" t="str">
        <f t="shared" si="50"/>
        <v/>
      </c>
      <c r="H1610" s="10" t="str">
        <f t="shared" si="51"/>
        <v>Tuesday</v>
      </c>
    </row>
    <row r="1611" spans="1:8">
      <c r="A1611" s="9">
        <v>149975492</v>
      </c>
      <c r="B1611" s="6">
        <v>45013</v>
      </c>
      <c r="C1611" s="1"/>
      <c r="D1611" s="1" t="s">
        <v>7</v>
      </c>
      <c r="E1611" s="1">
        <v>39</v>
      </c>
      <c r="F1611" s="1" t="s">
        <v>6</v>
      </c>
      <c r="G1611" s="44" t="str">
        <f t="shared" si="50"/>
        <v/>
      </c>
      <c r="H1611" s="10" t="str">
        <f t="shared" si="51"/>
        <v>Tuesday</v>
      </c>
    </row>
    <row r="1612" spans="1:8">
      <c r="A1612" s="9">
        <v>208286745</v>
      </c>
      <c r="B1612" s="6">
        <v>45013</v>
      </c>
      <c r="C1612" s="1"/>
      <c r="D1612" s="1" t="s">
        <v>7</v>
      </c>
      <c r="E1612" s="1">
        <v>39</v>
      </c>
      <c r="F1612" s="1" t="s">
        <v>6</v>
      </c>
      <c r="G1612" s="44" t="str">
        <f t="shared" si="50"/>
        <v/>
      </c>
      <c r="H1612" s="10" t="str">
        <f t="shared" si="51"/>
        <v>Tuesday</v>
      </c>
    </row>
    <row r="1613" spans="1:8">
      <c r="A1613" s="9">
        <v>208473540</v>
      </c>
      <c r="B1613" s="6">
        <v>45013</v>
      </c>
      <c r="C1613" s="6">
        <v>45013</v>
      </c>
      <c r="D1613" s="1" t="s">
        <v>7</v>
      </c>
      <c r="E1613" s="1">
        <v>39</v>
      </c>
      <c r="F1613" s="1" t="s">
        <v>6</v>
      </c>
      <c r="G1613" s="44">
        <f t="shared" si="50"/>
        <v>0</v>
      </c>
      <c r="H1613" s="10" t="str">
        <f t="shared" si="51"/>
        <v>Tuesday</v>
      </c>
    </row>
    <row r="1614" spans="1:8">
      <c r="A1614" s="9">
        <v>137721176</v>
      </c>
      <c r="B1614" s="6">
        <v>45013</v>
      </c>
      <c r="C1614" s="6">
        <v>45138</v>
      </c>
      <c r="D1614" s="1" t="s">
        <v>7</v>
      </c>
      <c r="E1614" s="1">
        <v>39</v>
      </c>
      <c r="F1614" s="1" t="s">
        <v>6</v>
      </c>
      <c r="G1614" s="44">
        <f t="shared" si="50"/>
        <v>125</v>
      </c>
      <c r="H1614" s="10" t="str">
        <f t="shared" si="51"/>
        <v>Tuesday</v>
      </c>
    </row>
    <row r="1615" spans="1:8">
      <c r="A1615" s="9">
        <v>140062581</v>
      </c>
      <c r="B1615" s="6">
        <v>45013</v>
      </c>
      <c r="C1615" s="6">
        <v>45059</v>
      </c>
      <c r="D1615" s="1" t="s">
        <v>7</v>
      </c>
      <c r="E1615" s="1">
        <v>39</v>
      </c>
      <c r="F1615" s="1" t="s">
        <v>6</v>
      </c>
      <c r="G1615" s="44">
        <f t="shared" si="50"/>
        <v>46</v>
      </c>
      <c r="H1615" s="10" t="str">
        <f t="shared" si="51"/>
        <v>Tuesday</v>
      </c>
    </row>
    <row r="1616" spans="1:8">
      <c r="A1616" s="9">
        <v>208488674</v>
      </c>
      <c r="B1616" s="6">
        <v>45013</v>
      </c>
      <c r="C1616" s="6">
        <v>45078</v>
      </c>
      <c r="D1616" s="1" t="s">
        <v>7</v>
      </c>
      <c r="E1616" s="1">
        <v>39</v>
      </c>
      <c r="F1616" s="1" t="s">
        <v>6</v>
      </c>
      <c r="G1616" s="44">
        <f t="shared" si="50"/>
        <v>65</v>
      </c>
      <c r="H1616" s="10" t="str">
        <f t="shared" si="51"/>
        <v>Tuesday</v>
      </c>
    </row>
    <row r="1617" spans="1:8">
      <c r="A1617" s="9">
        <v>162752410</v>
      </c>
      <c r="B1617" s="6">
        <v>45013</v>
      </c>
      <c r="C1617" s="6">
        <v>45158</v>
      </c>
      <c r="D1617" s="1" t="s">
        <v>7</v>
      </c>
      <c r="E1617" s="1">
        <v>39</v>
      </c>
      <c r="F1617" s="1" t="s">
        <v>6</v>
      </c>
      <c r="G1617" s="44">
        <f t="shared" si="50"/>
        <v>145</v>
      </c>
      <c r="H1617" s="10" t="str">
        <f t="shared" si="51"/>
        <v>Tuesday</v>
      </c>
    </row>
    <row r="1618" spans="1:8">
      <c r="A1618" s="9">
        <v>208598415</v>
      </c>
      <c r="B1618" s="6">
        <v>45013</v>
      </c>
      <c r="C1618" s="6">
        <v>45049</v>
      </c>
      <c r="D1618" s="1" t="s">
        <v>7</v>
      </c>
      <c r="E1618" s="1">
        <v>39</v>
      </c>
      <c r="F1618" s="1" t="s">
        <v>6</v>
      </c>
      <c r="G1618" s="44">
        <f t="shared" si="50"/>
        <v>36</v>
      </c>
      <c r="H1618" s="10" t="str">
        <f t="shared" si="51"/>
        <v>Tuesday</v>
      </c>
    </row>
    <row r="1619" spans="1:8">
      <c r="A1619" s="9">
        <v>143427096</v>
      </c>
      <c r="B1619" s="6">
        <v>45013</v>
      </c>
      <c r="C1619" s="6">
        <v>45047</v>
      </c>
      <c r="D1619" s="1" t="s">
        <v>7</v>
      </c>
      <c r="E1619" s="1">
        <v>39</v>
      </c>
      <c r="F1619" s="1" t="s">
        <v>6</v>
      </c>
      <c r="G1619" s="44">
        <f t="shared" si="50"/>
        <v>34</v>
      </c>
      <c r="H1619" s="10" t="str">
        <f t="shared" si="51"/>
        <v>Tuesday</v>
      </c>
    </row>
    <row r="1620" spans="1:8">
      <c r="A1620" s="9">
        <v>208480650</v>
      </c>
      <c r="B1620" s="6">
        <v>45013</v>
      </c>
      <c r="C1620" s="6">
        <v>45030</v>
      </c>
      <c r="D1620" s="1" t="s">
        <v>7</v>
      </c>
      <c r="E1620" s="1">
        <v>39</v>
      </c>
      <c r="F1620" s="1" t="s">
        <v>6</v>
      </c>
      <c r="G1620" s="44">
        <f t="shared" si="50"/>
        <v>17</v>
      </c>
      <c r="H1620" s="10" t="str">
        <f t="shared" si="51"/>
        <v>Tuesday</v>
      </c>
    </row>
    <row r="1621" spans="1:8">
      <c r="A1621" s="9">
        <v>147000442</v>
      </c>
      <c r="B1621" s="6">
        <v>45014</v>
      </c>
      <c r="C1621" s="1"/>
      <c r="D1621" s="1" t="s">
        <v>7</v>
      </c>
      <c r="E1621" s="1">
        <v>39</v>
      </c>
      <c r="F1621" s="1" t="s">
        <v>6</v>
      </c>
      <c r="G1621" s="44" t="str">
        <f t="shared" si="50"/>
        <v/>
      </c>
      <c r="H1621" s="10" t="str">
        <f t="shared" si="51"/>
        <v>Wednesday</v>
      </c>
    </row>
    <row r="1622" spans="1:8">
      <c r="A1622" s="9">
        <v>207062508</v>
      </c>
      <c r="B1622" s="6">
        <v>45014</v>
      </c>
      <c r="C1622" s="1"/>
      <c r="D1622" s="1" t="s">
        <v>7</v>
      </c>
      <c r="E1622" s="1">
        <v>39</v>
      </c>
      <c r="F1622" s="1" t="s">
        <v>6</v>
      </c>
      <c r="G1622" s="44" t="str">
        <f t="shared" si="50"/>
        <v/>
      </c>
      <c r="H1622" s="10" t="str">
        <f t="shared" si="51"/>
        <v>Wednesday</v>
      </c>
    </row>
    <row r="1623" spans="1:8">
      <c r="A1623" s="9">
        <v>206862916</v>
      </c>
      <c r="B1623" s="6">
        <v>45014</v>
      </c>
      <c r="C1623" s="1"/>
      <c r="D1623" s="1" t="s">
        <v>7</v>
      </c>
      <c r="E1623" s="1">
        <v>39</v>
      </c>
      <c r="F1623" s="1" t="s">
        <v>6</v>
      </c>
      <c r="G1623" s="44" t="str">
        <f t="shared" si="50"/>
        <v/>
      </c>
      <c r="H1623" s="10" t="str">
        <f t="shared" si="51"/>
        <v>Wednesday</v>
      </c>
    </row>
    <row r="1624" spans="1:8">
      <c r="A1624" s="9">
        <v>208706866</v>
      </c>
      <c r="B1624" s="6">
        <v>45014</v>
      </c>
      <c r="C1624" s="1"/>
      <c r="D1624" s="1" t="s">
        <v>7</v>
      </c>
      <c r="E1624" s="1">
        <v>39</v>
      </c>
      <c r="F1624" s="1" t="s">
        <v>6</v>
      </c>
      <c r="G1624" s="44" t="str">
        <f t="shared" si="50"/>
        <v/>
      </c>
      <c r="H1624" s="10" t="str">
        <f t="shared" si="51"/>
        <v>Wednesday</v>
      </c>
    </row>
    <row r="1625" spans="1:8">
      <c r="A1625" s="9">
        <v>134719816</v>
      </c>
      <c r="B1625" s="6">
        <v>45014</v>
      </c>
      <c r="C1625" s="6">
        <v>45095</v>
      </c>
      <c r="D1625" s="1" t="s">
        <v>7</v>
      </c>
      <c r="E1625" s="1">
        <v>39</v>
      </c>
      <c r="F1625" s="1" t="s">
        <v>6</v>
      </c>
      <c r="G1625" s="44">
        <f t="shared" si="50"/>
        <v>81</v>
      </c>
      <c r="H1625" s="10" t="str">
        <f t="shared" si="51"/>
        <v>Wednesday</v>
      </c>
    </row>
    <row r="1626" spans="1:8">
      <c r="A1626" s="9">
        <v>138548670</v>
      </c>
      <c r="B1626" s="6">
        <v>45014</v>
      </c>
      <c r="C1626" s="6">
        <v>45076</v>
      </c>
      <c r="D1626" s="1" t="s">
        <v>7</v>
      </c>
      <c r="E1626" s="1">
        <v>39</v>
      </c>
      <c r="F1626" s="1" t="s">
        <v>6</v>
      </c>
      <c r="G1626" s="44">
        <f t="shared" si="50"/>
        <v>62</v>
      </c>
      <c r="H1626" s="10" t="str">
        <f t="shared" si="51"/>
        <v>Wednesday</v>
      </c>
    </row>
    <row r="1627" spans="1:8">
      <c r="A1627" s="9">
        <v>208745476</v>
      </c>
      <c r="B1627" s="6">
        <v>45014</v>
      </c>
      <c r="C1627" s="6">
        <v>45098</v>
      </c>
      <c r="D1627" s="1" t="s">
        <v>7</v>
      </c>
      <c r="E1627" s="1">
        <v>39</v>
      </c>
      <c r="F1627" s="1" t="s">
        <v>6</v>
      </c>
      <c r="G1627" s="44">
        <f t="shared" si="50"/>
        <v>84</v>
      </c>
      <c r="H1627" s="10" t="str">
        <f t="shared" si="51"/>
        <v>Wednesday</v>
      </c>
    </row>
    <row r="1628" spans="1:8">
      <c r="A1628" s="9">
        <v>182584521</v>
      </c>
      <c r="B1628" s="6">
        <v>45014</v>
      </c>
      <c r="C1628" s="6">
        <v>45052</v>
      </c>
      <c r="D1628" s="1" t="s">
        <v>7</v>
      </c>
      <c r="E1628" s="1">
        <v>39</v>
      </c>
      <c r="F1628" s="1" t="s">
        <v>6</v>
      </c>
      <c r="G1628" s="44">
        <f t="shared" si="50"/>
        <v>38</v>
      </c>
      <c r="H1628" s="10" t="str">
        <f t="shared" si="51"/>
        <v>Wednesday</v>
      </c>
    </row>
    <row r="1629" spans="1:8">
      <c r="A1629" s="9">
        <v>206463427</v>
      </c>
      <c r="B1629" s="6">
        <v>45014</v>
      </c>
      <c r="C1629" s="6">
        <v>45050</v>
      </c>
      <c r="D1629" s="1" t="s">
        <v>7</v>
      </c>
      <c r="E1629" s="1">
        <v>39</v>
      </c>
      <c r="F1629" s="1" t="s">
        <v>6</v>
      </c>
      <c r="G1629" s="44">
        <f t="shared" si="50"/>
        <v>36</v>
      </c>
      <c r="H1629" s="10" t="str">
        <f t="shared" si="51"/>
        <v>Wednesday</v>
      </c>
    </row>
    <row r="1630" spans="1:8">
      <c r="A1630" s="9">
        <v>158947936</v>
      </c>
      <c r="B1630" s="6">
        <v>45014</v>
      </c>
      <c r="C1630" s="6">
        <v>45044</v>
      </c>
      <c r="D1630" s="1" t="s">
        <v>7</v>
      </c>
      <c r="E1630" s="1">
        <v>39</v>
      </c>
      <c r="F1630" s="1" t="s">
        <v>6</v>
      </c>
      <c r="G1630" s="44">
        <f t="shared" si="50"/>
        <v>30</v>
      </c>
      <c r="H1630" s="10" t="str">
        <f t="shared" si="51"/>
        <v>Wednesday</v>
      </c>
    </row>
    <row r="1631" spans="1:8">
      <c r="A1631" s="9">
        <v>182737296</v>
      </c>
      <c r="B1631" s="6">
        <v>45014</v>
      </c>
      <c r="C1631" s="6">
        <v>45045</v>
      </c>
      <c r="D1631" s="1" t="s">
        <v>7</v>
      </c>
      <c r="E1631" s="1">
        <v>39</v>
      </c>
      <c r="F1631" s="1" t="s">
        <v>6</v>
      </c>
      <c r="G1631" s="44">
        <f t="shared" si="50"/>
        <v>31</v>
      </c>
      <c r="H1631" s="10" t="str">
        <f t="shared" si="51"/>
        <v>Wednesday</v>
      </c>
    </row>
    <row r="1632" spans="1:8">
      <c r="A1632" s="9">
        <v>156550538</v>
      </c>
      <c r="B1632" s="6">
        <v>45015</v>
      </c>
      <c r="C1632" s="1"/>
      <c r="D1632" s="1" t="s">
        <v>7</v>
      </c>
      <c r="E1632" s="1">
        <v>39</v>
      </c>
      <c r="F1632" s="1" t="s">
        <v>6</v>
      </c>
      <c r="G1632" s="44" t="str">
        <f t="shared" si="50"/>
        <v/>
      </c>
      <c r="H1632" s="10" t="str">
        <f t="shared" si="51"/>
        <v>Thursday</v>
      </c>
    </row>
    <row r="1633" spans="1:8">
      <c r="A1633" s="9">
        <v>208897557</v>
      </c>
      <c r="B1633" s="6">
        <v>45015</v>
      </c>
      <c r="C1633" s="1"/>
      <c r="D1633" s="1" t="s">
        <v>7</v>
      </c>
      <c r="E1633" s="1">
        <v>39</v>
      </c>
      <c r="F1633" s="1" t="s">
        <v>6</v>
      </c>
      <c r="G1633" s="44" t="str">
        <f t="shared" si="50"/>
        <v/>
      </c>
      <c r="H1633" s="10" t="str">
        <f t="shared" si="51"/>
        <v>Thursday</v>
      </c>
    </row>
    <row r="1634" spans="1:8">
      <c r="A1634" s="9">
        <v>157484010</v>
      </c>
      <c r="B1634" s="6">
        <v>45015</v>
      </c>
      <c r="C1634" s="1"/>
      <c r="D1634" s="1" t="s">
        <v>7</v>
      </c>
      <c r="E1634" s="1">
        <v>39</v>
      </c>
      <c r="F1634" s="1" t="s">
        <v>6</v>
      </c>
      <c r="G1634" s="44" t="str">
        <f t="shared" si="50"/>
        <v/>
      </c>
      <c r="H1634" s="10" t="str">
        <f t="shared" si="51"/>
        <v>Thursday</v>
      </c>
    </row>
    <row r="1635" spans="1:8">
      <c r="A1635" s="9">
        <v>146450388</v>
      </c>
      <c r="B1635" s="6">
        <v>45015</v>
      </c>
      <c r="C1635" s="6">
        <v>45083</v>
      </c>
      <c r="D1635" s="1" t="s">
        <v>7</v>
      </c>
      <c r="E1635" s="1">
        <v>39</v>
      </c>
      <c r="F1635" s="1" t="s">
        <v>6</v>
      </c>
      <c r="G1635" s="44">
        <f t="shared" si="50"/>
        <v>68</v>
      </c>
      <c r="H1635" s="10" t="str">
        <f t="shared" si="51"/>
        <v>Thursday</v>
      </c>
    </row>
    <row r="1636" spans="1:8">
      <c r="A1636" s="9">
        <v>208610366</v>
      </c>
      <c r="B1636" s="6">
        <v>45015</v>
      </c>
      <c r="C1636" s="6">
        <v>45114</v>
      </c>
      <c r="D1636" s="1" t="s">
        <v>7</v>
      </c>
      <c r="E1636" s="1">
        <v>39</v>
      </c>
      <c r="F1636" s="1" t="s">
        <v>6</v>
      </c>
      <c r="G1636" s="44">
        <f t="shared" si="50"/>
        <v>99</v>
      </c>
      <c r="H1636" s="10" t="str">
        <f t="shared" si="51"/>
        <v>Thursday</v>
      </c>
    </row>
    <row r="1637" spans="1:8">
      <c r="A1637" s="9">
        <v>208913022</v>
      </c>
      <c r="B1637" s="6">
        <v>45015</v>
      </c>
      <c r="C1637" s="6">
        <v>45065</v>
      </c>
      <c r="D1637" s="1" t="s">
        <v>7</v>
      </c>
      <c r="E1637" s="1">
        <v>39</v>
      </c>
      <c r="F1637" s="1" t="s">
        <v>6</v>
      </c>
      <c r="G1637" s="44">
        <f t="shared" si="50"/>
        <v>50</v>
      </c>
      <c r="H1637" s="10" t="str">
        <f t="shared" si="51"/>
        <v>Thursday</v>
      </c>
    </row>
    <row r="1638" spans="1:8">
      <c r="A1638" s="9">
        <v>205813846</v>
      </c>
      <c r="B1638" s="6">
        <v>45015</v>
      </c>
      <c r="C1638" s="6">
        <v>45065</v>
      </c>
      <c r="D1638" s="1" t="s">
        <v>7</v>
      </c>
      <c r="E1638" s="1">
        <v>39</v>
      </c>
      <c r="F1638" s="1" t="s">
        <v>6</v>
      </c>
      <c r="G1638" s="44">
        <f t="shared" si="50"/>
        <v>50</v>
      </c>
      <c r="H1638" s="10" t="str">
        <f t="shared" si="51"/>
        <v>Thursday</v>
      </c>
    </row>
    <row r="1639" spans="1:8">
      <c r="A1639" s="9">
        <v>208762353</v>
      </c>
      <c r="B1639" s="6">
        <v>45015</v>
      </c>
      <c r="C1639" s="6">
        <v>45037</v>
      </c>
      <c r="D1639" s="1" t="s">
        <v>7</v>
      </c>
      <c r="E1639" s="1">
        <v>39</v>
      </c>
      <c r="F1639" s="1" t="s">
        <v>6</v>
      </c>
      <c r="G1639" s="44">
        <f t="shared" si="50"/>
        <v>22</v>
      </c>
      <c r="H1639" s="10" t="str">
        <f t="shared" si="51"/>
        <v>Thursday</v>
      </c>
    </row>
    <row r="1640" spans="1:8">
      <c r="A1640" s="9">
        <v>153099249</v>
      </c>
      <c r="B1640" s="6">
        <v>45015</v>
      </c>
      <c r="C1640" s="6">
        <v>45029</v>
      </c>
      <c r="D1640" s="1" t="s">
        <v>7</v>
      </c>
      <c r="E1640" s="1">
        <v>39</v>
      </c>
      <c r="F1640" s="1" t="s">
        <v>6</v>
      </c>
      <c r="G1640" s="44">
        <f t="shared" si="50"/>
        <v>14</v>
      </c>
      <c r="H1640" s="10" t="str">
        <f t="shared" si="51"/>
        <v>Thursday</v>
      </c>
    </row>
    <row r="1641" spans="1:8">
      <c r="A1641" s="9">
        <v>208734252</v>
      </c>
      <c r="B1641" s="6">
        <v>45015</v>
      </c>
      <c r="C1641" s="6">
        <v>45046</v>
      </c>
      <c r="D1641" s="1" t="s">
        <v>7</v>
      </c>
      <c r="E1641" s="1">
        <v>39</v>
      </c>
      <c r="F1641" s="1" t="s">
        <v>6</v>
      </c>
      <c r="G1641" s="44">
        <f t="shared" si="50"/>
        <v>31</v>
      </c>
      <c r="H1641" s="10" t="str">
        <f t="shared" si="51"/>
        <v>Thursday</v>
      </c>
    </row>
    <row r="1642" spans="1:8">
      <c r="A1642" s="9">
        <v>208320510</v>
      </c>
      <c r="B1642" s="6">
        <v>45016</v>
      </c>
      <c r="C1642" s="1"/>
      <c r="D1642" s="1" t="s">
        <v>7</v>
      </c>
      <c r="E1642" s="1">
        <v>39</v>
      </c>
      <c r="F1642" s="1" t="s">
        <v>6</v>
      </c>
      <c r="G1642" s="44" t="str">
        <f t="shared" si="50"/>
        <v/>
      </c>
      <c r="H1642" s="10" t="str">
        <f t="shared" si="51"/>
        <v>Friday</v>
      </c>
    </row>
    <row r="1643" spans="1:8">
      <c r="A1643" s="9">
        <v>207229509</v>
      </c>
      <c r="B1643" s="6">
        <v>45016</v>
      </c>
      <c r="C1643" s="6">
        <v>45016</v>
      </c>
      <c r="D1643" s="1" t="s">
        <v>8</v>
      </c>
      <c r="E1643" s="1">
        <v>39</v>
      </c>
      <c r="F1643" s="1" t="s">
        <v>6</v>
      </c>
      <c r="G1643" s="44">
        <f t="shared" si="50"/>
        <v>0</v>
      </c>
      <c r="H1643" s="10" t="str">
        <f t="shared" si="51"/>
        <v>Friday</v>
      </c>
    </row>
    <row r="1644" spans="1:8">
      <c r="A1644" s="9">
        <v>208492287</v>
      </c>
      <c r="B1644" s="6">
        <v>45016</v>
      </c>
      <c r="C1644" s="6">
        <v>45084</v>
      </c>
      <c r="D1644" s="1" t="s">
        <v>7</v>
      </c>
      <c r="E1644" s="1">
        <v>39</v>
      </c>
      <c r="F1644" s="1" t="s">
        <v>6</v>
      </c>
      <c r="G1644" s="44">
        <f t="shared" si="50"/>
        <v>68</v>
      </c>
      <c r="H1644" s="10" t="str">
        <f t="shared" si="51"/>
        <v>Friday</v>
      </c>
    </row>
    <row r="1645" spans="1:8">
      <c r="A1645" s="9">
        <v>195047202</v>
      </c>
      <c r="B1645" s="6">
        <v>45016</v>
      </c>
      <c r="C1645" s="6">
        <v>45069</v>
      </c>
      <c r="D1645" s="1" t="s">
        <v>7</v>
      </c>
      <c r="E1645" s="1">
        <v>39</v>
      </c>
      <c r="F1645" s="1" t="s">
        <v>6</v>
      </c>
      <c r="G1645" s="44">
        <f t="shared" si="50"/>
        <v>53</v>
      </c>
      <c r="H1645" s="10" t="str">
        <f t="shared" si="51"/>
        <v>Friday</v>
      </c>
    </row>
    <row r="1646" spans="1:8">
      <c r="A1646" s="9">
        <v>208890352</v>
      </c>
      <c r="B1646" s="6">
        <v>45016</v>
      </c>
      <c r="C1646" s="6">
        <v>45072</v>
      </c>
      <c r="D1646" s="1" t="s">
        <v>7</v>
      </c>
      <c r="E1646" s="1">
        <v>39</v>
      </c>
      <c r="F1646" s="1" t="s">
        <v>6</v>
      </c>
      <c r="G1646" s="44">
        <f t="shared" si="50"/>
        <v>56</v>
      </c>
      <c r="H1646" s="10" t="str">
        <f t="shared" si="51"/>
        <v>Friday</v>
      </c>
    </row>
    <row r="1647" spans="1:8">
      <c r="A1647" s="9">
        <v>151282537</v>
      </c>
      <c r="B1647" s="6">
        <v>45016</v>
      </c>
      <c r="C1647" s="6">
        <v>45108</v>
      </c>
      <c r="D1647" s="1" t="s">
        <v>7</v>
      </c>
      <c r="E1647" s="1">
        <v>39</v>
      </c>
      <c r="F1647" s="1" t="s">
        <v>6</v>
      </c>
      <c r="G1647" s="44">
        <f t="shared" si="50"/>
        <v>92</v>
      </c>
      <c r="H1647" s="10" t="str">
        <f t="shared" si="51"/>
        <v>Friday</v>
      </c>
    </row>
    <row r="1648" spans="1:8">
      <c r="A1648" s="9">
        <v>206625246</v>
      </c>
      <c r="B1648" s="6">
        <v>45017</v>
      </c>
      <c r="C1648" s="1"/>
      <c r="D1648" s="1" t="s">
        <v>7</v>
      </c>
      <c r="E1648" s="1">
        <v>39</v>
      </c>
      <c r="F1648" s="1" t="s">
        <v>6</v>
      </c>
      <c r="G1648" s="44" t="str">
        <f t="shared" si="50"/>
        <v/>
      </c>
      <c r="H1648" s="10" t="str">
        <f t="shared" si="51"/>
        <v>Saturday</v>
      </c>
    </row>
    <row r="1649" spans="1:8">
      <c r="A1649" s="9">
        <v>208748964</v>
      </c>
      <c r="B1649" s="6">
        <v>45017</v>
      </c>
      <c r="C1649" s="1"/>
      <c r="D1649" s="1" t="s">
        <v>7</v>
      </c>
      <c r="E1649" s="1">
        <v>39</v>
      </c>
      <c r="F1649" s="1" t="s">
        <v>6</v>
      </c>
      <c r="G1649" s="44" t="str">
        <f t="shared" si="50"/>
        <v/>
      </c>
      <c r="H1649" s="10" t="str">
        <f t="shared" si="51"/>
        <v>Saturday</v>
      </c>
    </row>
    <row r="1650" spans="1:8">
      <c r="A1650" s="9">
        <v>151904783</v>
      </c>
      <c r="B1650" s="6">
        <v>45017</v>
      </c>
      <c r="C1650" s="1"/>
      <c r="D1650" s="1" t="s">
        <v>7</v>
      </c>
      <c r="E1650" s="1">
        <v>39</v>
      </c>
      <c r="F1650" s="1" t="s">
        <v>6</v>
      </c>
      <c r="G1650" s="44" t="str">
        <f t="shared" si="50"/>
        <v/>
      </c>
      <c r="H1650" s="10" t="str">
        <f t="shared" si="51"/>
        <v>Saturday</v>
      </c>
    </row>
    <row r="1651" spans="1:8">
      <c r="A1651" s="9">
        <v>160351988</v>
      </c>
      <c r="B1651" s="6">
        <v>45017</v>
      </c>
      <c r="C1651" s="6">
        <v>45115</v>
      </c>
      <c r="D1651" s="1" t="s">
        <v>7</v>
      </c>
      <c r="E1651" s="1">
        <v>39</v>
      </c>
      <c r="F1651" s="1" t="s">
        <v>6</v>
      </c>
      <c r="G1651" s="44">
        <f t="shared" si="50"/>
        <v>98</v>
      </c>
      <c r="H1651" s="10" t="str">
        <f t="shared" si="51"/>
        <v>Saturday</v>
      </c>
    </row>
    <row r="1652" spans="1:8">
      <c r="A1652" s="9">
        <v>145622106</v>
      </c>
      <c r="B1652" s="6">
        <v>45017</v>
      </c>
      <c r="C1652" s="6">
        <v>45017</v>
      </c>
      <c r="D1652" s="1" t="s">
        <v>7</v>
      </c>
      <c r="E1652" s="1">
        <v>39</v>
      </c>
      <c r="F1652" s="1" t="s">
        <v>6</v>
      </c>
      <c r="G1652" s="44">
        <f t="shared" si="50"/>
        <v>0</v>
      </c>
      <c r="H1652" s="10" t="str">
        <f t="shared" si="51"/>
        <v>Saturday</v>
      </c>
    </row>
    <row r="1653" spans="1:8">
      <c r="A1653" s="9">
        <v>192475408</v>
      </c>
      <c r="B1653" s="6">
        <v>45017</v>
      </c>
      <c r="C1653" s="6">
        <v>45042</v>
      </c>
      <c r="D1653" s="1" t="s">
        <v>7</v>
      </c>
      <c r="E1653" s="1">
        <v>39</v>
      </c>
      <c r="F1653" s="1" t="s">
        <v>6</v>
      </c>
      <c r="G1653" s="44">
        <f t="shared" si="50"/>
        <v>25</v>
      </c>
      <c r="H1653" s="10" t="str">
        <f t="shared" si="51"/>
        <v>Saturday</v>
      </c>
    </row>
    <row r="1654" spans="1:8">
      <c r="A1654" s="9">
        <v>208597905</v>
      </c>
      <c r="B1654" s="6">
        <v>45018</v>
      </c>
      <c r="C1654" s="1"/>
      <c r="D1654" s="1" t="s">
        <v>7</v>
      </c>
      <c r="E1654" s="1">
        <v>39</v>
      </c>
      <c r="F1654" s="1" t="s">
        <v>6</v>
      </c>
      <c r="G1654" s="44" t="str">
        <f t="shared" si="50"/>
        <v/>
      </c>
      <c r="H1654" s="10" t="str">
        <f t="shared" si="51"/>
        <v>Sunday</v>
      </c>
    </row>
    <row r="1655" spans="1:8">
      <c r="A1655" s="9">
        <v>209469556</v>
      </c>
      <c r="B1655" s="6">
        <v>45018</v>
      </c>
      <c r="C1655" s="6">
        <v>45019</v>
      </c>
      <c r="D1655" s="1" t="s">
        <v>8</v>
      </c>
      <c r="E1655" s="1">
        <v>39</v>
      </c>
      <c r="F1655" s="1" t="s">
        <v>6</v>
      </c>
      <c r="G1655" s="44">
        <f t="shared" si="50"/>
        <v>1</v>
      </c>
      <c r="H1655" s="10" t="str">
        <f t="shared" si="51"/>
        <v>Sunday</v>
      </c>
    </row>
    <row r="1656" spans="1:8">
      <c r="A1656" s="9">
        <v>207183892</v>
      </c>
      <c r="B1656" s="6">
        <v>45018</v>
      </c>
      <c r="C1656" s="6">
        <v>45019</v>
      </c>
      <c r="D1656" s="1" t="s">
        <v>8</v>
      </c>
      <c r="E1656" s="1">
        <v>39</v>
      </c>
      <c r="F1656" s="1" t="s">
        <v>6</v>
      </c>
      <c r="G1656" s="44">
        <f t="shared" si="50"/>
        <v>1</v>
      </c>
      <c r="H1656" s="10" t="str">
        <f t="shared" si="51"/>
        <v>Sunday</v>
      </c>
    </row>
    <row r="1657" spans="1:8">
      <c r="A1657" s="9">
        <v>125980506</v>
      </c>
      <c r="B1657" s="6">
        <v>45018</v>
      </c>
      <c r="C1657" s="6">
        <v>45109</v>
      </c>
      <c r="D1657" s="1" t="s">
        <v>7</v>
      </c>
      <c r="E1657" s="1">
        <v>39</v>
      </c>
      <c r="F1657" s="1" t="s">
        <v>6</v>
      </c>
      <c r="G1657" s="44">
        <f t="shared" si="50"/>
        <v>91</v>
      </c>
      <c r="H1657" s="10" t="str">
        <f t="shared" si="51"/>
        <v>Sunday</v>
      </c>
    </row>
    <row r="1658" spans="1:8">
      <c r="A1658" s="9">
        <v>162635107</v>
      </c>
      <c r="B1658" s="6">
        <v>45018</v>
      </c>
      <c r="C1658" s="6">
        <v>45112</v>
      </c>
      <c r="D1658" s="1" t="s">
        <v>7</v>
      </c>
      <c r="E1658" s="1">
        <v>39</v>
      </c>
      <c r="F1658" s="1" t="s">
        <v>6</v>
      </c>
      <c r="G1658" s="44">
        <f t="shared" si="50"/>
        <v>94</v>
      </c>
      <c r="H1658" s="10" t="str">
        <f t="shared" si="51"/>
        <v>Sunday</v>
      </c>
    </row>
    <row r="1659" spans="1:8">
      <c r="A1659" s="9">
        <v>154655775</v>
      </c>
      <c r="B1659" s="6">
        <v>45018</v>
      </c>
      <c r="C1659" s="6">
        <v>45131</v>
      </c>
      <c r="D1659" s="1" t="s">
        <v>7</v>
      </c>
      <c r="E1659" s="1">
        <v>39</v>
      </c>
      <c r="F1659" s="1" t="s">
        <v>6</v>
      </c>
      <c r="G1659" s="44">
        <f t="shared" si="50"/>
        <v>113</v>
      </c>
      <c r="H1659" s="10" t="str">
        <f t="shared" si="51"/>
        <v>Sunday</v>
      </c>
    </row>
    <row r="1660" spans="1:8">
      <c r="A1660" s="9">
        <v>154911229</v>
      </c>
      <c r="B1660" s="6">
        <v>45019</v>
      </c>
      <c r="C1660" s="1"/>
      <c r="D1660" s="1" t="s">
        <v>7</v>
      </c>
      <c r="E1660" s="1">
        <v>39</v>
      </c>
      <c r="F1660" s="1" t="s">
        <v>6</v>
      </c>
      <c r="G1660" s="44" t="str">
        <f t="shared" si="50"/>
        <v/>
      </c>
      <c r="H1660" s="10" t="str">
        <f t="shared" si="51"/>
        <v>Monday</v>
      </c>
    </row>
    <row r="1661" spans="1:8">
      <c r="A1661" s="9">
        <v>206812076</v>
      </c>
      <c r="B1661" s="6">
        <v>45019</v>
      </c>
      <c r="C1661" s="1"/>
      <c r="D1661" s="1" t="s">
        <v>7</v>
      </c>
      <c r="E1661" s="1">
        <v>39</v>
      </c>
      <c r="F1661" s="1" t="s">
        <v>6</v>
      </c>
      <c r="G1661" s="44" t="str">
        <f t="shared" si="50"/>
        <v/>
      </c>
      <c r="H1661" s="10" t="str">
        <f t="shared" si="51"/>
        <v>Monday</v>
      </c>
    </row>
    <row r="1662" spans="1:8">
      <c r="A1662" s="9">
        <v>208490747</v>
      </c>
      <c r="B1662" s="6">
        <v>45019</v>
      </c>
      <c r="C1662" s="1"/>
      <c r="D1662" s="1" t="s">
        <v>7</v>
      </c>
      <c r="E1662" s="1">
        <v>39</v>
      </c>
      <c r="F1662" s="1" t="s">
        <v>6</v>
      </c>
      <c r="G1662" s="44" t="str">
        <f t="shared" si="50"/>
        <v/>
      </c>
      <c r="H1662" s="10" t="str">
        <f t="shared" si="51"/>
        <v>Monday</v>
      </c>
    </row>
    <row r="1663" spans="1:8">
      <c r="A1663" s="9">
        <v>131761056</v>
      </c>
      <c r="B1663" s="6">
        <v>45019</v>
      </c>
      <c r="C1663" s="1"/>
      <c r="D1663" s="1" t="s">
        <v>7</v>
      </c>
      <c r="E1663" s="1">
        <v>39</v>
      </c>
      <c r="F1663" s="1" t="s">
        <v>6</v>
      </c>
      <c r="G1663" s="44" t="str">
        <f t="shared" si="50"/>
        <v/>
      </c>
      <c r="H1663" s="10" t="str">
        <f t="shared" si="51"/>
        <v>Monday</v>
      </c>
    </row>
    <row r="1664" spans="1:8">
      <c r="A1664" s="9">
        <v>208115534</v>
      </c>
      <c r="B1664" s="6">
        <v>45019</v>
      </c>
      <c r="C1664" s="6">
        <v>45056</v>
      </c>
      <c r="D1664" s="1" t="s">
        <v>8</v>
      </c>
      <c r="E1664" s="1">
        <v>39</v>
      </c>
      <c r="F1664" s="1" t="s">
        <v>6</v>
      </c>
      <c r="G1664" s="44">
        <f t="shared" si="50"/>
        <v>37</v>
      </c>
      <c r="H1664" s="10" t="str">
        <f t="shared" si="51"/>
        <v>Monday</v>
      </c>
    </row>
    <row r="1665" spans="1:8">
      <c r="A1665" s="9">
        <v>202126471</v>
      </c>
      <c r="B1665" s="6">
        <v>45019</v>
      </c>
      <c r="C1665" s="6">
        <v>45104</v>
      </c>
      <c r="D1665" s="1" t="s">
        <v>7</v>
      </c>
      <c r="E1665" s="1">
        <v>39</v>
      </c>
      <c r="F1665" s="1" t="s">
        <v>6</v>
      </c>
      <c r="G1665" s="44">
        <f t="shared" si="50"/>
        <v>85</v>
      </c>
      <c r="H1665" s="10" t="str">
        <f t="shared" si="51"/>
        <v>Monday</v>
      </c>
    </row>
    <row r="1666" spans="1:8">
      <c r="A1666" s="9">
        <v>209738836</v>
      </c>
      <c r="B1666" s="6">
        <v>45019</v>
      </c>
      <c r="C1666" s="6">
        <v>45060</v>
      </c>
      <c r="D1666" s="1" t="s">
        <v>7</v>
      </c>
      <c r="E1666" s="1">
        <v>39</v>
      </c>
      <c r="F1666" s="1" t="s">
        <v>6</v>
      </c>
      <c r="G1666" s="44">
        <f t="shared" si="50"/>
        <v>41</v>
      </c>
      <c r="H1666" s="10" t="str">
        <f t="shared" si="51"/>
        <v>Monday</v>
      </c>
    </row>
    <row r="1667" spans="1:8">
      <c r="A1667" s="9">
        <v>209470128</v>
      </c>
      <c r="B1667" s="6">
        <v>45019</v>
      </c>
      <c r="C1667" s="6">
        <v>45076</v>
      </c>
      <c r="D1667" s="1" t="s">
        <v>7</v>
      </c>
      <c r="E1667" s="1">
        <v>39</v>
      </c>
      <c r="F1667" s="1" t="s">
        <v>6</v>
      </c>
      <c r="G1667" s="44">
        <f t="shared" ref="G1667:G1730" si="52">IF(C1667="", "", DATEDIF(B1667, C1667, "D"))</f>
        <v>57</v>
      </c>
      <c r="H1667" s="10" t="str">
        <f t="shared" ref="H1667:H1730" si="53">TEXT(B1667, "dddd")</f>
        <v>Monday</v>
      </c>
    </row>
    <row r="1668" spans="1:8">
      <c r="A1668" s="9">
        <v>209745334</v>
      </c>
      <c r="B1668" s="6">
        <v>45019</v>
      </c>
      <c r="C1668" s="6">
        <v>45170</v>
      </c>
      <c r="D1668" s="1" t="s">
        <v>7</v>
      </c>
      <c r="E1668" s="1">
        <v>39</v>
      </c>
      <c r="F1668" s="1" t="s">
        <v>6</v>
      </c>
      <c r="G1668" s="44">
        <f t="shared" si="52"/>
        <v>151</v>
      </c>
      <c r="H1668" s="10" t="str">
        <f t="shared" si="53"/>
        <v>Monday</v>
      </c>
    </row>
    <row r="1669" spans="1:8">
      <c r="A1669" s="9">
        <v>209751690</v>
      </c>
      <c r="B1669" s="6">
        <v>45020</v>
      </c>
      <c r="C1669" s="1"/>
      <c r="D1669" s="1" t="s">
        <v>7</v>
      </c>
      <c r="E1669" s="1">
        <v>39</v>
      </c>
      <c r="F1669" s="1" t="s">
        <v>6</v>
      </c>
      <c r="G1669" s="44" t="str">
        <f t="shared" si="52"/>
        <v/>
      </c>
      <c r="H1669" s="10" t="str">
        <f t="shared" si="53"/>
        <v>Tuesday</v>
      </c>
    </row>
    <row r="1670" spans="1:8">
      <c r="A1670" s="9">
        <v>209730490</v>
      </c>
      <c r="B1670" s="6">
        <v>45020</v>
      </c>
      <c r="C1670" s="6">
        <v>45021</v>
      </c>
      <c r="D1670" s="1" t="s">
        <v>8</v>
      </c>
      <c r="E1670" s="1">
        <v>39</v>
      </c>
      <c r="F1670" s="1" t="s">
        <v>6</v>
      </c>
      <c r="G1670" s="44">
        <f t="shared" si="52"/>
        <v>1</v>
      </c>
      <c r="H1670" s="10" t="str">
        <f t="shared" si="53"/>
        <v>Tuesday</v>
      </c>
    </row>
    <row r="1671" spans="1:8">
      <c r="A1671" s="9">
        <v>208115648</v>
      </c>
      <c r="B1671" s="6">
        <v>45020</v>
      </c>
      <c r="C1671" s="6">
        <v>45082</v>
      </c>
      <c r="D1671" s="1" t="s">
        <v>7</v>
      </c>
      <c r="E1671" s="1">
        <v>39</v>
      </c>
      <c r="F1671" s="1" t="s">
        <v>6</v>
      </c>
      <c r="G1671" s="44">
        <f t="shared" si="52"/>
        <v>62</v>
      </c>
      <c r="H1671" s="10" t="str">
        <f t="shared" si="53"/>
        <v>Tuesday</v>
      </c>
    </row>
    <row r="1672" spans="1:8">
      <c r="A1672" s="9">
        <v>210087900</v>
      </c>
      <c r="B1672" s="6">
        <v>45020</v>
      </c>
      <c r="C1672" s="6">
        <v>45054</v>
      </c>
      <c r="D1672" s="1" t="s">
        <v>7</v>
      </c>
      <c r="E1672" s="1">
        <v>39</v>
      </c>
      <c r="F1672" s="1" t="s">
        <v>6</v>
      </c>
      <c r="G1672" s="44">
        <f t="shared" si="52"/>
        <v>34</v>
      </c>
      <c r="H1672" s="10" t="str">
        <f t="shared" si="53"/>
        <v>Tuesday</v>
      </c>
    </row>
    <row r="1673" spans="1:8">
      <c r="A1673" s="9">
        <v>208890316</v>
      </c>
      <c r="B1673" s="6">
        <v>45020</v>
      </c>
      <c r="C1673" s="6">
        <v>45070</v>
      </c>
      <c r="D1673" s="1" t="s">
        <v>7</v>
      </c>
      <c r="E1673" s="1">
        <v>39</v>
      </c>
      <c r="F1673" s="1" t="s">
        <v>6</v>
      </c>
      <c r="G1673" s="44">
        <f t="shared" si="52"/>
        <v>50</v>
      </c>
      <c r="H1673" s="10" t="str">
        <f t="shared" si="53"/>
        <v>Tuesday</v>
      </c>
    </row>
    <row r="1674" spans="1:8">
      <c r="A1674" s="9">
        <v>143706140</v>
      </c>
      <c r="B1674" s="6">
        <v>45020</v>
      </c>
      <c r="C1674" s="6">
        <v>45023</v>
      </c>
      <c r="D1674" s="1" t="s">
        <v>7</v>
      </c>
      <c r="E1674" s="1">
        <v>39</v>
      </c>
      <c r="F1674" s="1" t="s">
        <v>6</v>
      </c>
      <c r="G1674" s="44">
        <f t="shared" si="52"/>
        <v>3</v>
      </c>
      <c r="H1674" s="10" t="str">
        <f t="shared" si="53"/>
        <v>Tuesday</v>
      </c>
    </row>
    <row r="1675" spans="1:8">
      <c r="A1675" s="9">
        <v>209950443</v>
      </c>
      <c r="B1675" s="6">
        <v>45020</v>
      </c>
      <c r="C1675" s="6">
        <v>45030</v>
      </c>
      <c r="D1675" s="1" t="s">
        <v>7</v>
      </c>
      <c r="E1675" s="1">
        <v>39</v>
      </c>
      <c r="F1675" s="1" t="s">
        <v>6</v>
      </c>
      <c r="G1675" s="44">
        <f t="shared" si="52"/>
        <v>10</v>
      </c>
      <c r="H1675" s="10" t="str">
        <f t="shared" si="53"/>
        <v>Tuesday</v>
      </c>
    </row>
    <row r="1676" spans="1:8">
      <c r="A1676" s="9">
        <v>208892072</v>
      </c>
      <c r="B1676" s="6">
        <v>45020</v>
      </c>
      <c r="C1676" s="6">
        <v>45041</v>
      </c>
      <c r="D1676" s="1" t="s">
        <v>7</v>
      </c>
      <c r="E1676" s="1">
        <v>39</v>
      </c>
      <c r="F1676" s="1" t="s">
        <v>6</v>
      </c>
      <c r="G1676" s="44">
        <f t="shared" si="52"/>
        <v>21</v>
      </c>
      <c r="H1676" s="10" t="str">
        <f t="shared" si="53"/>
        <v>Tuesday</v>
      </c>
    </row>
    <row r="1677" spans="1:8">
      <c r="A1677" s="9">
        <v>205767174</v>
      </c>
      <c r="B1677" s="6">
        <v>45020</v>
      </c>
      <c r="C1677" s="6">
        <v>45150</v>
      </c>
      <c r="D1677" s="1" t="s">
        <v>7</v>
      </c>
      <c r="E1677" s="1">
        <v>39</v>
      </c>
      <c r="F1677" s="1" t="s">
        <v>6</v>
      </c>
      <c r="G1677" s="44">
        <f t="shared" si="52"/>
        <v>130</v>
      </c>
      <c r="H1677" s="10" t="str">
        <f t="shared" si="53"/>
        <v>Tuesday</v>
      </c>
    </row>
    <row r="1678" spans="1:8">
      <c r="A1678" s="9">
        <v>206676416</v>
      </c>
      <c r="B1678" s="6">
        <v>45020</v>
      </c>
      <c r="C1678" s="6">
        <v>45124</v>
      </c>
      <c r="D1678" s="1" t="s">
        <v>7</v>
      </c>
      <c r="E1678" s="1">
        <v>39</v>
      </c>
      <c r="F1678" s="1" t="s">
        <v>6</v>
      </c>
      <c r="G1678" s="44">
        <f t="shared" si="52"/>
        <v>104</v>
      </c>
      <c r="H1678" s="10" t="str">
        <f t="shared" si="53"/>
        <v>Tuesday</v>
      </c>
    </row>
    <row r="1679" spans="1:8">
      <c r="A1679" s="9">
        <v>160676837</v>
      </c>
      <c r="B1679" s="6">
        <v>45021</v>
      </c>
      <c r="C1679" s="1"/>
      <c r="D1679" s="1" t="s">
        <v>7</v>
      </c>
      <c r="E1679" s="1">
        <v>39</v>
      </c>
      <c r="F1679" s="1" t="s">
        <v>6</v>
      </c>
      <c r="G1679" s="44" t="str">
        <f t="shared" si="52"/>
        <v/>
      </c>
      <c r="H1679" s="10" t="str">
        <f t="shared" si="53"/>
        <v>Wednesday</v>
      </c>
    </row>
    <row r="1680" spans="1:8">
      <c r="A1680" s="9">
        <v>204274153</v>
      </c>
      <c r="B1680" s="6">
        <v>45021</v>
      </c>
      <c r="C1680" s="1"/>
      <c r="D1680" s="1" t="s">
        <v>7</v>
      </c>
      <c r="E1680" s="1">
        <v>39</v>
      </c>
      <c r="F1680" s="1" t="s">
        <v>6</v>
      </c>
      <c r="G1680" s="44" t="str">
        <f t="shared" si="52"/>
        <v/>
      </c>
      <c r="H1680" s="10" t="str">
        <f t="shared" si="53"/>
        <v>Wednesday</v>
      </c>
    </row>
    <row r="1681" spans="1:8">
      <c r="A1681" s="9">
        <v>210327236</v>
      </c>
      <c r="B1681" s="6">
        <v>45021</v>
      </c>
      <c r="C1681" s="6">
        <v>45022</v>
      </c>
      <c r="D1681" s="1" t="s">
        <v>8</v>
      </c>
      <c r="E1681" s="1">
        <v>39</v>
      </c>
      <c r="F1681" s="1" t="s">
        <v>6</v>
      </c>
      <c r="G1681" s="44">
        <f t="shared" si="52"/>
        <v>1</v>
      </c>
      <c r="H1681" s="10" t="str">
        <f t="shared" si="53"/>
        <v>Wednesday</v>
      </c>
    </row>
    <row r="1682" spans="1:8">
      <c r="A1682" s="9">
        <v>210326352</v>
      </c>
      <c r="B1682" s="6">
        <v>45021</v>
      </c>
      <c r="C1682" s="6">
        <v>45021</v>
      </c>
      <c r="D1682" s="1" t="s">
        <v>8</v>
      </c>
      <c r="E1682" s="1">
        <v>39</v>
      </c>
      <c r="F1682" s="1" t="s">
        <v>6</v>
      </c>
      <c r="G1682" s="44">
        <f t="shared" si="52"/>
        <v>0</v>
      </c>
      <c r="H1682" s="10" t="str">
        <f t="shared" si="53"/>
        <v>Wednesday</v>
      </c>
    </row>
    <row r="1683" spans="1:8">
      <c r="A1683" s="9">
        <v>124155104</v>
      </c>
      <c r="B1683" s="6">
        <v>45021</v>
      </c>
      <c r="C1683" s="6">
        <v>45058</v>
      </c>
      <c r="D1683" s="1" t="s">
        <v>7</v>
      </c>
      <c r="E1683" s="1">
        <v>39</v>
      </c>
      <c r="F1683" s="1" t="s">
        <v>6</v>
      </c>
      <c r="G1683" s="44">
        <f t="shared" si="52"/>
        <v>37</v>
      </c>
      <c r="H1683" s="10" t="str">
        <f t="shared" si="53"/>
        <v>Wednesday</v>
      </c>
    </row>
    <row r="1684" spans="1:8">
      <c r="A1684" s="9">
        <v>209517408</v>
      </c>
      <c r="B1684" s="6">
        <v>45021</v>
      </c>
      <c r="C1684" s="6">
        <v>45050</v>
      </c>
      <c r="D1684" s="1" t="s">
        <v>7</v>
      </c>
      <c r="E1684" s="1">
        <v>39</v>
      </c>
      <c r="F1684" s="1" t="s">
        <v>6</v>
      </c>
      <c r="G1684" s="44">
        <f t="shared" si="52"/>
        <v>29</v>
      </c>
      <c r="H1684" s="10" t="str">
        <f t="shared" si="53"/>
        <v>Wednesday</v>
      </c>
    </row>
    <row r="1685" spans="1:8">
      <c r="A1685" s="9">
        <v>210432450</v>
      </c>
      <c r="B1685" s="6">
        <v>45021</v>
      </c>
      <c r="C1685" s="6">
        <v>45028</v>
      </c>
      <c r="D1685" s="1" t="s">
        <v>7</v>
      </c>
      <c r="E1685" s="1">
        <v>39</v>
      </c>
      <c r="F1685" s="1" t="s">
        <v>6</v>
      </c>
      <c r="G1685" s="44">
        <f t="shared" si="52"/>
        <v>7</v>
      </c>
      <c r="H1685" s="10" t="str">
        <f t="shared" si="53"/>
        <v>Wednesday</v>
      </c>
    </row>
    <row r="1686" spans="1:8">
      <c r="A1686" s="9">
        <v>210138564</v>
      </c>
      <c r="B1686" s="6">
        <v>45022</v>
      </c>
      <c r="C1686" s="1"/>
      <c r="D1686" s="1" t="s">
        <v>7</v>
      </c>
      <c r="E1686" s="1">
        <v>39</v>
      </c>
      <c r="F1686" s="1" t="s">
        <v>6</v>
      </c>
      <c r="G1686" s="44" t="str">
        <f t="shared" si="52"/>
        <v/>
      </c>
      <c r="H1686" s="10" t="str">
        <f t="shared" si="53"/>
        <v>Thursday</v>
      </c>
    </row>
    <row r="1687" spans="1:8">
      <c r="A1687" s="9">
        <v>210617010</v>
      </c>
      <c r="B1687" s="6">
        <v>45022</v>
      </c>
      <c r="C1687" s="6">
        <v>45022</v>
      </c>
      <c r="D1687" s="1" t="s">
        <v>7</v>
      </c>
      <c r="E1687" s="1">
        <v>39</v>
      </c>
      <c r="F1687" s="1" t="s">
        <v>6</v>
      </c>
      <c r="G1687" s="44">
        <f t="shared" si="52"/>
        <v>0</v>
      </c>
      <c r="H1687" s="10" t="str">
        <f t="shared" si="53"/>
        <v>Thursday</v>
      </c>
    </row>
    <row r="1688" spans="1:8">
      <c r="A1688" s="9">
        <v>134894187</v>
      </c>
      <c r="B1688" s="6">
        <v>45022</v>
      </c>
      <c r="C1688" s="6">
        <v>45064</v>
      </c>
      <c r="D1688" s="1" t="s">
        <v>7</v>
      </c>
      <c r="E1688" s="1">
        <v>39</v>
      </c>
      <c r="F1688" s="1" t="s">
        <v>6</v>
      </c>
      <c r="G1688" s="44">
        <f t="shared" si="52"/>
        <v>42</v>
      </c>
      <c r="H1688" s="10" t="str">
        <f t="shared" si="53"/>
        <v>Thursday</v>
      </c>
    </row>
    <row r="1689" spans="1:8">
      <c r="A1689" s="9">
        <v>150643785</v>
      </c>
      <c r="B1689" s="6">
        <v>45022</v>
      </c>
      <c r="C1689" s="6">
        <v>45083</v>
      </c>
      <c r="D1689" s="1" t="s">
        <v>7</v>
      </c>
      <c r="E1689" s="1">
        <v>39</v>
      </c>
      <c r="F1689" s="1" t="s">
        <v>6</v>
      </c>
      <c r="G1689" s="44">
        <f t="shared" si="52"/>
        <v>61</v>
      </c>
      <c r="H1689" s="10" t="str">
        <f t="shared" si="53"/>
        <v>Thursday</v>
      </c>
    </row>
    <row r="1690" spans="1:8">
      <c r="A1690" s="9">
        <v>149986782</v>
      </c>
      <c r="B1690" s="6">
        <v>45022</v>
      </c>
      <c r="C1690" s="6">
        <v>45081</v>
      </c>
      <c r="D1690" s="1" t="s">
        <v>7</v>
      </c>
      <c r="E1690" s="1">
        <v>39</v>
      </c>
      <c r="F1690" s="1" t="s">
        <v>6</v>
      </c>
      <c r="G1690" s="44">
        <f t="shared" si="52"/>
        <v>59</v>
      </c>
      <c r="H1690" s="10" t="str">
        <f t="shared" si="53"/>
        <v>Thursday</v>
      </c>
    </row>
    <row r="1691" spans="1:8">
      <c r="A1691" s="9">
        <v>205463099</v>
      </c>
      <c r="B1691" s="6">
        <v>45022</v>
      </c>
      <c r="C1691" s="6">
        <v>45093</v>
      </c>
      <c r="D1691" s="1" t="s">
        <v>7</v>
      </c>
      <c r="E1691" s="1">
        <v>39</v>
      </c>
      <c r="F1691" s="1" t="s">
        <v>6</v>
      </c>
      <c r="G1691" s="44">
        <f t="shared" si="52"/>
        <v>71</v>
      </c>
      <c r="H1691" s="10" t="str">
        <f t="shared" si="53"/>
        <v>Thursday</v>
      </c>
    </row>
    <row r="1692" spans="1:8">
      <c r="A1692" s="9">
        <v>210565466</v>
      </c>
      <c r="B1692" s="6">
        <v>45022</v>
      </c>
      <c r="C1692" s="6">
        <v>45059</v>
      </c>
      <c r="D1692" s="1" t="s">
        <v>7</v>
      </c>
      <c r="E1692" s="1">
        <v>39</v>
      </c>
      <c r="F1692" s="1" t="s">
        <v>6</v>
      </c>
      <c r="G1692" s="44">
        <f t="shared" si="52"/>
        <v>37</v>
      </c>
      <c r="H1692" s="10" t="str">
        <f t="shared" si="53"/>
        <v>Thursday</v>
      </c>
    </row>
    <row r="1693" spans="1:8">
      <c r="A1693" s="9">
        <v>209072132</v>
      </c>
      <c r="B1693" s="6">
        <v>45023</v>
      </c>
      <c r="C1693" s="1"/>
      <c r="D1693" s="1" t="s">
        <v>7</v>
      </c>
      <c r="E1693" s="1">
        <v>39</v>
      </c>
      <c r="F1693" s="1" t="s">
        <v>6</v>
      </c>
      <c r="G1693" s="44" t="str">
        <f t="shared" si="52"/>
        <v/>
      </c>
      <c r="H1693" s="10" t="str">
        <f t="shared" si="53"/>
        <v>Friday</v>
      </c>
    </row>
    <row r="1694" spans="1:8">
      <c r="A1694" s="9">
        <v>210388772</v>
      </c>
      <c r="B1694" s="6">
        <v>45023</v>
      </c>
      <c r="C1694" s="1"/>
      <c r="D1694" s="1" t="s">
        <v>7</v>
      </c>
      <c r="E1694" s="1">
        <v>39</v>
      </c>
      <c r="F1694" s="1" t="s">
        <v>6</v>
      </c>
      <c r="G1694" s="44" t="str">
        <f t="shared" si="52"/>
        <v/>
      </c>
      <c r="H1694" s="10" t="str">
        <f t="shared" si="53"/>
        <v>Friday</v>
      </c>
    </row>
    <row r="1695" spans="1:8">
      <c r="A1695" s="9">
        <v>210617010</v>
      </c>
      <c r="B1695" s="6">
        <v>45023</v>
      </c>
      <c r="C1695" s="6">
        <v>45086</v>
      </c>
      <c r="D1695" s="1" t="s">
        <v>7</v>
      </c>
      <c r="E1695" s="1">
        <v>39</v>
      </c>
      <c r="F1695" s="1" t="s">
        <v>6</v>
      </c>
      <c r="G1695" s="44">
        <f t="shared" si="52"/>
        <v>63</v>
      </c>
      <c r="H1695" s="10" t="str">
        <f t="shared" si="53"/>
        <v>Friday</v>
      </c>
    </row>
    <row r="1696" spans="1:8">
      <c r="A1696" s="9">
        <v>210694562</v>
      </c>
      <c r="B1696" s="6">
        <v>45023</v>
      </c>
      <c r="C1696" s="6">
        <v>45060</v>
      </c>
      <c r="D1696" s="1" t="s">
        <v>7</v>
      </c>
      <c r="E1696" s="1">
        <v>39</v>
      </c>
      <c r="F1696" s="1" t="s">
        <v>6</v>
      </c>
      <c r="G1696" s="44">
        <f t="shared" si="52"/>
        <v>37</v>
      </c>
      <c r="H1696" s="10" t="str">
        <f t="shared" si="53"/>
        <v>Friday</v>
      </c>
    </row>
    <row r="1697" spans="1:8">
      <c r="A1697" s="9">
        <v>134833306</v>
      </c>
      <c r="B1697" s="6">
        <v>45023</v>
      </c>
      <c r="C1697" s="6">
        <v>45054</v>
      </c>
      <c r="D1697" s="1" t="s">
        <v>7</v>
      </c>
      <c r="E1697" s="1">
        <v>39</v>
      </c>
      <c r="F1697" s="1" t="s">
        <v>6</v>
      </c>
      <c r="G1697" s="44">
        <f t="shared" si="52"/>
        <v>31</v>
      </c>
      <c r="H1697" s="10" t="str">
        <f t="shared" si="53"/>
        <v>Friday</v>
      </c>
    </row>
    <row r="1698" spans="1:8">
      <c r="A1698" s="9">
        <v>211220014</v>
      </c>
      <c r="B1698" s="6">
        <v>45024</v>
      </c>
      <c r="C1698" s="1"/>
      <c r="D1698" s="1" t="s">
        <v>7</v>
      </c>
      <c r="E1698" s="1">
        <v>39</v>
      </c>
      <c r="F1698" s="1" t="s">
        <v>6</v>
      </c>
      <c r="G1698" s="44" t="str">
        <f t="shared" si="52"/>
        <v/>
      </c>
      <c r="H1698" s="10" t="str">
        <f t="shared" si="53"/>
        <v>Saturday</v>
      </c>
    </row>
    <row r="1699" spans="1:8">
      <c r="A1699" s="9">
        <v>121571816</v>
      </c>
      <c r="B1699" s="6">
        <v>45024</v>
      </c>
      <c r="C1699" s="1"/>
      <c r="D1699" s="1" t="s">
        <v>7</v>
      </c>
      <c r="E1699" s="1">
        <v>39</v>
      </c>
      <c r="F1699" s="1" t="s">
        <v>6</v>
      </c>
      <c r="G1699" s="44" t="str">
        <f t="shared" si="52"/>
        <v/>
      </c>
      <c r="H1699" s="10" t="str">
        <f t="shared" si="53"/>
        <v>Saturday</v>
      </c>
    </row>
    <row r="1700" spans="1:8">
      <c r="A1700" s="9">
        <v>211216060</v>
      </c>
      <c r="B1700" s="6">
        <v>45024</v>
      </c>
      <c r="C1700" s="1"/>
      <c r="D1700" s="1" t="s">
        <v>7</v>
      </c>
      <c r="E1700" s="1">
        <v>39</v>
      </c>
      <c r="F1700" s="1" t="s">
        <v>6</v>
      </c>
      <c r="G1700" s="44" t="str">
        <f t="shared" si="52"/>
        <v/>
      </c>
      <c r="H1700" s="10" t="str">
        <f t="shared" si="53"/>
        <v>Saturday</v>
      </c>
    </row>
    <row r="1701" spans="1:8">
      <c r="A1701" s="9">
        <v>211114276</v>
      </c>
      <c r="B1701" s="6">
        <v>45024</v>
      </c>
      <c r="C1701" s="1"/>
      <c r="D1701" s="1" t="s">
        <v>7</v>
      </c>
      <c r="E1701" s="1">
        <v>39</v>
      </c>
      <c r="F1701" s="1" t="s">
        <v>6</v>
      </c>
      <c r="G1701" s="44" t="str">
        <f t="shared" si="52"/>
        <v/>
      </c>
      <c r="H1701" s="10" t="str">
        <f t="shared" si="53"/>
        <v>Saturday</v>
      </c>
    </row>
    <row r="1702" spans="1:8">
      <c r="A1702" s="9">
        <v>211224883</v>
      </c>
      <c r="B1702" s="6">
        <v>45024</v>
      </c>
      <c r="C1702" s="6">
        <v>45025</v>
      </c>
      <c r="D1702" s="1" t="s">
        <v>8</v>
      </c>
      <c r="E1702" s="1">
        <v>39</v>
      </c>
      <c r="F1702" s="1" t="s">
        <v>6</v>
      </c>
      <c r="G1702" s="44">
        <f t="shared" si="52"/>
        <v>1</v>
      </c>
      <c r="H1702" s="10" t="str">
        <f t="shared" si="53"/>
        <v>Saturday</v>
      </c>
    </row>
    <row r="1703" spans="1:8">
      <c r="A1703" s="9">
        <v>211212313</v>
      </c>
      <c r="B1703" s="6">
        <v>45024</v>
      </c>
      <c r="C1703" s="6">
        <v>45083</v>
      </c>
      <c r="D1703" s="1" t="s">
        <v>7</v>
      </c>
      <c r="E1703" s="1">
        <v>39</v>
      </c>
      <c r="F1703" s="1" t="s">
        <v>6</v>
      </c>
      <c r="G1703" s="44">
        <f t="shared" si="52"/>
        <v>59</v>
      </c>
      <c r="H1703" s="10" t="str">
        <f t="shared" si="53"/>
        <v>Saturday</v>
      </c>
    </row>
    <row r="1704" spans="1:8">
      <c r="A1704" s="9">
        <v>210135815</v>
      </c>
      <c r="B1704" s="6">
        <v>45024</v>
      </c>
      <c r="C1704" s="6">
        <v>45034</v>
      </c>
      <c r="D1704" s="1" t="s">
        <v>7</v>
      </c>
      <c r="E1704" s="1">
        <v>39</v>
      </c>
      <c r="F1704" s="1" t="s">
        <v>6</v>
      </c>
      <c r="G1704" s="44">
        <f t="shared" si="52"/>
        <v>10</v>
      </c>
      <c r="H1704" s="10" t="str">
        <f t="shared" si="53"/>
        <v>Saturday</v>
      </c>
    </row>
    <row r="1705" spans="1:8">
      <c r="A1705" s="9">
        <v>211381659</v>
      </c>
      <c r="B1705" s="6">
        <v>45025</v>
      </c>
      <c r="C1705" s="1"/>
      <c r="D1705" s="1" t="s">
        <v>7</v>
      </c>
      <c r="E1705" s="1">
        <v>39</v>
      </c>
      <c r="F1705" s="1" t="s">
        <v>6</v>
      </c>
      <c r="G1705" s="44" t="str">
        <f t="shared" si="52"/>
        <v/>
      </c>
      <c r="H1705" s="10" t="str">
        <f t="shared" si="53"/>
        <v>Sunday</v>
      </c>
    </row>
    <row r="1706" spans="1:8">
      <c r="A1706" s="9">
        <v>183363812</v>
      </c>
      <c r="B1706" s="6">
        <v>45025</v>
      </c>
      <c r="C1706" s="1"/>
      <c r="D1706" s="1" t="s">
        <v>7</v>
      </c>
      <c r="E1706" s="1">
        <v>39</v>
      </c>
      <c r="F1706" s="1" t="s">
        <v>6</v>
      </c>
      <c r="G1706" s="44" t="str">
        <f t="shared" si="52"/>
        <v/>
      </c>
      <c r="H1706" s="10" t="str">
        <f t="shared" si="53"/>
        <v>Sunday</v>
      </c>
    </row>
    <row r="1707" spans="1:8">
      <c r="A1707" s="9">
        <v>211289909</v>
      </c>
      <c r="B1707" s="6">
        <v>45025</v>
      </c>
      <c r="C1707" s="1"/>
      <c r="D1707" s="1" t="s">
        <v>7</v>
      </c>
      <c r="E1707" s="1">
        <v>39</v>
      </c>
      <c r="F1707" s="1" t="s">
        <v>6</v>
      </c>
      <c r="G1707" s="44" t="str">
        <f t="shared" si="52"/>
        <v/>
      </c>
      <c r="H1707" s="10" t="str">
        <f t="shared" si="53"/>
        <v>Sunday</v>
      </c>
    </row>
    <row r="1708" spans="1:8">
      <c r="A1708" s="9">
        <v>211266858</v>
      </c>
      <c r="B1708" s="6">
        <v>45025</v>
      </c>
      <c r="C1708" s="6">
        <v>45048</v>
      </c>
      <c r="D1708" s="1" t="s">
        <v>7</v>
      </c>
      <c r="E1708" s="1">
        <v>39</v>
      </c>
      <c r="F1708" s="1" t="s">
        <v>6</v>
      </c>
      <c r="G1708" s="44">
        <f t="shared" si="52"/>
        <v>23</v>
      </c>
      <c r="H1708" s="10" t="str">
        <f t="shared" si="53"/>
        <v>Sunday</v>
      </c>
    </row>
    <row r="1709" spans="1:8">
      <c r="A1709" s="9">
        <v>153163612</v>
      </c>
      <c r="B1709" s="6">
        <v>45025</v>
      </c>
      <c r="C1709" s="6">
        <v>45040</v>
      </c>
      <c r="D1709" s="1" t="s">
        <v>7</v>
      </c>
      <c r="E1709" s="1">
        <v>39</v>
      </c>
      <c r="F1709" s="1" t="s">
        <v>6</v>
      </c>
      <c r="G1709" s="44">
        <f t="shared" si="52"/>
        <v>15</v>
      </c>
      <c r="H1709" s="10" t="str">
        <f t="shared" si="53"/>
        <v>Sunday</v>
      </c>
    </row>
    <row r="1710" spans="1:8">
      <c r="A1710" s="9">
        <v>209505551</v>
      </c>
      <c r="B1710" s="6">
        <v>45025</v>
      </c>
      <c r="C1710" s="6">
        <v>45041</v>
      </c>
      <c r="D1710" s="1" t="s">
        <v>7</v>
      </c>
      <c r="E1710" s="1">
        <v>39</v>
      </c>
      <c r="F1710" s="1" t="s">
        <v>6</v>
      </c>
      <c r="G1710" s="44">
        <f t="shared" si="52"/>
        <v>16</v>
      </c>
      <c r="H1710" s="10" t="str">
        <f t="shared" si="53"/>
        <v>Sunday</v>
      </c>
    </row>
    <row r="1711" spans="1:8">
      <c r="A1711" s="9">
        <v>211389716</v>
      </c>
      <c r="B1711" s="6">
        <v>45026</v>
      </c>
      <c r="C1711" s="1"/>
      <c r="D1711" s="1" t="s">
        <v>7</v>
      </c>
      <c r="E1711" s="1">
        <v>39</v>
      </c>
      <c r="F1711" s="1" t="s">
        <v>6</v>
      </c>
      <c r="G1711" s="44" t="str">
        <f t="shared" si="52"/>
        <v/>
      </c>
      <c r="H1711" s="10" t="str">
        <f t="shared" si="53"/>
        <v>Monday</v>
      </c>
    </row>
    <row r="1712" spans="1:8">
      <c r="A1712" s="9">
        <v>211636708</v>
      </c>
      <c r="B1712" s="6">
        <v>45026</v>
      </c>
      <c r="C1712" s="1"/>
      <c r="D1712" s="1" t="s">
        <v>7</v>
      </c>
      <c r="E1712" s="1">
        <v>39</v>
      </c>
      <c r="F1712" s="1" t="s">
        <v>6</v>
      </c>
      <c r="G1712" s="44" t="str">
        <f t="shared" si="52"/>
        <v/>
      </c>
      <c r="H1712" s="10" t="str">
        <f t="shared" si="53"/>
        <v>Monday</v>
      </c>
    </row>
    <row r="1713" spans="1:8">
      <c r="A1713" s="9">
        <v>176884824</v>
      </c>
      <c r="B1713" s="6">
        <v>45026</v>
      </c>
      <c r="C1713" s="1"/>
      <c r="D1713" s="1" t="s">
        <v>7</v>
      </c>
      <c r="E1713" s="1">
        <v>39</v>
      </c>
      <c r="F1713" s="1" t="s">
        <v>6</v>
      </c>
      <c r="G1713" s="44" t="str">
        <f t="shared" si="52"/>
        <v/>
      </c>
      <c r="H1713" s="10" t="str">
        <f t="shared" si="53"/>
        <v>Monday</v>
      </c>
    </row>
    <row r="1714" spans="1:8">
      <c r="A1714" s="9">
        <v>211352758</v>
      </c>
      <c r="B1714" s="6">
        <v>45026</v>
      </c>
      <c r="C1714" s="1"/>
      <c r="D1714" s="1" t="s">
        <v>7</v>
      </c>
      <c r="E1714" s="1">
        <v>39</v>
      </c>
      <c r="F1714" s="1" t="s">
        <v>6</v>
      </c>
      <c r="G1714" s="44" t="str">
        <f t="shared" si="52"/>
        <v/>
      </c>
      <c r="H1714" s="10" t="str">
        <f t="shared" si="53"/>
        <v>Monday</v>
      </c>
    </row>
    <row r="1715" spans="1:8">
      <c r="A1715" s="9">
        <v>210814163</v>
      </c>
      <c r="B1715" s="6">
        <v>45026</v>
      </c>
      <c r="C1715" s="1"/>
      <c r="D1715" s="1" t="s">
        <v>7</v>
      </c>
      <c r="E1715" s="1">
        <v>39</v>
      </c>
      <c r="F1715" s="1" t="s">
        <v>6</v>
      </c>
      <c r="G1715" s="44" t="str">
        <f t="shared" si="52"/>
        <v/>
      </c>
      <c r="H1715" s="10" t="str">
        <f t="shared" si="53"/>
        <v>Monday</v>
      </c>
    </row>
    <row r="1716" spans="1:8">
      <c r="A1716" s="9">
        <v>210893245</v>
      </c>
      <c r="B1716" s="6">
        <v>45026</v>
      </c>
      <c r="C1716" s="1"/>
      <c r="D1716" s="1" t="s">
        <v>7</v>
      </c>
      <c r="E1716" s="1">
        <v>39</v>
      </c>
      <c r="F1716" s="1" t="s">
        <v>6</v>
      </c>
      <c r="G1716" s="44" t="str">
        <f t="shared" si="52"/>
        <v/>
      </c>
      <c r="H1716" s="10" t="str">
        <f t="shared" si="53"/>
        <v>Monday</v>
      </c>
    </row>
    <row r="1717" spans="1:8">
      <c r="A1717" s="9">
        <v>130967112</v>
      </c>
      <c r="B1717" s="6">
        <v>45026</v>
      </c>
      <c r="C1717" s="1"/>
      <c r="D1717" s="1" t="s">
        <v>7</v>
      </c>
      <c r="E1717" s="1">
        <v>39</v>
      </c>
      <c r="F1717" s="1" t="s">
        <v>6</v>
      </c>
      <c r="G1717" s="44" t="str">
        <f t="shared" si="52"/>
        <v/>
      </c>
      <c r="H1717" s="10" t="str">
        <f t="shared" si="53"/>
        <v>Monday</v>
      </c>
    </row>
    <row r="1718" spans="1:8">
      <c r="A1718" s="9">
        <v>199116000</v>
      </c>
      <c r="B1718" s="6">
        <v>45026</v>
      </c>
      <c r="C1718" s="1"/>
      <c r="D1718" s="1" t="s">
        <v>7</v>
      </c>
      <c r="E1718" s="1">
        <v>39</v>
      </c>
      <c r="F1718" s="1" t="s">
        <v>6</v>
      </c>
      <c r="G1718" s="44" t="str">
        <f t="shared" si="52"/>
        <v/>
      </c>
      <c r="H1718" s="10" t="str">
        <f t="shared" si="53"/>
        <v>Monday</v>
      </c>
    </row>
    <row r="1719" spans="1:8">
      <c r="A1719" s="9">
        <v>161182706</v>
      </c>
      <c r="B1719" s="6">
        <v>45026</v>
      </c>
      <c r="C1719" s="6">
        <v>45063</v>
      </c>
      <c r="D1719" s="1" t="s">
        <v>7</v>
      </c>
      <c r="E1719" s="1">
        <v>39</v>
      </c>
      <c r="F1719" s="1" t="s">
        <v>6</v>
      </c>
      <c r="G1719" s="44">
        <f t="shared" si="52"/>
        <v>37</v>
      </c>
      <c r="H1719" s="10" t="str">
        <f t="shared" si="53"/>
        <v>Monday</v>
      </c>
    </row>
    <row r="1720" spans="1:8">
      <c r="A1720" s="9">
        <v>211576047</v>
      </c>
      <c r="B1720" s="6">
        <v>45027</v>
      </c>
      <c r="C1720" s="1"/>
      <c r="D1720" s="1" t="s">
        <v>7</v>
      </c>
      <c r="E1720" s="1">
        <v>39</v>
      </c>
      <c r="F1720" s="1" t="s">
        <v>6</v>
      </c>
      <c r="G1720" s="44" t="str">
        <f t="shared" si="52"/>
        <v/>
      </c>
      <c r="H1720" s="10" t="str">
        <f t="shared" si="53"/>
        <v>Tuesday</v>
      </c>
    </row>
    <row r="1721" spans="1:8">
      <c r="A1721" s="9">
        <v>211897884</v>
      </c>
      <c r="B1721" s="6">
        <v>45027</v>
      </c>
      <c r="C1721" s="1"/>
      <c r="D1721" s="1" t="s">
        <v>7</v>
      </c>
      <c r="E1721" s="1">
        <v>39</v>
      </c>
      <c r="F1721" s="1" t="s">
        <v>6</v>
      </c>
      <c r="G1721" s="44" t="str">
        <f t="shared" si="52"/>
        <v/>
      </c>
      <c r="H1721" s="10" t="str">
        <f t="shared" si="53"/>
        <v>Tuesday</v>
      </c>
    </row>
    <row r="1722" spans="1:8">
      <c r="A1722" s="9">
        <v>211661733</v>
      </c>
      <c r="B1722" s="6">
        <v>45027</v>
      </c>
      <c r="C1722" s="1"/>
      <c r="D1722" s="1" t="s">
        <v>7</v>
      </c>
      <c r="E1722" s="1">
        <v>39</v>
      </c>
      <c r="F1722" s="1" t="s">
        <v>6</v>
      </c>
      <c r="G1722" s="44" t="str">
        <f t="shared" si="52"/>
        <v/>
      </c>
      <c r="H1722" s="10" t="str">
        <f t="shared" si="53"/>
        <v>Tuesday</v>
      </c>
    </row>
    <row r="1723" spans="1:8">
      <c r="A1723" s="9">
        <v>211561665</v>
      </c>
      <c r="B1723" s="6">
        <v>45027</v>
      </c>
      <c r="C1723" s="1"/>
      <c r="D1723" s="1" t="s">
        <v>8</v>
      </c>
      <c r="E1723" s="1">
        <v>39</v>
      </c>
      <c r="F1723" s="1" t="s">
        <v>6</v>
      </c>
      <c r="G1723" s="44" t="str">
        <f t="shared" si="52"/>
        <v/>
      </c>
      <c r="H1723" s="10" t="str">
        <f t="shared" si="53"/>
        <v>Tuesday</v>
      </c>
    </row>
    <row r="1724" spans="1:8">
      <c r="A1724" s="9">
        <v>211911280</v>
      </c>
      <c r="B1724" s="6">
        <v>45027</v>
      </c>
      <c r="C1724" s="6">
        <v>45161</v>
      </c>
      <c r="D1724" s="1" t="s">
        <v>7</v>
      </c>
      <c r="E1724" s="1">
        <v>39</v>
      </c>
      <c r="F1724" s="1" t="s">
        <v>6</v>
      </c>
      <c r="G1724" s="44">
        <f t="shared" si="52"/>
        <v>134</v>
      </c>
      <c r="H1724" s="10" t="str">
        <f t="shared" si="53"/>
        <v>Tuesday</v>
      </c>
    </row>
    <row r="1725" spans="1:8">
      <c r="A1725" s="9">
        <v>123946316</v>
      </c>
      <c r="B1725" s="6">
        <v>45027</v>
      </c>
      <c r="C1725" s="6">
        <v>45094</v>
      </c>
      <c r="D1725" s="1" t="s">
        <v>7</v>
      </c>
      <c r="E1725" s="1">
        <v>39</v>
      </c>
      <c r="F1725" s="1" t="s">
        <v>6</v>
      </c>
      <c r="G1725" s="44">
        <f t="shared" si="52"/>
        <v>67</v>
      </c>
      <c r="H1725" s="10" t="str">
        <f t="shared" si="53"/>
        <v>Tuesday</v>
      </c>
    </row>
    <row r="1726" spans="1:8">
      <c r="A1726" s="9">
        <v>144469362</v>
      </c>
      <c r="B1726" s="6">
        <v>45027</v>
      </c>
      <c r="C1726" s="6">
        <v>45047</v>
      </c>
      <c r="D1726" s="1" t="s">
        <v>7</v>
      </c>
      <c r="E1726" s="1">
        <v>39</v>
      </c>
      <c r="F1726" s="1" t="s">
        <v>6</v>
      </c>
      <c r="G1726" s="44">
        <f t="shared" si="52"/>
        <v>20</v>
      </c>
      <c r="H1726" s="10" t="str">
        <f t="shared" si="53"/>
        <v>Tuesday</v>
      </c>
    </row>
    <row r="1727" spans="1:8">
      <c r="A1727" s="9">
        <v>187268085</v>
      </c>
      <c r="B1727" s="6">
        <v>45027</v>
      </c>
      <c r="C1727" s="6">
        <v>45054</v>
      </c>
      <c r="D1727" s="1" t="s">
        <v>7</v>
      </c>
      <c r="E1727" s="1">
        <v>39</v>
      </c>
      <c r="F1727" s="1" t="s">
        <v>6</v>
      </c>
      <c r="G1727" s="44">
        <f t="shared" si="52"/>
        <v>27</v>
      </c>
      <c r="H1727" s="10" t="str">
        <f t="shared" si="53"/>
        <v>Tuesday</v>
      </c>
    </row>
    <row r="1728" spans="1:8">
      <c r="A1728" s="9">
        <v>210088359</v>
      </c>
      <c r="B1728" s="6">
        <v>45027</v>
      </c>
      <c r="C1728" s="6">
        <v>45103</v>
      </c>
      <c r="D1728" s="1" t="s">
        <v>7</v>
      </c>
      <c r="E1728" s="1">
        <v>39</v>
      </c>
      <c r="F1728" s="1" t="s">
        <v>6</v>
      </c>
      <c r="G1728" s="44">
        <f t="shared" si="52"/>
        <v>76</v>
      </c>
      <c r="H1728" s="10" t="str">
        <f t="shared" si="53"/>
        <v>Tuesday</v>
      </c>
    </row>
    <row r="1729" spans="1:8">
      <c r="A1729" s="9">
        <v>211906202</v>
      </c>
      <c r="B1729" s="6">
        <v>45027</v>
      </c>
      <c r="C1729" s="6">
        <v>45068</v>
      </c>
      <c r="D1729" s="1" t="s">
        <v>7</v>
      </c>
      <c r="E1729" s="1">
        <v>39</v>
      </c>
      <c r="F1729" s="1" t="s">
        <v>6</v>
      </c>
      <c r="G1729" s="44">
        <f t="shared" si="52"/>
        <v>41</v>
      </c>
      <c r="H1729" s="10" t="str">
        <f t="shared" si="53"/>
        <v>Tuesday</v>
      </c>
    </row>
    <row r="1730" spans="1:8">
      <c r="A1730" s="9">
        <v>126391978</v>
      </c>
      <c r="B1730" s="6">
        <v>45027</v>
      </c>
      <c r="C1730" s="6">
        <v>45127</v>
      </c>
      <c r="D1730" s="1" t="s">
        <v>7</v>
      </c>
      <c r="E1730" s="1">
        <v>39</v>
      </c>
      <c r="F1730" s="1" t="s">
        <v>6</v>
      </c>
      <c r="G1730" s="44">
        <f t="shared" si="52"/>
        <v>100</v>
      </c>
      <c r="H1730" s="10" t="str">
        <f t="shared" si="53"/>
        <v>Tuesday</v>
      </c>
    </row>
    <row r="1731" spans="1:8">
      <c r="A1731" s="9">
        <v>154753462</v>
      </c>
      <c r="B1731" s="6">
        <v>45028</v>
      </c>
      <c r="C1731" s="1"/>
      <c r="D1731" s="1" t="s">
        <v>7</v>
      </c>
      <c r="E1731" s="1">
        <v>39</v>
      </c>
      <c r="F1731" s="1" t="s">
        <v>6</v>
      </c>
      <c r="G1731" s="44" t="str">
        <f t="shared" ref="G1731:G1794" si="54">IF(C1731="", "", DATEDIF(B1731, C1731, "D"))</f>
        <v/>
      </c>
      <c r="H1731" s="10" t="str">
        <f t="shared" ref="H1731:H1794" si="55">TEXT(B1731, "dddd")</f>
        <v>Wednesday</v>
      </c>
    </row>
    <row r="1732" spans="1:8">
      <c r="A1732" s="9">
        <v>212049757</v>
      </c>
      <c r="B1732" s="6">
        <v>45028</v>
      </c>
      <c r="C1732" s="1"/>
      <c r="D1732" s="1" t="s">
        <v>7</v>
      </c>
      <c r="E1732" s="1">
        <v>39</v>
      </c>
      <c r="F1732" s="1" t="s">
        <v>6</v>
      </c>
      <c r="G1732" s="44" t="str">
        <f t="shared" si="54"/>
        <v/>
      </c>
      <c r="H1732" s="10" t="str">
        <f t="shared" si="55"/>
        <v>Wednesday</v>
      </c>
    </row>
    <row r="1733" spans="1:8">
      <c r="A1733" s="9">
        <v>147015210</v>
      </c>
      <c r="B1733" s="6">
        <v>45028</v>
      </c>
      <c r="C1733" s="1"/>
      <c r="D1733" s="1" t="s">
        <v>7</v>
      </c>
      <c r="E1733" s="1">
        <v>39</v>
      </c>
      <c r="F1733" s="1" t="s">
        <v>6</v>
      </c>
      <c r="G1733" s="44" t="str">
        <f t="shared" si="54"/>
        <v/>
      </c>
      <c r="H1733" s="10" t="str">
        <f t="shared" si="55"/>
        <v>Wednesday</v>
      </c>
    </row>
    <row r="1734" spans="1:8">
      <c r="A1734" s="9">
        <v>212057431</v>
      </c>
      <c r="B1734" s="6">
        <v>45028</v>
      </c>
      <c r="C1734" s="6">
        <v>45029</v>
      </c>
      <c r="D1734" s="1" t="s">
        <v>8</v>
      </c>
      <c r="E1734" s="1">
        <v>39</v>
      </c>
      <c r="F1734" s="1" t="s">
        <v>6</v>
      </c>
      <c r="G1734" s="44">
        <f t="shared" si="54"/>
        <v>1</v>
      </c>
      <c r="H1734" s="10" t="str">
        <f t="shared" si="55"/>
        <v>Wednesday</v>
      </c>
    </row>
    <row r="1735" spans="1:8">
      <c r="A1735" s="9">
        <v>205734465</v>
      </c>
      <c r="B1735" s="6">
        <v>45028</v>
      </c>
      <c r="C1735" s="6">
        <v>45085</v>
      </c>
      <c r="D1735" s="1" t="s">
        <v>7</v>
      </c>
      <c r="E1735" s="1">
        <v>39</v>
      </c>
      <c r="F1735" s="1" t="s">
        <v>6</v>
      </c>
      <c r="G1735" s="44">
        <f t="shared" si="54"/>
        <v>57</v>
      </c>
      <c r="H1735" s="10" t="str">
        <f t="shared" si="55"/>
        <v>Wednesday</v>
      </c>
    </row>
    <row r="1736" spans="1:8">
      <c r="A1736" s="9">
        <v>208772540</v>
      </c>
      <c r="B1736" s="6">
        <v>45028</v>
      </c>
      <c r="C1736" s="6">
        <v>45046</v>
      </c>
      <c r="D1736" s="1" t="s">
        <v>7</v>
      </c>
      <c r="E1736" s="1">
        <v>39</v>
      </c>
      <c r="F1736" s="1" t="s">
        <v>6</v>
      </c>
      <c r="G1736" s="44">
        <f t="shared" si="54"/>
        <v>18</v>
      </c>
      <c r="H1736" s="10" t="str">
        <f t="shared" si="55"/>
        <v>Wednesday</v>
      </c>
    </row>
    <row r="1737" spans="1:8">
      <c r="A1737" s="9">
        <v>182357706</v>
      </c>
      <c r="B1737" s="6">
        <v>45028</v>
      </c>
      <c r="C1737" s="6">
        <v>45111</v>
      </c>
      <c r="D1737" s="1" t="s">
        <v>7</v>
      </c>
      <c r="E1737" s="1">
        <v>39</v>
      </c>
      <c r="F1737" s="1" t="s">
        <v>6</v>
      </c>
      <c r="G1737" s="44">
        <f t="shared" si="54"/>
        <v>83</v>
      </c>
      <c r="H1737" s="10" t="str">
        <f t="shared" si="55"/>
        <v>Wednesday</v>
      </c>
    </row>
    <row r="1738" spans="1:8">
      <c r="A1738" s="9">
        <v>211333348</v>
      </c>
      <c r="B1738" s="6">
        <v>45028</v>
      </c>
      <c r="C1738" s="6">
        <v>45115</v>
      </c>
      <c r="D1738" s="1" t="s">
        <v>7</v>
      </c>
      <c r="E1738" s="1">
        <v>39</v>
      </c>
      <c r="F1738" s="1" t="s">
        <v>6</v>
      </c>
      <c r="G1738" s="44">
        <f t="shared" si="54"/>
        <v>87</v>
      </c>
      <c r="H1738" s="10" t="str">
        <f t="shared" si="55"/>
        <v>Wednesday</v>
      </c>
    </row>
    <row r="1739" spans="1:8">
      <c r="A1739" s="9">
        <v>211334702</v>
      </c>
      <c r="B1739" s="6">
        <v>45028</v>
      </c>
      <c r="C1739" s="6">
        <v>45132</v>
      </c>
      <c r="D1739" s="1" t="s">
        <v>7</v>
      </c>
      <c r="E1739" s="1">
        <v>39</v>
      </c>
      <c r="F1739" s="1" t="s">
        <v>6</v>
      </c>
      <c r="G1739" s="44">
        <f t="shared" si="54"/>
        <v>104</v>
      </c>
      <c r="H1739" s="10" t="str">
        <f t="shared" si="55"/>
        <v>Wednesday</v>
      </c>
    </row>
    <row r="1740" spans="1:8">
      <c r="A1740" s="9">
        <v>212129575</v>
      </c>
      <c r="B1740" s="6">
        <v>45029</v>
      </c>
      <c r="C1740" s="1"/>
      <c r="D1740" s="1" t="s">
        <v>7</v>
      </c>
      <c r="E1740" s="1">
        <v>39</v>
      </c>
      <c r="F1740" s="1" t="s">
        <v>6</v>
      </c>
      <c r="G1740" s="44" t="str">
        <f t="shared" si="54"/>
        <v/>
      </c>
      <c r="H1740" s="10" t="str">
        <f t="shared" si="55"/>
        <v>Thursday</v>
      </c>
    </row>
    <row r="1741" spans="1:8">
      <c r="A1741" s="9">
        <v>209733088</v>
      </c>
      <c r="B1741" s="6">
        <v>45029</v>
      </c>
      <c r="C1741" s="1"/>
      <c r="D1741" s="1" t="s">
        <v>7</v>
      </c>
      <c r="E1741" s="1">
        <v>39</v>
      </c>
      <c r="F1741" s="1" t="s">
        <v>6</v>
      </c>
      <c r="G1741" s="44" t="str">
        <f t="shared" si="54"/>
        <v/>
      </c>
      <c r="H1741" s="10" t="str">
        <f t="shared" si="55"/>
        <v>Thursday</v>
      </c>
    </row>
    <row r="1742" spans="1:8">
      <c r="A1742" s="9">
        <v>152792045</v>
      </c>
      <c r="B1742" s="6">
        <v>45029</v>
      </c>
      <c r="C1742" s="6">
        <v>45097</v>
      </c>
      <c r="D1742" s="1" t="s">
        <v>7</v>
      </c>
      <c r="E1742" s="1">
        <v>39</v>
      </c>
      <c r="F1742" s="1" t="s">
        <v>6</v>
      </c>
      <c r="G1742" s="44">
        <f t="shared" si="54"/>
        <v>68</v>
      </c>
      <c r="H1742" s="10" t="str">
        <f t="shared" si="55"/>
        <v>Thursday</v>
      </c>
    </row>
    <row r="1743" spans="1:8">
      <c r="A1743" s="9">
        <v>212163568</v>
      </c>
      <c r="B1743" s="6">
        <v>45029</v>
      </c>
      <c r="C1743" s="6">
        <v>45075</v>
      </c>
      <c r="D1743" s="1" t="s">
        <v>7</v>
      </c>
      <c r="E1743" s="1">
        <v>39</v>
      </c>
      <c r="F1743" s="1" t="s">
        <v>6</v>
      </c>
      <c r="G1743" s="44">
        <f t="shared" si="54"/>
        <v>46</v>
      </c>
      <c r="H1743" s="10" t="str">
        <f t="shared" si="55"/>
        <v>Thursday</v>
      </c>
    </row>
    <row r="1744" spans="1:8">
      <c r="A1744" s="9">
        <v>212260363</v>
      </c>
      <c r="B1744" s="6">
        <v>45029</v>
      </c>
      <c r="C1744" s="6">
        <v>45056</v>
      </c>
      <c r="D1744" s="1" t="s">
        <v>7</v>
      </c>
      <c r="E1744" s="1">
        <v>39</v>
      </c>
      <c r="F1744" s="1" t="s">
        <v>6</v>
      </c>
      <c r="G1744" s="44">
        <f t="shared" si="54"/>
        <v>27</v>
      </c>
      <c r="H1744" s="10" t="str">
        <f t="shared" si="55"/>
        <v>Thursday</v>
      </c>
    </row>
    <row r="1745" spans="1:8">
      <c r="A1745" s="9">
        <v>212164158</v>
      </c>
      <c r="B1745" s="6">
        <v>45029</v>
      </c>
      <c r="C1745" s="6">
        <v>45104</v>
      </c>
      <c r="D1745" s="1" t="s">
        <v>7</v>
      </c>
      <c r="E1745" s="1">
        <v>39</v>
      </c>
      <c r="F1745" s="1" t="s">
        <v>6</v>
      </c>
      <c r="G1745" s="44">
        <f t="shared" si="54"/>
        <v>75</v>
      </c>
      <c r="H1745" s="10" t="str">
        <f t="shared" si="55"/>
        <v>Thursday</v>
      </c>
    </row>
    <row r="1746" spans="1:8">
      <c r="A1746" s="9">
        <v>155604779</v>
      </c>
      <c r="B1746" s="6">
        <v>45029</v>
      </c>
      <c r="C1746" s="6">
        <v>45111</v>
      </c>
      <c r="D1746" s="1" t="s">
        <v>7</v>
      </c>
      <c r="E1746" s="1">
        <v>39</v>
      </c>
      <c r="F1746" s="1" t="s">
        <v>6</v>
      </c>
      <c r="G1746" s="44">
        <f t="shared" si="54"/>
        <v>82</v>
      </c>
      <c r="H1746" s="10" t="str">
        <f t="shared" si="55"/>
        <v>Thursday</v>
      </c>
    </row>
    <row r="1747" spans="1:8">
      <c r="A1747" s="9">
        <v>150421022</v>
      </c>
      <c r="B1747" s="6">
        <v>45029</v>
      </c>
      <c r="C1747" s="6">
        <v>45092</v>
      </c>
      <c r="D1747" s="1" t="s">
        <v>7</v>
      </c>
      <c r="E1747" s="1">
        <v>39</v>
      </c>
      <c r="F1747" s="1" t="s">
        <v>6</v>
      </c>
      <c r="G1747" s="44">
        <f t="shared" si="54"/>
        <v>63</v>
      </c>
      <c r="H1747" s="10" t="str">
        <f t="shared" si="55"/>
        <v>Thursday</v>
      </c>
    </row>
    <row r="1748" spans="1:8">
      <c r="A1748" s="9">
        <v>122616012</v>
      </c>
      <c r="B1748" s="6">
        <v>45029</v>
      </c>
      <c r="C1748" s="6">
        <v>45106</v>
      </c>
      <c r="D1748" s="1" t="s">
        <v>7</v>
      </c>
      <c r="E1748" s="1">
        <v>39</v>
      </c>
      <c r="F1748" s="1" t="s">
        <v>6</v>
      </c>
      <c r="G1748" s="44">
        <f t="shared" si="54"/>
        <v>77</v>
      </c>
      <c r="H1748" s="10" t="str">
        <f t="shared" si="55"/>
        <v>Thursday</v>
      </c>
    </row>
    <row r="1749" spans="1:8">
      <c r="A1749" s="9">
        <v>209356278</v>
      </c>
      <c r="B1749" s="6">
        <v>45030</v>
      </c>
      <c r="C1749" s="1"/>
      <c r="D1749" s="1" t="s">
        <v>7</v>
      </c>
      <c r="E1749" s="1">
        <v>39</v>
      </c>
      <c r="F1749" s="1" t="s">
        <v>6</v>
      </c>
      <c r="G1749" s="44" t="str">
        <f t="shared" si="54"/>
        <v/>
      </c>
      <c r="H1749" s="10" t="str">
        <f t="shared" si="55"/>
        <v>Friday</v>
      </c>
    </row>
    <row r="1750" spans="1:8">
      <c r="A1750" s="9">
        <v>212604642</v>
      </c>
      <c r="B1750" s="6">
        <v>45030</v>
      </c>
      <c r="C1750" s="1"/>
      <c r="D1750" s="1" t="s">
        <v>7</v>
      </c>
      <c r="E1750" s="1">
        <v>39</v>
      </c>
      <c r="F1750" s="1" t="s">
        <v>6</v>
      </c>
      <c r="G1750" s="44" t="str">
        <f t="shared" si="54"/>
        <v/>
      </c>
      <c r="H1750" s="10" t="str">
        <f t="shared" si="55"/>
        <v>Friday</v>
      </c>
    </row>
    <row r="1751" spans="1:8">
      <c r="A1751" s="9">
        <v>210730447</v>
      </c>
      <c r="B1751" s="6">
        <v>45030</v>
      </c>
      <c r="C1751" s="1"/>
      <c r="D1751" s="1" t="s">
        <v>7</v>
      </c>
      <c r="E1751" s="1">
        <v>39</v>
      </c>
      <c r="F1751" s="1" t="s">
        <v>6</v>
      </c>
      <c r="G1751" s="44" t="str">
        <f t="shared" si="54"/>
        <v/>
      </c>
      <c r="H1751" s="10" t="str">
        <f t="shared" si="55"/>
        <v>Friday</v>
      </c>
    </row>
    <row r="1752" spans="1:8">
      <c r="A1752" s="9">
        <v>212388726</v>
      </c>
      <c r="B1752" s="6">
        <v>45030</v>
      </c>
      <c r="C1752" s="1"/>
      <c r="D1752" s="1" t="s">
        <v>8</v>
      </c>
      <c r="E1752" s="1">
        <v>39</v>
      </c>
      <c r="F1752" s="1" t="s">
        <v>6</v>
      </c>
      <c r="G1752" s="44" t="str">
        <f t="shared" si="54"/>
        <v/>
      </c>
      <c r="H1752" s="10" t="str">
        <f t="shared" si="55"/>
        <v>Friday</v>
      </c>
    </row>
    <row r="1753" spans="1:8">
      <c r="A1753" s="9">
        <v>127793951</v>
      </c>
      <c r="B1753" s="6">
        <v>45030</v>
      </c>
      <c r="C1753" s="6">
        <v>45169</v>
      </c>
      <c r="D1753" s="1" t="s">
        <v>7</v>
      </c>
      <c r="E1753" s="1">
        <v>39</v>
      </c>
      <c r="F1753" s="1" t="s">
        <v>6</v>
      </c>
      <c r="G1753" s="44">
        <f t="shared" si="54"/>
        <v>139</v>
      </c>
      <c r="H1753" s="10" t="str">
        <f t="shared" si="55"/>
        <v>Friday</v>
      </c>
    </row>
    <row r="1754" spans="1:8">
      <c r="A1754" s="9">
        <v>189715793</v>
      </c>
      <c r="B1754" s="6">
        <v>45030</v>
      </c>
      <c r="C1754" s="6">
        <v>45067</v>
      </c>
      <c r="D1754" s="1" t="s">
        <v>7</v>
      </c>
      <c r="E1754" s="1">
        <v>39</v>
      </c>
      <c r="F1754" s="1" t="s">
        <v>6</v>
      </c>
      <c r="G1754" s="44">
        <f t="shared" si="54"/>
        <v>37</v>
      </c>
      <c r="H1754" s="10" t="str">
        <f t="shared" si="55"/>
        <v>Friday</v>
      </c>
    </row>
    <row r="1755" spans="1:8">
      <c r="A1755" s="9">
        <v>148369126</v>
      </c>
      <c r="B1755" s="6">
        <v>45031</v>
      </c>
      <c r="C1755" s="1"/>
      <c r="D1755" s="1" t="s">
        <v>7</v>
      </c>
      <c r="E1755" s="1">
        <v>39</v>
      </c>
      <c r="F1755" s="1" t="s">
        <v>6</v>
      </c>
      <c r="G1755" s="44" t="str">
        <f t="shared" si="54"/>
        <v/>
      </c>
      <c r="H1755" s="10" t="str">
        <f t="shared" si="55"/>
        <v>Saturday</v>
      </c>
    </row>
    <row r="1756" spans="1:8">
      <c r="A1756" s="9">
        <v>157503290</v>
      </c>
      <c r="B1756" s="6">
        <v>45031</v>
      </c>
      <c r="C1756" s="6">
        <v>45068</v>
      </c>
      <c r="D1756" s="1" t="s">
        <v>7</v>
      </c>
      <c r="E1756" s="1">
        <v>39</v>
      </c>
      <c r="F1756" s="1" t="s">
        <v>6</v>
      </c>
      <c r="G1756" s="44">
        <f t="shared" si="54"/>
        <v>37</v>
      </c>
      <c r="H1756" s="10" t="str">
        <f t="shared" si="55"/>
        <v>Saturday</v>
      </c>
    </row>
    <row r="1757" spans="1:8">
      <c r="A1757" s="9">
        <v>212712986</v>
      </c>
      <c r="B1757" s="6">
        <v>45031</v>
      </c>
      <c r="C1757" s="6">
        <v>45077</v>
      </c>
      <c r="D1757" s="1" t="s">
        <v>7</v>
      </c>
      <c r="E1757" s="1">
        <v>39</v>
      </c>
      <c r="F1757" s="1" t="s">
        <v>6</v>
      </c>
      <c r="G1757" s="44">
        <f t="shared" si="54"/>
        <v>46</v>
      </c>
      <c r="H1757" s="10" t="str">
        <f t="shared" si="55"/>
        <v>Saturday</v>
      </c>
    </row>
    <row r="1758" spans="1:8">
      <c r="A1758" s="9">
        <v>204512028</v>
      </c>
      <c r="B1758" s="6">
        <v>45031</v>
      </c>
      <c r="C1758" s="6">
        <v>45061</v>
      </c>
      <c r="D1758" s="1" t="s">
        <v>7</v>
      </c>
      <c r="E1758" s="1">
        <v>39</v>
      </c>
      <c r="F1758" s="1" t="s">
        <v>6</v>
      </c>
      <c r="G1758" s="44">
        <f t="shared" si="54"/>
        <v>30</v>
      </c>
      <c r="H1758" s="10" t="str">
        <f t="shared" si="55"/>
        <v>Saturday</v>
      </c>
    </row>
    <row r="1759" spans="1:8">
      <c r="A1759" s="9">
        <v>147066240</v>
      </c>
      <c r="B1759" s="6">
        <v>45031</v>
      </c>
      <c r="C1759" s="6">
        <v>45046</v>
      </c>
      <c r="D1759" s="1" t="s">
        <v>7</v>
      </c>
      <c r="E1759" s="1">
        <v>39</v>
      </c>
      <c r="F1759" s="1" t="s">
        <v>6</v>
      </c>
      <c r="G1759" s="44">
        <f t="shared" si="54"/>
        <v>15</v>
      </c>
      <c r="H1759" s="10" t="str">
        <f t="shared" si="55"/>
        <v>Saturday</v>
      </c>
    </row>
    <row r="1760" spans="1:8">
      <c r="A1760" s="9">
        <v>212759443</v>
      </c>
      <c r="B1760" s="6">
        <v>45032</v>
      </c>
      <c r="C1760" s="6">
        <v>45032</v>
      </c>
      <c r="D1760" s="1" t="s">
        <v>7</v>
      </c>
      <c r="E1760" s="1">
        <v>39</v>
      </c>
      <c r="F1760" s="1" t="s">
        <v>6</v>
      </c>
      <c r="G1760" s="44">
        <f t="shared" si="54"/>
        <v>0</v>
      </c>
      <c r="H1760" s="10" t="str">
        <f t="shared" si="55"/>
        <v>Sunday</v>
      </c>
    </row>
    <row r="1761" spans="1:8">
      <c r="A1761" s="9">
        <v>212042832</v>
      </c>
      <c r="B1761" s="6">
        <v>45033</v>
      </c>
      <c r="C1761" s="1"/>
      <c r="D1761" s="1" t="s">
        <v>7</v>
      </c>
      <c r="E1761" s="1">
        <v>39</v>
      </c>
      <c r="F1761" s="1" t="s">
        <v>6</v>
      </c>
      <c r="G1761" s="44" t="str">
        <f t="shared" si="54"/>
        <v/>
      </c>
      <c r="H1761" s="10" t="str">
        <f t="shared" si="55"/>
        <v>Monday</v>
      </c>
    </row>
    <row r="1762" spans="1:8">
      <c r="A1762" s="9">
        <v>212113682</v>
      </c>
      <c r="B1762" s="6">
        <v>45033</v>
      </c>
      <c r="C1762" s="1"/>
      <c r="D1762" s="1" t="s">
        <v>7</v>
      </c>
      <c r="E1762" s="1">
        <v>39</v>
      </c>
      <c r="F1762" s="1" t="s">
        <v>6</v>
      </c>
      <c r="G1762" s="44" t="str">
        <f t="shared" si="54"/>
        <v/>
      </c>
      <c r="H1762" s="10" t="str">
        <f t="shared" si="55"/>
        <v>Monday</v>
      </c>
    </row>
    <row r="1763" spans="1:8">
      <c r="A1763" s="9">
        <v>181175226</v>
      </c>
      <c r="B1763" s="6">
        <v>45033</v>
      </c>
      <c r="C1763" s="1"/>
      <c r="D1763" s="1" t="s">
        <v>7</v>
      </c>
      <c r="E1763" s="1">
        <v>39</v>
      </c>
      <c r="F1763" s="1" t="s">
        <v>6</v>
      </c>
      <c r="G1763" s="44" t="str">
        <f t="shared" si="54"/>
        <v/>
      </c>
      <c r="H1763" s="10" t="str">
        <f t="shared" si="55"/>
        <v>Monday</v>
      </c>
    </row>
    <row r="1764" spans="1:8">
      <c r="A1764" s="9">
        <v>201817514</v>
      </c>
      <c r="B1764" s="6">
        <v>45033</v>
      </c>
      <c r="C1764" s="6">
        <v>45034</v>
      </c>
      <c r="D1764" s="1" t="s">
        <v>7</v>
      </c>
      <c r="E1764" s="1">
        <v>39</v>
      </c>
      <c r="F1764" s="1" t="s">
        <v>6</v>
      </c>
      <c r="G1764" s="44">
        <f t="shared" si="54"/>
        <v>1</v>
      </c>
      <c r="H1764" s="10" t="str">
        <f t="shared" si="55"/>
        <v>Monday</v>
      </c>
    </row>
    <row r="1765" spans="1:8">
      <c r="A1765" s="9">
        <v>168698174</v>
      </c>
      <c r="B1765" s="6">
        <v>45033</v>
      </c>
      <c r="C1765" s="6">
        <v>45033</v>
      </c>
      <c r="D1765" s="1" t="s">
        <v>7</v>
      </c>
      <c r="E1765" s="1">
        <v>39</v>
      </c>
      <c r="F1765" s="1" t="s">
        <v>6</v>
      </c>
      <c r="G1765" s="44">
        <f t="shared" si="54"/>
        <v>0</v>
      </c>
      <c r="H1765" s="10" t="str">
        <f t="shared" si="55"/>
        <v>Monday</v>
      </c>
    </row>
    <row r="1766" spans="1:8">
      <c r="A1766" s="9">
        <v>170512298</v>
      </c>
      <c r="B1766" s="6">
        <v>45033</v>
      </c>
      <c r="C1766" s="6">
        <v>45061</v>
      </c>
      <c r="D1766" s="1" t="s">
        <v>7</v>
      </c>
      <c r="E1766" s="1">
        <v>39</v>
      </c>
      <c r="F1766" s="1" t="s">
        <v>6</v>
      </c>
      <c r="G1766" s="44">
        <f t="shared" si="54"/>
        <v>28</v>
      </c>
      <c r="H1766" s="10" t="str">
        <f t="shared" si="55"/>
        <v>Monday</v>
      </c>
    </row>
    <row r="1767" spans="1:8">
      <c r="A1767" s="9">
        <v>213181546</v>
      </c>
      <c r="B1767" s="6">
        <v>45033</v>
      </c>
      <c r="C1767" s="6">
        <v>45078</v>
      </c>
      <c r="D1767" s="1" t="s">
        <v>7</v>
      </c>
      <c r="E1767" s="1">
        <v>39</v>
      </c>
      <c r="F1767" s="1" t="s">
        <v>6</v>
      </c>
      <c r="G1767" s="44">
        <f t="shared" si="54"/>
        <v>45</v>
      </c>
      <c r="H1767" s="10" t="str">
        <f t="shared" si="55"/>
        <v>Monday</v>
      </c>
    </row>
    <row r="1768" spans="1:8">
      <c r="A1768" s="9">
        <v>154535908</v>
      </c>
      <c r="B1768" s="6">
        <v>45033</v>
      </c>
      <c r="C1768" s="6">
        <v>45101</v>
      </c>
      <c r="D1768" s="1" t="s">
        <v>7</v>
      </c>
      <c r="E1768" s="1">
        <v>39</v>
      </c>
      <c r="F1768" s="1" t="s">
        <v>6</v>
      </c>
      <c r="G1768" s="44">
        <f t="shared" si="54"/>
        <v>68</v>
      </c>
      <c r="H1768" s="10" t="str">
        <f t="shared" si="55"/>
        <v>Monday</v>
      </c>
    </row>
    <row r="1769" spans="1:8">
      <c r="A1769" s="9">
        <v>151540809</v>
      </c>
      <c r="B1769" s="6">
        <v>45033</v>
      </c>
      <c r="C1769" s="6">
        <v>45069</v>
      </c>
      <c r="D1769" s="1" t="s">
        <v>7</v>
      </c>
      <c r="E1769" s="1">
        <v>39</v>
      </c>
      <c r="F1769" s="1" t="s">
        <v>6</v>
      </c>
      <c r="G1769" s="44">
        <f t="shared" si="54"/>
        <v>36</v>
      </c>
      <c r="H1769" s="10" t="str">
        <f t="shared" si="55"/>
        <v>Monday</v>
      </c>
    </row>
    <row r="1770" spans="1:8">
      <c r="A1770" s="9">
        <v>212334937</v>
      </c>
      <c r="B1770" s="6">
        <v>45033</v>
      </c>
      <c r="C1770" s="6">
        <v>45064</v>
      </c>
      <c r="D1770" s="1" t="s">
        <v>7</v>
      </c>
      <c r="E1770" s="1">
        <v>39</v>
      </c>
      <c r="F1770" s="1" t="s">
        <v>6</v>
      </c>
      <c r="G1770" s="44">
        <f t="shared" si="54"/>
        <v>31</v>
      </c>
      <c r="H1770" s="10" t="str">
        <f t="shared" si="55"/>
        <v>Monday</v>
      </c>
    </row>
    <row r="1771" spans="1:8">
      <c r="A1771" s="9">
        <v>204766175</v>
      </c>
      <c r="B1771" s="6">
        <v>45033</v>
      </c>
      <c r="C1771" s="6">
        <v>45121</v>
      </c>
      <c r="D1771" s="1" t="s">
        <v>7</v>
      </c>
      <c r="E1771" s="1">
        <v>39</v>
      </c>
      <c r="F1771" s="1" t="s">
        <v>6</v>
      </c>
      <c r="G1771" s="44">
        <f t="shared" si="54"/>
        <v>88</v>
      </c>
      <c r="H1771" s="10" t="str">
        <f t="shared" si="55"/>
        <v>Monday</v>
      </c>
    </row>
    <row r="1772" spans="1:8">
      <c r="A1772" s="9">
        <v>212055738</v>
      </c>
      <c r="B1772" s="6">
        <v>45033</v>
      </c>
      <c r="C1772" s="6">
        <v>45162</v>
      </c>
      <c r="D1772" s="1" t="s">
        <v>7</v>
      </c>
      <c r="E1772" s="1">
        <v>39</v>
      </c>
      <c r="F1772" s="1" t="s">
        <v>6</v>
      </c>
      <c r="G1772" s="44">
        <f t="shared" si="54"/>
        <v>129</v>
      </c>
      <c r="H1772" s="10" t="str">
        <f t="shared" si="55"/>
        <v>Monday</v>
      </c>
    </row>
    <row r="1773" spans="1:8">
      <c r="A1773" s="9">
        <v>211907956</v>
      </c>
      <c r="B1773" s="6">
        <v>45034</v>
      </c>
      <c r="C1773" s="1"/>
      <c r="D1773" s="1" t="s">
        <v>7</v>
      </c>
      <c r="E1773" s="1">
        <v>39</v>
      </c>
      <c r="F1773" s="1" t="s">
        <v>6</v>
      </c>
      <c r="G1773" s="44" t="str">
        <f t="shared" si="54"/>
        <v/>
      </c>
      <c r="H1773" s="10" t="str">
        <f t="shared" si="55"/>
        <v>Tuesday</v>
      </c>
    </row>
    <row r="1774" spans="1:8">
      <c r="A1774" s="9">
        <v>212759443</v>
      </c>
      <c r="B1774" s="6">
        <v>45034</v>
      </c>
      <c r="C1774" s="1"/>
      <c r="D1774" s="1" t="s">
        <v>7</v>
      </c>
      <c r="E1774" s="1">
        <v>39</v>
      </c>
      <c r="F1774" s="1" t="s">
        <v>6</v>
      </c>
      <c r="G1774" s="44" t="str">
        <f t="shared" si="54"/>
        <v/>
      </c>
      <c r="H1774" s="10" t="str">
        <f t="shared" si="55"/>
        <v>Tuesday</v>
      </c>
    </row>
    <row r="1775" spans="1:8">
      <c r="A1775" s="9">
        <v>213182327</v>
      </c>
      <c r="B1775" s="6">
        <v>45034</v>
      </c>
      <c r="C1775" s="1"/>
      <c r="D1775" s="1" t="s">
        <v>7</v>
      </c>
      <c r="E1775" s="1">
        <v>39</v>
      </c>
      <c r="F1775" s="1" t="s">
        <v>6</v>
      </c>
      <c r="G1775" s="44" t="str">
        <f t="shared" si="54"/>
        <v/>
      </c>
      <c r="H1775" s="10" t="str">
        <f t="shared" si="55"/>
        <v>Tuesday</v>
      </c>
    </row>
    <row r="1776" spans="1:8">
      <c r="A1776" s="9">
        <v>213442067</v>
      </c>
      <c r="B1776" s="6">
        <v>45034</v>
      </c>
      <c r="C1776" s="1"/>
      <c r="D1776" s="1" t="s">
        <v>7</v>
      </c>
      <c r="E1776" s="1">
        <v>39</v>
      </c>
      <c r="F1776" s="1" t="s">
        <v>6</v>
      </c>
      <c r="G1776" s="44" t="str">
        <f t="shared" si="54"/>
        <v/>
      </c>
      <c r="H1776" s="10" t="str">
        <f t="shared" si="55"/>
        <v>Tuesday</v>
      </c>
    </row>
    <row r="1777" spans="1:8">
      <c r="A1777" s="9">
        <v>213427247</v>
      </c>
      <c r="B1777" s="6">
        <v>45034</v>
      </c>
      <c r="C1777" s="1"/>
      <c r="D1777" s="1" t="s">
        <v>7</v>
      </c>
      <c r="E1777" s="1">
        <v>39</v>
      </c>
      <c r="F1777" s="1" t="s">
        <v>6</v>
      </c>
      <c r="G1777" s="44" t="str">
        <f t="shared" si="54"/>
        <v/>
      </c>
      <c r="H1777" s="10" t="str">
        <f t="shared" si="55"/>
        <v>Tuesday</v>
      </c>
    </row>
    <row r="1778" spans="1:8">
      <c r="A1778" s="9">
        <v>172476368</v>
      </c>
      <c r="B1778" s="6">
        <v>45034</v>
      </c>
      <c r="C1778" s="6">
        <v>45061</v>
      </c>
      <c r="D1778" s="1" t="s">
        <v>7</v>
      </c>
      <c r="E1778" s="1">
        <v>39</v>
      </c>
      <c r="F1778" s="1" t="s">
        <v>6</v>
      </c>
      <c r="G1778" s="44">
        <f t="shared" si="54"/>
        <v>27</v>
      </c>
      <c r="H1778" s="10" t="str">
        <f t="shared" si="55"/>
        <v>Tuesday</v>
      </c>
    </row>
    <row r="1779" spans="1:8">
      <c r="A1779" s="9">
        <v>148900262</v>
      </c>
      <c r="B1779" s="6">
        <v>45034</v>
      </c>
      <c r="C1779" s="6">
        <v>45057</v>
      </c>
      <c r="D1779" s="1" t="s">
        <v>7</v>
      </c>
      <c r="E1779" s="1">
        <v>39</v>
      </c>
      <c r="F1779" s="1" t="s">
        <v>6</v>
      </c>
      <c r="G1779" s="44">
        <f t="shared" si="54"/>
        <v>23</v>
      </c>
      <c r="H1779" s="10" t="str">
        <f t="shared" si="55"/>
        <v>Tuesday</v>
      </c>
    </row>
    <row r="1780" spans="1:8">
      <c r="A1780" s="9">
        <v>213450505</v>
      </c>
      <c r="B1780" s="6">
        <v>45034</v>
      </c>
      <c r="C1780" s="6">
        <v>45062</v>
      </c>
      <c r="D1780" s="1" t="s">
        <v>7</v>
      </c>
      <c r="E1780" s="1">
        <v>39</v>
      </c>
      <c r="F1780" s="1" t="s">
        <v>6</v>
      </c>
      <c r="G1780" s="44">
        <f t="shared" si="54"/>
        <v>28</v>
      </c>
      <c r="H1780" s="10" t="str">
        <f t="shared" si="55"/>
        <v>Tuesday</v>
      </c>
    </row>
    <row r="1781" spans="1:8">
      <c r="A1781" s="9">
        <v>168261038</v>
      </c>
      <c r="B1781" s="6">
        <v>45034</v>
      </c>
      <c r="C1781" s="6">
        <v>45072</v>
      </c>
      <c r="D1781" s="1" t="s">
        <v>7</v>
      </c>
      <c r="E1781" s="1">
        <v>39</v>
      </c>
      <c r="F1781" s="1" t="s">
        <v>6</v>
      </c>
      <c r="G1781" s="44">
        <f t="shared" si="54"/>
        <v>38</v>
      </c>
      <c r="H1781" s="10" t="str">
        <f t="shared" si="55"/>
        <v>Tuesday</v>
      </c>
    </row>
    <row r="1782" spans="1:8">
      <c r="A1782" s="9">
        <v>207018786</v>
      </c>
      <c r="B1782" s="6">
        <v>45034</v>
      </c>
      <c r="C1782" s="6">
        <v>45132</v>
      </c>
      <c r="D1782" s="1" t="s">
        <v>7</v>
      </c>
      <c r="E1782" s="1">
        <v>39</v>
      </c>
      <c r="F1782" s="1" t="s">
        <v>6</v>
      </c>
      <c r="G1782" s="44">
        <f t="shared" si="54"/>
        <v>98</v>
      </c>
      <c r="H1782" s="10" t="str">
        <f t="shared" si="55"/>
        <v>Tuesday</v>
      </c>
    </row>
    <row r="1783" spans="1:8">
      <c r="A1783" s="9">
        <v>213781045</v>
      </c>
      <c r="B1783" s="6">
        <v>45035</v>
      </c>
      <c r="C1783" s="1"/>
      <c r="D1783" s="1" t="s">
        <v>7</v>
      </c>
      <c r="E1783" s="1">
        <v>39</v>
      </c>
      <c r="F1783" s="1" t="s">
        <v>6</v>
      </c>
      <c r="G1783" s="44" t="str">
        <f t="shared" si="54"/>
        <v/>
      </c>
      <c r="H1783" s="10" t="str">
        <f t="shared" si="55"/>
        <v>Wednesday</v>
      </c>
    </row>
    <row r="1784" spans="1:8">
      <c r="A1784" s="9">
        <v>213785402</v>
      </c>
      <c r="B1784" s="6">
        <v>45035</v>
      </c>
      <c r="C1784" s="6">
        <v>45161</v>
      </c>
      <c r="D1784" s="1" t="s">
        <v>7</v>
      </c>
      <c r="E1784" s="1">
        <v>39</v>
      </c>
      <c r="F1784" s="1" t="s">
        <v>6</v>
      </c>
      <c r="G1784" s="44">
        <f t="shared" si="54"/>
        <v>126</v>
      </c>
      <c r="H1784" s="10" t="str">
        <f t="shared" si="55"/>
        <v>Wednesday</v>
      </c>
    </row>
    <row r="1785" spans="1:8">
      <c r="A1785" s="9">
        <v>213689187</v>
      </c>
      <c r="B1785" s="6">
        <v>45035</v>
      </c>
      <c r="C1785" s="6">
        <v>45036</v>
      </c>
      <c r="D1785" s="1" t="s">
        <v>8</v>
      </c>
      <c r="E1785" s="1">
        <v>39</v>
      </c>
      <c r="F1785" s="1" t="s">
        <v>6</v>
      </c>
      <c r="G1785" s="44">
        <f t="shared" si="54"/>
        <v>1</v>
      </c>
      <c r="H1785" s="10" t="str">
        <f t="shared" si="55"/>
        <v>Wednesday</v>
      </c>
    </row>
    <row r="1786" spans="1:8">
      <c r="A1786" s="9">
        <v>213413298</v>
      </c>
      <c r="B1786" s="6">
        <v>45035</v>
      </c>
      <c r="C1786" s="6">
        <v>45035</v>
      </c>
      <c r="D1786" s="1" t="s">
        <v>8</v>
      </c>
      <c r="E1786" s="1">
        <v>39</v>
      </c>
      <c r="F1786" s="1" t="s">
        <v>6</v>
      </c>
      <c r="G1786" s="44">
        <f t="shared" si="54"/>
        <v>0</v>
      </c>
      <c r="H1786" s="10" t="str">
        <f t="shared" si="55"/>
        <v>Wednesday</v>
      </c>
    </row>
    <row r="1787" spans="1:8">
      <c r="A1787" s="9">
        <v>184458429</v>
      </c>
      <c r="B1787" s="6">
        <v>45035</v>
      </c>
      <c r="C1787" s="6">
        <v>45085</v>
      </c>
      <c r="D1787" s="1" t="s">
        <v>7</v>
      </c>
      <c r="E1787" s="1">
        <v>39</v>
      </c>
      <c r="F1787" s="1" t="s">
        <v>6</v>
      </c>
      <c r="G1787" s="44">
        <f t="shared" si="54"/>
        <v>50</v>
      </c>
      <c r="H1787" s="10" t="str">
        <f t="shared" si="55"/>
        <v>Wednesday</v>
      </c>
    </row>
    <row r="1788" spans="1:8">
      <c r="A1788" s="9">
        <v>212190070</v>
      </c>
      <c r="B1788" s="6">
        <v>45035</v>
      </c>
      <c r="C1788" s="6">
        <v>45096</v>
      </c>
      <c r="D1788" s="1" t="s">
        <v>7</v>
      </c>
      <c r="E1788" s="1">
        <v>39</v>
      </c>
      <c r="F1788" s="1" t="s">
        <v>6</v>
      </c>
      <c r="G1788" s="44">
        <f t="shared" si="54"/>
        <v>61</v>
      </c>
      <c r="H1788" s="10" t="str">
        <f t="shared" si="55"/>
        <v>Wednesday</v>
      </c>
    </row>
    <row r="1789" spans="1:8">
      <c r="A1789" s="9">
        <v>212737739</v>
      </c>
      <c r="B1789" s="6">
        <v>45035</v>
      </c>
      <c r="C1789" s="6">
        <v>45077</v>
      </c>
      <c r="D1789" s="1" t="s">
        <v>7</v>
      </c>
      <c r="E1789" s="1">
        <v>39</v>
      </c>
      <c r="F1789" s="1" t="s">
        <v>6</v>
      </c>
      <c r="G1789" s="44">
        <f t="shared" si="54"/>
        <v>42</v>
      </c>
      <c r="H1789" s="10" t="str">
        <f t="shared" si="55"/>
        <v>Wednesday</v>
      </c>
    </row>
    <row r="1790" spans="1:8">
      <c r="A1790" s="9">
        <v>211904660</v>
      </c>
      <c r="B1790" s="6">
        <v>45036</v>
      </c>
      <c r="C1790" s="1"/>
      <c r="D1790" s="1" t="s">
        <v>7</v>
      </c>
      <c r="E1790" s="1">
        <v>39</v>
      </c>
      <c r="F1790" s="1" t="s">
        <v>6</v>
      </c>
      <c r="G1790" s="44" t="str">
        <f t="shared" si="54"/>
        <v/>
      </c>
      <c r="H1790" s="10" t="str">
        <f t="shared" si="55"/>
        <v>Thursday</v>
      </c>
    </row>
    <row r="1791" spans="1:8">
      <c r="A1791" s="9">
        <v>112792926</v>
      </c>
      <c r="B1791" s="6">
        <v>45036</v>
      </c>
      <c r="C1791" s="1"/>
      <c r="D1791" s="1" t="s">
        <v>7</v>
      </c>
      <c r="E1791" s="1">
        <v>39</v>
      </c>
      <c r="F1791" s="1" t="s">
        <v>6</v>
      </c>
      <c r="G1791" s="44" t="str">
        <f t="shared" si="54"/>
        <v/>
      </c>
      <c r="H1791" s="10" t="str">
        <f t="shared" si="55"/>
        <v>Thursday</v>
      </c>
    </row>
    <row r="1792" spans="1:8">
      <c r="A1792" s="9">
        <v>213914942</v>
      </c>
      <c r="B1792" s="6">
        <v>45036</v>
      </c>
      <c r="C1792" s="1"/>
      <c r="D1792" s="1" t="s">
        <v>7</v>
      </c>
      <c r="E1792" s="1">
        <v>39</v>
      </c>
      <c r="F1792" s="1" t="s">
        <v>6</v>
      </c>
      <c r="G1792" s="44" t="str">
        <f t="shared" si="54"/>
        <v/>
      </c>
      <c r="H1792" s="10" t="str">
        <f t="shared" si="55"/>
        <v>Thursday</v>
      </c>
    </row>
    <row r="1793" spans="1:8">
      <c r="A1793" s="9">
        <v>189220435</v>
      </c>
      <c r="B1793" s="6">
        <v>45036</v>
      </c>
      <c r="C1793" s="6">
        <v>45046</v>
      </c>
      <c r="D1793" s="1" t="s">
        <v>7</v>
      </c>
      <c r="E1793" s="1">
        <v>39</v>
      </c>
      <c r="F1793" s="1" t="s">
        <v>6</v>
      </c>
      <c r="G1793" s="44">
        <f t="shared" si="54"/>
        <v>10</v>
      </c>
      <c r="H1793" s="10" t="str">
        <f t="shared" si="55"/>
        <v>Thursday</v>
      </c>
    </row>
    <row r="1794" spans="1:8">
      <c r="A1794" s="9">
        <v>203237584</v>
      </c>
      <c r="B1794" s="6">
        <v>45036</v>
      </c>
      <c r="C1794" s="6">
        <v>45041</v>
      </c>
      <c r="D1794" s="1" t="s">
        <v>7</v>
      </c>
      <c r="E1794" s="1">
        <v>39</v>
      </c>
      <c r="F1794" s="1" t="s">
        <v>6</v>
      </c>
      <c r="G1794" s="44">
        <f t="shared" si="54"/>
        <v>5</v>
      </c>
      <c r="H1794" s="10" t="str">
        <f t="shared" si="55"/>
        <v>Thursday</v>
      </c>
    </row>
    <row r="1795" spans="1:8">
      <c r="A1795" s="9">
        <v>213179140</v>
      </c>
      <c r="B1795" s="6">
        <v>45036</v>
      </c>
      <c r="C1795" s="6">
        <v>45063</v>
      </c>
      <c r="D1795" s="1" t="s">
        <v>7</v>
      </c>
      <c r="E1795" s="1">
        <v>39</v>
      </c>
      <c r="F1795" s="1" t="s">
        <v>6</v>
      </c>
      <c r="G1795" s="44">
        <f t="shared" ref="G1795:G1858" si="56">IF(C1795="", "", DATEDIF(B1795, C1795, "D"))</f>
        <v>27</v>
      </c>
      <c r="H1795" s="10" t="str">
        <f t="shared" ref="H1795:H1858" si="57">TEXT(B1795, "dddd")</f>
        <v>Thursday</v>
      </c>
    </row>
    <row r="1796" spans="1:8">
      <c r="A1796" s="9">
        <v>211629536</v>
      </c>
      <c r="B1796" s="6">
        <v>45036</v>
      </c>
      <c r="C1796" s="6">
        <v>45073</v>
      </c>
      <c r="D1796" s="1" t="s">
        <v>7</v>
      </c>
      <c r="E1796" s="1">
        <v>39</v>
      </c>
      <c r="F1796" s="1" t="s">
        <v>6</v>
      </c>
      <c r="G1796" s="44">
        <f t="shared" si="56"/>
        <v>37</v>
      </c>
      <c r="H1796" s="10" t="str">
        <f t="shared" si="57"/>
        <v>Thursday</v>
      </c>
    </row>
    <row r="1797" spans="1:8">
      <c r="A1797" s="9">
        <v>204953211</v>
      </c>
      <c r="B1797" s="6">
        <v>45036</v>
      </c>
      <c r="C1797" s="6">
        <v>45073</v>
      </c>
      <c r="D1797" s="1" t="s">
        <v>7</v>
      </c>
      <c r="E1797" s="1">
        <v>39</v>
      </c>
      <c r="F1797" s="1" t="s">
        <v>6</v>
      </c>
      <c r="G1797" s="44">
        <f t="shared" si="56"/>
        <v>37</v>
      </c>
      <c r="H1797" s="10" t="str">
        <f t="shared" si="57"/>
        <v>Thursday</v>
      </c>
    </row>
    <row r="1798" spans="1:8">
      <c r="A1798" s="9">
        <v>111394466</v>
      </c>
      <c r="B1798" s="6">
        <v>45036</v>
      </c>
      <c r="C1798" s="6">
        <v>45099</v>
      </c>
      <c r="D1798" s="1" t="s">
        <v>7</v>
      </c>
      <c r="E1798" s="1">
        <v>39</v>
      </c>
      <c r="F1798" s="1" t="s">
        <v>6</v>
      </c>
      <c r="G1798" s="44">
        <f t="shared" si="56"/>
        <v>63</v>
      </c>
      <c r="H1798" s="10" t="str">
        <f t="shared" si="57"/>
        <v>Thursday</v>
      </c>
    </row>
    <row r="1799" spans="1:8">
      <c r="A1799" s="9">
        <v>214107134</v>
      </c>
      <c r="B1799" s="6">
        <v>45037</v>
      </c>
      <c r="C1799" s="1"/>
      <c r="D1799" s="1" t="s">
        <v>7</v>
      </c>
      <c r="E1799" s="1">
        <v>39</v>
      </c>
      <c r="F1799" s="1" t="s">
        <v>6</v>
      </c>
      <c r="G1799" s="44" t="str">
        <f t="shared" si="56"/>
        <v/>
      </c>
      <c r="H1799" s="10" t="str">
        <f t="shared" si="57"/>
        <v>Friday</v>
      </c>
    </row>
    <row r="1800" spans="1:8">
      <c r="A1800" s="9">
        <v>214105034</v>
      </c>
      <c r="B1800" s="6">
        <v>45037</v>
      </c>
      <c r="C1800" s="1"/>
      <c r="D1800" s="1" t="s">
        <v>7</v>
      </c>
      <c r="E1800" s="1">
        <v>39</v>
      </c>
      <c r="F1800" s="1" t="s">
        <v>6</v>
      </c>
      <c r="G1800" s="44" t="str">
        <f t="shared" si="56"/>
        <v/>
      </c>
      <c r="H1800" s="10" t="str">
        <f t="shared" si="57"/>
        <v>Friday</v>
      </c>
    </row>
    <row r="1801" spans="1:8">
      <c r="A1801" s="9">
        <v>214124745</v>
      </c>
      <c r="B1801" s="6">
        <v>45037</v>
      </c>
      <c r="C1801" s="6">
        <v>45176</v>
      </c>
      <c r="D1801" s="1" t="s">
        <v>7</v>
      </c>
      <c r="E1801" s="1">
        <v>39</v>
      </c>
      <c r="F1801" s="1" t="s">
        <v>6</v>
      </c>
      <c r="G1801" s="44">
        <f t="shared" si="56"/>
        <v>139</v>
      </c>
      <c r="H1801" s="10" t="str">
        <f t="shared" si="57"/>
        <v>Friday</v>
      </c>
    </row>
    <row r="1802" spans="1:8">
      <c r="A1802" s="9">
        <v>214107426</v>
      </c>
      <c r="B1802" s="6">
        <v>45037</v>
      </c>
      <c r="C1802" s="6">
        <v>45038</v>
      </c>
      <c r="D1802" s="1" t="s">
        <v>8</v>
      </c>
      <c r="E1802" s="1">
        <v>39</v>
      </c>
      <c r="F1802" s="1" t="s">
        <v>6</v>
      </c>
      <c r="G1802" s="44">
        <f t="shared" si="56"/>
        <v>1</v>
      </c>
      <c r="H1802" s="10" t="str">
        <f t="shared" si="57"/>
        <v>Friday</v>
      </c>
    </row>
    <row r="1803" spans="1:8">
      <c r="A1803" s="9">
        <v>213980322</v>
      </c>
      <c r="B1803" s="6">
        <v>45037</v>
      </c>
      <c r="C1803" s="6">
        <v>45097</v>
      </c>
      <c r="D1803" s="1" t="s">
        <v>7</v>
      </c>
      <c r="E1803" s="1">
        <v>39</v>
      </c>
      <c r="F1803" s="1" t="s">
        <v>6</v>
      </c>
      <c r="G1803" s="44">
        <f t="shared" si="56"/>
        <v>60</v>
      </c>
      <c r="H1803" s="10" t="str">
        <f t="shared" si="57"/>
        <v>Friday</v>
      </c>
    </row>
    <row r="1804" spans="1:8">
      <c r="A1804" s="9">
        <v>213434919</v>
      </c>
      <c r="B1804" s="6">
        <v>45037</v>
      </c>
      <c r="C1804" s="6">
        <v>45037</v>
      </c>
      <c r="D1804" s="1" t="s">
        <v>7</v>
      </c>
      <c r="E1804" s="1">
        <v>39</v>
      </c>
      <c r="F1804" s="1" t="s">
        <v>6</v>
      </c>
      <c r="G1804" s="44">
        <f t="shared" si="56"/>
        <v>0</v>
      </c>
      <c r="H1804" s="10" t="str">
        <f t="shared" si="57"/>
        <v>Friday</v>
      </c>
    </row>
    <row r="1805" spans="1:8">
      <c r="A1805" s="9">
        <v>214129448</v>
      </c>
      <c r="B1805" s="6">
        <v>45037</v>
      </c>
      <c r="C1805" s="6">
        <v>45135</v>
      </c>
      <c r="D1805" s="1" t="s">
        <v>7</v>
      </c>
      <c r="E1805" s="1">
        <v>39</v>
      </c>
      <c r="F1805" s="1" t="s">
        <v>6</v>
      </c>
      <c r="G1805" s="44">
        <f t="shared" si="56"/>
        <v>98</v>
      </c>
      <c r="H1805" s="10" t="str">
        <f t="shared" si="57"/>
        <v>Friday</v>
      </c>
    </row>
    <row r="1806" spans="1:8">
      <c r="A1806" s="9">
        <v>213944536</v>
      </c>
      <c r="B1806" s="6">
        <v>45037</v>
      </c>
      <c r="C1806" s="6">
        <v>45098</v>
      </c>
      <c r="D1806" s="1" t="s">
        <v>7</v>
      </c>
      <c r="E1806" s="1">
        <v>39</v>
      </c>
      <c r="F1806" s="1" t="s">
        <v>6</v>
      </c>
      <c r="G1806" s="44">
        <f t="shared" si="56"/>
        <v>61</v>
      </c>
      <c r="H1806" s="10" t="str">
        <f t="shared" si="57"/>
        <v>Friday</v>
      </c>
    </row>
    <row r="1807" spans="1:8">
      <c r="A1807" s="9">
        <v>214052531</v>
      </c>
      <c r="B1807" s="6">
        <v>45037</v>
      </c>
      <c r="C1807" s="6">
        <v>45166</v>
      </c>
      <c r="D1807" s="1" t="s">
        <v>7</v>
      </c>
      <c r="E1807" s="1">
        <v>39</v>
      </c>
      <c r="F1807" s="1" t="s">
        <v>6</v>
      </c>
      <c r="G1807" s="44">
        <f t="shared" si="56"/>
        <v>129</v>
      </c>
      <c r="H1807" s="10" t="str">
        <f t="shared" si="57"/>
        <v>Friday</v>
      </c>
    </row>
    <row r="1808" spans="1:8">
      <c r="A1808" s="9">
        <v>214196608</v>
      </c>
      <c r="B1808" s="6">
        <v>45038</v>
      </c>
      <c r="C1808" s="1"/>
      <c r="D1808" s="1" t="s">
        <v>7</v>
      </c>
      <c r="E1808" s="1">
        <v>39</v>
      </c>
      <c r="F1808" s="1" t="s">
        <v>6</v>
      </c>
      <c r="G1808" s="44" t="str">
        <f t="shared" si="56"/>
        <v/>
      </c>
      <c r="H1808" s="10" t="str">
        <f t="shared" si="57"/>
        <v>Saturday</v>
      </c>
    </row>
    <row r="1809" spans="1:8">
      <c r="A1809" s="9">
        <v>125299295</v>
      </c>
      <c r="B1809" s="6">
        <v>45038</v>
      </c>
      <c r="C1809" s="6">
        <v>45096</v>
      </c>
      <c r="D1809" s="1" t="s">
        <v>7</v>
      </c>
      <c r="E1809" s="1">
        <v>39</v>
      </c>
      <c r="F1809" s="1" t="s">
        <v>6</v>
      </c>
      <c r="G1809" s="44">
        <f t="shared" si="56"/>
        <v>58</v>
      </c>
      <c r="H1809" s="10" t="str">
        <f t="shared" si="57"/>
        <v>Saturday</v>
      </c>
    </row>
    <row r="1810" spans="1:8">
      <c r="A1810" s="9">
        <v>214199386</v>
      </c>
      <c r="B1810" s="6">
        <v>45038</v>
      </c>
      <c r="C1810" s="6">
        <v>45053</v>
      </c>
      <c r="D1810" s="1" t="s">
        <v>7</v>
      </c>
      <c r="E1810" s="1">
        <v>39</v>
      </c>
      <c r="F1810" s="1" t="s">
        <v>6</v>
      </c>
      <c r="G1810" s="44">
        <f t="shared" si="56"/>
        <v>15</v>
      </c>
      <c r="H1810" s="10" t="str">
        <f t="shared" si="57"/>
        <v>Saturday</v>
      </c>
    </row>
    <row r="1811" spans="1:8">
      <c r="A1811" s="9">
        <v>214191851</v>
      </c>
      <c r="B1811" s="6">
        <v>45038</v>
      </c>
      <c r="C1811" s="6">
        <v>45058</v>
      </c>
      <c r="D1811" s="1" t="s">
        <v>7</v>
      </c>
      <c r="E1811" s="1">
        <v>39</v>
      </c>
      <c r="F1811" s="1" t="s">
        <v>6</v>
      </c>
      <c r="G1811" s="44">
        <f t="shared" si="56"/>
        <v>20</v>
      </c>
      <c r="H1811" s="10" t="str">
        <f t="shared" si="57"/>
        <v>Saturday</v>
      </c>
    </row>
    <row r="1812" spans="1:8">
      <c r="A1812" s="9">
        <v>214174478</v>
      </c>
      <c r="B1812" s="6">
        <v>45038</v>
      </c>
      <c r="C1812" s="6">
        <v>45068</v>
      </c>
      <c r="D1812" s="1" t="s">
        <v>7</v>
      </c>
      <c r="E1812" s="1">
        <v>39</v>
      </c>
      <c r="F1812" s="1" t="s">
        <v>6</v>
      </c>
      <c r="G1812" s="44">
        <f t="shared" si="56"/>
        <v>30</v>
      </c>
      <c r="H1812" s="10" t="str">
        <f t="shared" si="57"/>
        <v>Saturday</v>
      </c>
    </row>
    <row r="1813" spans="1:8">
      <c r="A1813" s="9">
        <v>214264465</v>
      </c>
      <c r="B1813" s="6">
        <v>45039</v>
      </c>
      <c r="C1813" s="1"/>
      <c r="D1813" s="1" t="s">
        <v>7</v>
      </c>
      <c r="E1813" s="1">
        <v>39</v>
      </c>
      <c r="F1813" s="1" t="s">
        <v>6</v>
      </c>
      <c r="G1813" s="44" t="str">
        <f t="shared" si="56"/>
        <v/>
      </c>
      <c r="H1813" s="10" t="str">
        <f t="shared" si="57"/>
        <v>Sunday</v>
      </c>
    </row>
    <row r="1814" spans="1:8">
      <c r="A1814" s="9">
        <v>214261616</v>
      </c>
      <c r="B1814" s="6">
        <v>45039</v>
      </c>
      <c r="C1814" s="1"/>
      <c r="D1814" s="1" t="s">
        <v>7</v>
      </c>
      <c r="E1814" s="1">
        <v>39</v>
      </c>
      <c r="F1814" s="1" t="s">
        <v>6</v>
      </c>
      <c r="G1814" s="44" t="str">
        <f t="shared" si="56"/>
        <v/>
      </c>
      <c r="H1814" s="10" t="str">
        <f t="shared" si="57"/>
        <v>Sunday</v>
      </c>
    </row>
    <row r="1815" spans="1:8">
      <c r="A1815" s="9">
        <v>214178644</v>
      </c>
      <c r="B1815" s="6">
        <v>45039</v>
      </c>
      <c r="C1815" s="1"/>
      <c r="D1815" s="1" t="s">
        <v>7</v>
      </c>
      <c r="E1815" s="1">
        <v>39</v>
      </c>
      <c r="F1815" s="1" t="s">
        <v>6</v>
      </c>
      <c r="G1815" s="44" t="str">
        <f t="shared" si="56"/>
        <v/>
      </c>
      <c r="H1815" s="10" t="str">
        <f t="shared" si="57"/>
        <v>Sunday</v>
      </c>
    </row>
    <row r="1816" spans="1:8">
      <c r="A1816" s="9">
        <v>214202809</v>
      </c>
      <c r="B1816" s="6">
        <v>45039</v>
      </c>
      <c r="C1816" s="6">
        <v>45068</v>
      </c>
      <c r="D1816" s="1" t="s">
        <v>7</v>
      </c>
      <c r="E1816" s="1">
        <v>39</v>
      </c>
      <c r="F1816" s="1" t="s">
        <v>6</v>
      </c>
      <c r="G1816" s="44">
        <f t="shared" si="56"/>
        <v>29</v>
      </c>
      <c r="H1816" s="10" t="str">
        <f t="shared" si="57"/>
        <v>Sunday</v>
      </c>
    </row>
    <row r="1817" spans="1:8">
      <c r="A1817" s="9">
        <v>214220188</v>
      </c>
      <c r="B1817" s="6">
        <v>45040</v>
      </c>
      <c r="C1817" s="1"/>
      <c r="D1817" s="1" t="s">
        <v>7</v>
      </c>
      <c r="E1817" s="1">
        <v>39</v>
      </c>
      <c r="F1817" s="1" t="s">
        <v>6</v>
      </c>
      <c r="G1817" s="44" t="str">
        <f t="shared" si="56"/>
        <v/>
      </c>
      <c r="H1817" s="10" t="str">
        <f t="shared" si="57"/>
        <v>Monday</v>
      </c>
    </row>
    <row r="1818" spans="1:8">
      <c r="A1818" s="9">
        <v>212113435</v>
      </c>
      <c r="B1818" s="6">
        <v>45040</v>
      </c>
      <c r="C1818" s="1"/>
      <c r="D1818" s="1" t="s">
        <v>7</v>
      </c>
      <c r="E1818" s="1">
        <v>39</v>
      </c>
      <c r="F1818" s="1" t="s">
        <v>6</v>
      </c>
      <c r="G1818" s="44" t="str">
        <f t="shared" si="56"/>
        <v/>
      </c>
      <c r="H1818" s="10" t="str">
        <f t="shared" si="57"/>
        <v>Monday</v>
      </c>
    </row>
    <row r="1819" spans="1:8">
      <c r="A1819" s="9">
        <v>213431638</v>
      </c>
      <c r="B1819" s="6">
        <v>45040</v>
      </c>
      <c r="C1819" s="1"/>
      <c r="D1819" s="1" t="s">
        <v>7</v>
      </c>
      <c r="E1819" s="1">
        <v>39</v>
      </c>
      <c r="F1819" s="1" t="s">
        <v>6</v>
      </c>
      <c r="G1819" s="44" t="str">
        <f t="shared" si="56"/>
        <v/>
      </c>
      <c r="H1819" s="10" t="str">
        <f t="shared" si="57"/>
        <v>Monday</v>
      </c>
    </row>
    <row r="1820" spans="1:8">
      <c r="A1820" s="9">
        <v>214102994</v>
      </c>
      <c r="B1820" s="6">
        <v>45040</v>
      </c>
      <c r="C1820" s="1"/>
      <c r="D1820" s="1" t="s">
        <v>7</v>
      </c>
      <c r="E1820" s="1">
        <v>39</v>
      </c>
      <c r="F1820" s="1" t="s">
        <v>6</v>
      </c>
      <c r="G1820" s="44" t="str">
        <f t="shared" si="56"/>
        <v/>
      </c>
      <c r="H1820" s="10" t="str">
        <f t="shared" si="57"/>
        <v>Monday</v>
      </c>
    </row>
    <row r="1821" spans="1:8">
      <c r="A1821" s="9">
        <v>177266058</v>
      </c>
      <c r="B1821" s="6">
        <v>45040</v>
      </c>
      <c r="C1821" s="1"/>
      <c r="D1821" s="1" t="s">
        <v>7</v>
      </c>
      <c r="E1821" s="1">
        <v>39</v>
      </c>
      <c r="F1821" s="1" t="s">
        <v>6</v>
      </c>
      <c r="G1821" s="44" t="str">
        <f t="shared" si="56"/>
        <v/>
      </c>
      <c r="H1821" s="10" t="str">
        <f t="shared" si="57"/>
        <v>Monday</v>
      </c>
    </row>
    <row r="1822" spans="1:8">
      <c r="A1822" s="9">
        <v>116060198</v>
      </c>
      <c r="B1822" s="6">
        <v>45040</v>
      </c>
      <c r="C1822" s="1"/>
      <c r="D1822" s="1" t="s">
        <v>7</v>
      </c>
      <c r="E1822" s="1">
        <v>39</v>
      </c>
      <c r="F1822" s="1" t="s">
        <v>6</v>
      </c>
      <c r="G1822" s="44" t="str">
        <f t="shared" si="56"/>
        <v/>
      </c>
      <c r="H1822" s="10" t="str">
        <f t="shared" si="57"/>
        <v>Monday</v>
      </c>
    </row>
    <row r="1823" spans="1:8">
      <c r="A1823" s="9">
        <v>214312843</v>
      </c>
      <c r="B1823" s="6">
        <v>45040</v>
      </c>
      <c r="C1823" s="1"/>
      <c r="D1823" s="1" t="s">
        <v>7</v>
      </c>
      <c r="E1823" s="1">
        <v>39</v>
      </c>
      <c r="F1823" s="1" t="s">
        <v>6</v>
      </c>
      <c r="G1823" s="44" t="str">
        <f t="shared" si="56"/>
        <v/>
      </c>
      <c r="H1823" s="10" t="str">
        <f t="shared" si="57"/>
        <v>Monday</v>
      </c>
    </row>
    <row r="1824" spans="1:8">
      <c r="A1824" s="9">
        <v>156245288</v>
      </c>
      <c r="B1824" s="6">
        <v>45040</v>
      </c>
      <c r="C1824" s="6">
        <v>45057</v>
      </c>
      <c r="D1824" s="1" t="s">
        <v>7</v>
      </c>
      <c r="E1824" s="1">
        <v>39</v>
      </c>
      <c r="F1824" s="1" t="s">
        <v>6</v>
      </c>
      <c r="G1824" s="44">
        <f t="shared" si="56"/>
        <v>17</v>
      </c>
      <c r="H1824" s="10" t="str">
        <f t="shared" si="57"/>
        <v>Monday</v>
      </c>
    </row>
    <row r="1825" spans="1:8">
      <c r="A1825" s="9">
        <v>148869972</v>
      </c>
      <c r="B1825" s="6">
        <v>45040</v>
      </c>
      <c r="C1825" s="6">
        <v>45056</v>
      </c>
      <c r="D1825" s="1" t="s">
        <v>7</v>
      </c>
      <c r="E1825" s="1">
        <v>39</v>
      </c>
      <c r="F1825" s="1" t="s">
        <v>6</v>
      </c>
      <c r="G1825" s="44">
        <f t="shared" si="56"/>
        <v>16</v>
      </c>
      <c r="H1825" s="10" t="str">
        <f t="shared" si="57"/>
        <v>Monday</v>
      </c>
    </row>
    <row r="1826" spans="1:8">
      <c r="A1826" s="9">
        <v>156186115</v>
      </c>
      <c r="B1826" s="6">
        <v>45040</v>
      </c>
      <c r="C1826" s="6">
        <v>45063</v>
      </c>
      <c r="D1826" s="1" t="s">
        <v>7</v>
      </c>
      <c r="E1826" s="1">
        <v>39</v>
      </c>
      <c r="F1826" s="1" t="s">
        <v>6</v>
      </c>
      <c r="G1826" s="44">
        <f t="shared" si="56"/>
        <v>23</v>
      </c>
      <c r="H1826" s="10" t="str">
        <f t="shared" si="57"/>
        <v>Monday</v>
      </c>
    </row>
    <row r="1827" spans="1:8">
      <c r="A1827" s="9">
        <v>207235755</v>
      </c>
      <c r="B1827" s="6">
        <v>45040</v>
      </c>
      <c r="C1827" s="6">
        <v>45068</v>
      </c>
      <c r="D1827" s="1" t="s">
        <v>7</v>
      </c>
      <c r="E1827" s="1">
        <v>39</v>
      </c>
      <c r="F1827" s="1" t="s">
        <v>6</v>
      </c>
      <c r="G1827" s="44">
        <f t="shared" si="56"/>
        <v>28</v>
      </c>
      <c r="H1827" s="10" t="str">
        <f t="shared" si="57"/>
        <v>Monday</v>
      </c>
    </row>
    <row r="1828" spans="1:8">
      <c r="A1828" s="9">
        <v>169235213</v>
      </c>
      <c r="B1828" s="6">
        <v>45040</v>
      </c>
      <c r="C1828" s="6">
        <v>45077</v>
      </c>
      <c r="D1828" s="1" t="s">
        <v>7</v>
      </c>
      <c r="E1828" s="1">
        <v>39</v>
      </c>
      <c r="F1828" s="1" t="s">
        <v>6</v>
      </c>
      <c r="G1828" s="44">
        <f t="shared" si="56"/>
        <v>37</v>
      </c>
      <c r="H1828" s="10" t="str">
        <f t="shared" si="57"/>
        <v>Monday</v>
      </c>
    </row>
    <row r="1829" spans="1:8">
      <c r="A1829" s="9">
        <v>213692152</v>
      </c>
      <c r="B1829" s="6">
        <v>45040</v>
      </c>
      <c r="C1829" s="6">
        <v>45071</v>
      </c>
      <c r="D1829" s="1" t="s">
        <v>7</v>
      </c>
      <c r="E1829" s="1">
        <v>39</v>
      </c>
      <c r="F1829" s="1" t="s">
        <v>6</v>
      </c>
      <c r="G1829" s="44">
        <f t="shared" si="56"/>
        <v>31</v>
      </c>
      <c r="H1829" s="10" t="str">
        <f t="shared" si="57"/>
        <v>Monday</v>
      </c>
    </row>
    <row r="1830" spans="1:8">
      <c r="A1830" s="9">
        <v>214352003</v>
      </c>
      <c r="B1830" s="6">
        <v>45040</v>
      </c>
      <c r="C1830" s="6">
        <v>45161</v>
      </c>
      <c r="D1830" s="1" t="s">
        <v>7</v>
      </c>
      <c r="E1830" s="1">
        <v>39</v>
      </c>
      <c r="F1830" s="1" t="s">
        <v>6</v>
      </c>
      <c r="G1830" s="44">
        <f t="shared" si="56"/>
        <v>121</v>
      </c>
      <c r="H1830" s="10" t="str">
        <f t="shared" si="57"/>
        <v>Monday</v>
      </c>
    </row>
    <row r="1831" spans="1:8">
      <c r="A1831" s="9">
        <v>139691790</v>
      </c>
      <c r="B1831" s="6">
        <v>45041</v>
      </c>
      <c r="C1831" s="6">
        <v>45102</v>
      </c>
      <c r="D1831" s="1" t="s">
        <v>7</v>
      </c>
      <c r="E1831" s="1">
        <v>39</v>
      </c>
      <c r="F1831" s="1" t="s">
        <v>6</v>
      </c>
      <c r="G1831" s="44">
        <f t="shared" si="56"/>
        <v>61</v>
      </c>
      <c r="H1831" s="10" t="str">
        <f t="shared" si="57"/>
        <v>Tuesday</v>
      </c>
    </row>
    <row r="1832" spans="1:8">
      <c r="A1832" s="9">
        <v>210646453</v>
      </c>
      <c r="B1832" s="6">
        <v>45041</v>
      </c>
      <c r="C1832" s="6">
        <v>45101</v>
      </c>
      <c r="D1832" s="1" t="s">
        <v>7</v>
      </c>
      <c r="E1832" s="1">
        <v>39</v>
      </c>
      <c r="F1832" s="1" t="s">
        <v>6</v>
      </c>
      <c r="G1832" s="44">
        <f t="shared" si="56"/>
        <v>60</v>
      </c>
      <c r="H1832" s="10" t="str">
        <f t="shared" si="57"/>
        <v>Tuesday</v>
      </c>
    </row>
    <row r="1833" spans="1:8">
      <c r="A1833" s="9">
        <v>206891005</v>
      </c>
      <c r="B1833" s="6">
        <v>45041</v>
      </c>
      <c r="C1833" s="6">
        <v>45063</v>
      </c>
      <c r="D1833" s="1" t="s">
        <v>7</v>
      </c>
      <c r="E1833" s="1">
        <v>39</v>
      </c>
      <c r="F1833" s="1" t="s">
        <v>6</v>
      </c>
      <c r="G1833" s="44">
        <f t="shared" si="56"/>
        <v>22</v>
      </c>
      <c r="H1833" s="10" t="str">
        <f t="shared" si="57"/>
        <v>Tuesday</v>
      </c>
    </row>
    <row r="1834" spans="1:8">
      <c r="A1834" s="9">
        <v>212293354</v>
      </c>
      <c r="B1834" s="6">
        <v>45041</v>
      </c>
      <c r="C1834" s="6">
        <v>45041</v>
      </c>
      <c r="D1834" s="1" t="s">
        <v>7</v>
      </c>
      <c r="E1834" s="1">
        <v>39</v>
      </c>
      <c r="F1834" s="1" t="s">
        <v>6</v>
      </c>
      <c r="G1834" s="44">
        <f t="shared" si="56"/>
        <v>0</v>
      </c>
      <c r="H1834" s="10" t="str">
        <f t="shared" si="57"/>
        <v>Tuesday</v>
      </c>
    </row>
    <row r="1835" spans="1:8">
      <c r="A1835" s="9">
        <v>214464069</v>
      </c>
      <c r="B1835" s="6">
        <v>45042</v>
      </c>
      <c r="C1835" s="1"/>
      <c r="D1835" s="1" t="s">
        <v>7</v>
      </c>
      <c r="E1835" s="1">
        <v>39</v>
      </c>
      <c r="F1835" s="1" t="s">
        <v>6</v>
      </c>
      <c r="G1835" s="44" t="str">
        <f t="shared" si="56"/>
        <v/>
      </c>
      <c r="H1835" s="10" t="str">
        <f t="shared" si="57"/>
        <v>Wednesday</v>
      </c>
    </row>
    <row r="1836" spans="1:8">
      <c r="A1836" s="9">
        <v>214446543</v>
      </c>
      <c r="B1836" s="6">
        <v>45042</v>
      </c>
      <c r="C1836" s="1"/>
      <c r="D1836" s="1" t="s">
        <v>7</v>
      </c>
      <c r="E1836" s="1">
        <v>39</v>
      </c>
      <c r="F1836" s="1" t="s">
        <v>6</v>
      </c>
      <c r="G1836" s="44" t="str">
        <f t="shared" si="56"/>
        <v/>
      </c>
      <c r="H1836" s="10" t="str">
        <f t="shared" si="57"/>
        <v>Wednesday</v>
      </c>
    </row>
    <row r="1837" spans="1:8">
      <c r="A1837" s="9">
        <v>212376935</v>
      </c>
      <c r="B1837" s="6">
        <v>45042</v>
      </c>
      <c r="C1837" s="6">
        <v>45089</v>
      </c>
      <c r="D1837" s="1" t="s">
        <v>7</v>
      </c>
      <c r="E1837" s="1">
        <v>39</v>
      </c>
      <c r="F1837" s="1" t="s">
        <v>6</v>
      </c>
      <c r="G1837" s="44">
        <f t="shared" si="56"/>
        <v>47</v>
      </c>
      <c r="H1837" s="10" t="str">
        <f t="shared" si="57"/>
        <v>Wednesday</v>
      </c>
    </row>
    <row r="1838" spans="1:8">
      <c r="A1838" s="9">
        <v>173118928</v>
      </c>
      <c r="B1838" s="6">
        <v>45042</v>
      </c>
      <c r="C1838" s="6">
        <v>45079</v>
      </c>
      <c r="D1838" s="1" t="s">
        <v>7</v>
      </c>
      <c r="E1838" s="1">
        <v>39</v>
      </c>
      <c r="F1838" s="1" t="s">
        <v>6</v>
      </c>
      <c r="G1838" s="44">
        <f t="shared" si="56"/>
        <v>37</v>
      </c>
      <c r="H1838" s="10" t="str">
        <f t="shared" si="57"/>
        <v>Wednesday</v>
      </c>
    </row>
    <row r="1839" spans="1:8">
      <c r="A1839" s="9">
        <v>214410106</v>
      </c>
      <c r="B1839" s="6">
        <v>45042</v>
      </c>
      <c r="C1839" s="6">
        <v>45063</v>
      </c>
      <c r="D1839" s="1" t="s">
        <v>7</v>
      </c>
      <c r="E1839" s="1">
        <v>39</v>
      </c>
      <c r="F1839" s="1" t="s">
        <v>6</v>
      </c>
      <c r="G1839" s="44">
        <f t="shared" si="56"/>
        <v>21</v>
      </c>
      <c r="H1839" s="10" t="str">
        <f t="shared" si="57"/>
        <v>Wednesday</v>
      </c>
    </row>
    <row r="1840" spans="1:8">
      <c r="A1840" s="9">
        <v>214093520</v>
      </c>
      <c r="B1840" s="6">
        <v>45042</v>
      </c>
      <c r="C1840" s="6">
        <v>45070</v>
      </c>
      <c r="D1840" s="1" t="s">
        <v>7</v>
      </c>
      <c r="E1840" s="1">
        <v>39</v>
      </c>
      <c r="F1840" s="1" t="s">
        <v>6</v>
      </c>
      <c r="G1840" s="44">
        <f t="shared" si="56"/>
        <v>28</v>
      </c>
      <c r="H1840" s="10" t="str">
        <f t="shared" si="57"/>
        <v>Wednesday</v>
      </c>
    </row>
    <row r="1841" spans="1:8">
      <c r="A1841" s="9">
        <v>214441521</v>
      </c>
      <c r="B1841" s="6">
        <v>45042</v>
      </c>
      <c r="C1841" s="6">
        <v>45070</v>
      </c>
      <c r="D1841" s="1" t="s">
        <v>7</v>
      </c>
      <c r="E1841" s="1">
        <v>39</v>
      </c>
      <c r="F1841" s="1" t="s">
        <v>6</v>
      </c>
      <c r="G1841" s="44">
        <f t="shared" si="56"/>
        <v>28</v>
      </c>
      <c r="H1841" s="10" t="str">
        <f t="shared" si="57"/>
        <v>Wednesday</v>
      </c>
    </row>
    <row r="1842" spans="1:8">
      <c r="A1842" s="9">
        <v>214519787</v>
      </c>
      <c r="B1842" s="6">
        <v>45043</v>
      </c>
      <c r="C1842" s="1"/>
      <c r="D1842" s="1" t="s">
        <v>7</v>
      </c>
      <c r="E1842" s="1">
        <v>39</v>
      </c>
      <c r="F1842" s="1" t="s">
        <v>6</v>
      </c>
      <c r="G1842" s="44" t="str">
        <f t="shared" si="56"/>
        <v/>
      </c>
      <c r="H1842" s="10" t="str">
        <f t="shared" si="57"/>
        <v>Thursday</v>
      </c>
    </row>
    <row r="1843" spans="1:8">
      <c r="A1843" s="9">
        <v>213177724</v>
      </c>
      <c r="B1843" s="6">
        <v>45043</v>
      </c>
      <c r="C1843" s="1"/>
      <c r="D1843" s="1" t="s">
        <v>7</v>
      </c>
      <c r="E1843" s="1">
        <v>39</v>
      </c>
      <c r="F1843" s="1" t="s">
        <v>6</v>
      </c>
      <c r="G1843" s="44" t="str">
        <f t="shared" si="56"/>
        <v/>
      </c>
      <c r="H1843" s="10" t="str">
        <f t="shared" si="57"/>
        <v>Thursday</v>
      </c>
    </row>
    <row r="1844" spans="1:8">
      <c r="A1844" s="9">
        <v>213421956</v>
      </c>
      <c r="B1844" s="6">
        <v>45043</v>
      </c>
      <c r="C1844" s="6">
        <v>45044</v>
      </c>
      <c r="D1844" s="1" t="s">
        <v>8</v>
      </c>
      <c r="E1844" s="1">
        <v>39</v>
      </c>
      <c r="F1844" s="1" t="s">
        <v>6</v>
      </c>
      <c r="G1844" s="44">
        <f t="shared" si="56"/>
        <v>1</v>
      </c>
      <c r="H1844" s="10" t="str">
        <f t="shared" si="57"/>
        <v>Thursday</v>
      </c>
    </row>
    <row r="1845" spans="1:8">
      <c r="A1845" s="9">
        <v>151094649</v>
      </c>
      <c r="B1845" s="6">
        <v>45043</v>
      </c>
      <c r="C1845" s="6">
        <v>45073</v>
      </c>
      <c r="D1845" s="1" t="s">
        <v>7</v>
      </c>
      <c r="E1845" s="1">
        <v>39</v>
      </c>
      <c r="F1845" s="1" t="s">
        <v>6</v>
      </c>
      <c r="G1845" s="44">
        <f t="shared" si="56"/>
        <v>30</v>
      </c>
      <c r="H1845" s="10" t="str">
        <f t="shared" si="57"/>
        <v>Thursday</v>
      </c>
    </row>
    <row r="1846" spans="1:8">
      <c r="A1846" s="9">
        <v>160056180</v>
      </c>
      <c r="B1846" s="6">
        <v>45043</v>
      </c>
      <c r="C1846" s="6">
        <v>45074</v>
      </c>
      <c r="D1846" s="1" t="s">
        <v>7</v>
      </c>
      <c r="E1846" s="1">
        <v>39</v>
      </c>
      <c r="F1846" s="1" t="s">
        <v>6</v>
      </c>
      <c r="G1846" s="44">
        <f t="shared" si="56"/>
        <v>31</v>
      </c>
      <c r="H1846" s="10" t="str">
        <f t="shared" si="57"/>
        <v>Thursday</v>
      </c>
    </row>
    <row r="1847" spans="1:8">
      <c r="A1847" s="9">
        <v>166480898</v>
      </c>
      <c r="B1847" s="6">
        <v>45043</v>
      </c>
      <c r="C1847" s="6">
        <v>45071</v>
      </c>
      <c r="D1847" s="1" t="s">
        <v>7</v>
      </c>
      <c r="E1847" s="1">
        <v>39</v>
      </c>
      <c r="F1847" s="1" t="s">
        <v>6</v>
      </c>
      <c r="G1847" s="44">
        <f t="shared" si="56"/>
        <v>28</v>
      </c>
      <c r="H1847" s="10" t="str">
        <f t="shared" si="57"/>
        <v>Thursday</v>
      </c>
    </row>
    <row r="1848" spans="1:8">
      <c r="A1848" s="9">
        <v>182085396</v>
      </c>
      <c r="B1848" s="6">
        <v>45043</v>
      </c>
      <c r="C1848" s="6">
        <v>45080</v>
      </c>
      <c r="D1848" s="1" t="s">
        <v>7</v>
      </c>
      <c r="E1848" s="1">
        <v>39</v>
      </c>
      <c r="F1848" s="1" t="s">
        <v>6</v>
      </c>
      <c r="G1848" s="44">
        <f t="shared" si="56"/>
        <v>37</v>
      </c>
      <c r="H1848" s="10" t="str">
        <f t="shared" si="57"/>
        <v>Thursday</v>
      </c>
    </row>
    <row r="1849" spans="1:8">
      <c r="A1849" s="9">
        <v>214519010</v>
      </c>
      <c r="B1849" s="6">
        <v>45043</v>
      </c>
      <c r="C1849" s="6">
        <v>45074</v>
      </c>
      <c r="D1849" s="1" t="s">
        <v>7</v>
      </c>
      <c r="E1849" s="1">
        <v>39</v>
      </c>
      <c r="F1849" s="1" t="s">
        <v>6</v>
      </c>
      <c r="G1849" s="44">
        <f t="shared" si="56"/>
        <v>31</v>
      </c>
      <c r="H1849" s="10" t="str">
        <f t="shared" si="57"/>
        <v>Thursday</v>
      </c>
    </row>
    <row r="1850" spans="1:8">
      <c r="A1850" s="9">
        <v>148657735</v>
      </c>
      <c r="B1850" s="6">
        <v>45043</v>
      </c>
      <c r="C1850" s="6">
        <v>45072</v>
      </c>
      <c r="D1850" s="1" t="s">
        <v>7</v>
      </c>
      <c r="E1850" s="1">
        <v>39</v>
      </c>
      <c r="F1850" s="1" t="s">
        <v>6</v>
      </c>
      <c r="G1850" s="44">
        <f t="shared" si="56"/>
        <v>29</v>
      </c>
      <c r="H1850" s="10" t="str">
        <f t="shared" si="57"/>
        <v>Thursday</v>
      </c>
    </row>
    <row r="1851" spans="1:8">
      <c r="A1851" s="9">
        <v>214555461</v>
      </c>
      <c r="B1851" s="6">
        <v>45044</v>
      </c>
      <c r="C1851" s="1"/>
      <c r="D1851" s="1" t="s">
        <v>7</v>
      </c>
      <c r="E1851" s="1">
        <v>39</v>
      </c>
      <c r="F1851" s="1" t="s">
        <v>6</v>
      </c>
      <c r="G1851" s="44" t="str">
        <f t="shared" si="56"/>
        <v/>
      </c>
      <c r="H1851" s="10" t="str">
        <f t="shared" si="57"/>
        <v>Friday</v>
      </c>
    </row>
    <row r="1852" spans="1:8">
      <c r="A1852" s="9">
        <v>148042512</v>
      </c>
      <c r="B1852" s="6">
        <v>45044</v>
      </c>
      <c r="C1852" s="1"/>
      <c r="D1852" s="1" t="s">
        <v>7</v>
      </c>
      <c r="E1852" s="1">
        <v>39</v>
      </c>
      <c r="F1852" s="1" t="s">
        <v>6</v>
      </c>
      <c r="G1852" s="44" t="str">
        <f t="shared" si="56"/>
        <v/>
      </c>
      <c r="H1852" s="10" t="str">
        <f t="shared" si="57"/>
        <v>Friday</v>
      </c>
    </row>
    <row r="1853" spans="1:8">
      <c r="A1853" s="9">
        <v>214534717</v>
      </c>
      <c r="B1853" s="6">
        <v>45044</v>
      </c>
      <c r="C1853" s="1"/>
      <c r="D1853" s="1" t="s">
        <v>7</v>
      </c>
      <c r="E1853" s="1">
        <v>39</v>
      </c>
      <c r="F1853" s="1" t="s">
        <v>6</v>
      </c>
      <c r="G1853" s="44" t="str">
        <f t="shared" si="56"/>
        <v/>
      </c>
      <c r="H1853" s="10" t="str">
        <f t="shared" si="57"/>
        <v>Friday</v>
      </c>
    </row>
    <row r="1854" spans="1:8">
      <c r="A1854" s="9">
        <v>211223610</v>
      </c>
      <c r="B1854" s="6">
        <v>45044</v>
      </c>
      <c r="C1854" s="6">
        <v>45112</v>
      </c>
      <c r="D1854" s="1" t="s">
        <v>7</v>
      </c>
      <c r="E1854" s="1">
        <v>39</v>
      </c>
      <c r="F1854" s="1" t="s">
        <v>6</v>
      </c>
      <c r="G1854" s="44">
        <f t="shared" si="56"/>
        <v>68</v>
      </c>
      <c r="H1854" s="10" t="str">
        <f t="shared" si="57"/>
        <v>Friday</v>
      </c>
    </row>
    <row r="1855" spans="1:8">
      <c r="A1855" s="9">
        <v>214444866</v>
      </c>
      <c r="B1855" s="6">
        <v>45044</v>
      </c>
      <c r="C1855" s="6">
        <v>45105</v>
      </c>
      <c r="D1855" s="1" t="s">
        <v>7</v>
      </c>
      <c r="E1855" s="1">
        <v>39</v>
      </c>
      <c r="F1855" s="1" t="s">
        <v>6</v>
      </c>
      <c r="G1855" s="44">
        <f t="shared" si="56"/>
        <v>61</v>
      </c>
      <c r="H1855" s="10" t="str">
        <f t="shared" si="57"/>
        <v>Friday</v>
      </c>
    </row>
    <row r="1856" spans="1:8">
      <c r="A1856" s="9">
        <v>206477826</v>
      </c>
      <c r="B1856" s="6">
        <v>45044</v>
      </c>
      <c r="C1856" s="6">
        <v>45081</v>
      </c>
      <c r="D1856" s="1" t="s">
        <v>7</v>
      </c>
      <c r="E1856" s="1">
        <v>39</v>
      </c>
      <c r="F1856" s="1" t="s">
        <v>6</v>
      </c>
      <c r="G1856" s="44">
        <f t="shared" si="56"/>
        <v>37</v>
      </c>
      <c r="H1856" s="10" t="str">
        <f t="shared" si="57"/>
        <v>Friday</v>
      </c>
    </row>
    <row r="1857" spans="1:8">
      <c r="A1857" s="9">
        <v>214589440</v>
      </c>
      <c r="B1857" s="6">
        <v>45044</v>
      </c>
      <c r="C1857" s="6">
        <v>45074</v>
      </c>
      <c r="D1857" s="1" t="s">
        <v>7</v>
      </c>
      <c r="E1857" s="1">
        <v>39</v>
      </c>
      <c r="F1857" s="1" t="s">
        <v>6</v>
      </c>
      <c r="G1857" s="44">
        <f t="shared" si="56"/>
        <v>30</v>
      </c>
      <c r="H1857" s="10" t="str">
        <f t="shared" si="57"/>
        <v>Friday</v>
      </c>
    </row>
    <row r="1858" spans="1:8">
      <c r="A1858" s="9">
        <v>214516527</v>
      </c>
      <c r="B1858" s="6">
        <v>45044</v>
      </c>
      <c r="C1858" s="6">
        <v>45075</v>
      </c>
      <c r="D1858" s="1" t="s">
        <v>7</v>
      </c>
      <c r="E1858" s="1">
        <v>39</v>
      </c>
      <c r="F1858" s="1" t="s">
        <v>6</v>
      </c>
      <c r="G1858" s="44">
        <f t="shared" si="56"/>
        <v>31</v>
      </c>
      <c r="H1858" s="10" t="str">
        <f t="shared" si="57"/>
        <v>Friday</v>
      </c>
    </row>
    <row r="1859" spans="1:8">
      <c r="A1859" s="9">
        <v>158980862</v>
      </c>
      <c r="B1859" s="6">
        <v>45044</v>
      </c>
      <c r="C1859" s="6">
        <v>45063</v>
      </c>
      <c r="D1859" s="1" t="s">
        <v>7</v>
      </c>
      <c r="E1859" s="1">
        <v>39</v>
      </c>
      <c r="F1859" s="1" t="s">
        <v>6</v>
      </c>
      <c r="G1859" s="44">
        <f t="shared" ref="G1859:G1922" si="58">IF(C1859="", "", DATEDIF(B1859, C1859, "D"))</f>
        <v>19</v>
      </c>
      <c r="H1859" s="10" t="str">
        <f t="shared" ref="H1859:H1922" si="59">TEXT(B1859, "dddd")</f>
        <v>Friday</v>
      </c>
    </row>
    <row r="1860" spans="1:8">
      <c r="A1860" s="9">
        <v>144769275</v>
      </c>
      <c r="B1860" s="6">
        <v>45044</v>
      </c>
      <c r="C1860" s="6">
        <v>45044</v>
      </c>
      <c r="D1860" s="1" t="s">
        <v>7</v>
      </c>
      <c r="E1860" s="1">
        <v>39</v>
      </c>
      <c r="F1860" s="1" t="s">
        <v>6</v>
      </c>
      <c r="G1860" s="44">
        <f t="shared" si="58"/>
        <v>0</v>
      </c>
      <c r="H1860" s="10" t="str">
        <f t="shared" si="59"/>
        <v>Friday</v>
      </c>
    </row>
    <row r="1861" spans="1:8">
      <c r="A1861" s="9">
        <v>214508205</v>
      </c>
      <c r="B1861" s="6">
        <v>45044</v>
      </c>
      <c r="C1861" s="6">
        <v>45111</v>
      </c>
      <c r="D1861" s="1" t="s">
        <v>7</v>
      </c>
      <c r="E1861" s="1">
        <v>39</v>
      </c>
      <c r="F1861" s="1" t="s">
        <v>6</v>
      </c>
      <c r="G1861" s="44">
        <f t="shared" si="58"/>
        <v>67</v>
      </c>
      <c r="H1861" s="10" t="str">
        <f t="shared" si="59"/>
        <v>Friday</v>
      </c>
    </row>
    <row r="1862" spans="1:8">
      <c r="A1862" s="9">
        <v>156178486</v>
      </c>
      <c r="B1862" s="6">
        <v>45045</v>
      </c>
      <c r="C1862" s="1"/>
      <c r="D1862" s="1" t="s">
        <v>7</v>
      </c>
      <c r="E1862" s="1">
        <v>39</v>
      </c>
      <c r="F1862" s="1" t="s">
        <v>6</v>
      </c>
      <c r="G1862" s="44" t="str">
        <f t="shared" si="58"/>
        <v/>
      </c>
      <c r="H1862" s="10" t="str">
        <f t="shared" si="59"/>
        <v>Saturday</v>
      </c>
    </row>
    <row r="1863" spans="1:8">
      <c r="A1863" s="9">
        <v>214584458</v>
      </c>
      <c r="B1863" s="6">
        <v>45045</v>
      </c>
      <c r="C1863" s="6">
        <v>45127</v>
      </c>
      <c r="D1863" s="1" t="s">
        <v>7</v>
      </c>
      <c r="E1863" s="1">
        <v>39</v>
      </c>
      <c r="F1863" s="1" t="s">
        <v>6</v>
      </c>
      <c r="G1863" s="44">
        <f t="shared" si="58"/>
        <v>82</v>
      </c>
      <c r="H1863" s="10" t="str">
        <f t="shared" si="59"/>
        <v>Saturday</v>
      </c>
    </row>
    <row r="1864" spans="1:8">
      <c r="A1864" s="9">
        <v>181935574</v>
      </c>
      <c r="B1864" s="6">
        <v>45046</v>
      </c>
      <c r="C1864" s="1"/>
      <c r="D1864" s="1" t="s">
        <v>7</v>
      </c>
      <c r="E1864" s="1">
        <v>39</v>
      </c>
      <c r="F1864" s="1" t="s">
        <v>6</v>
      </c>
      <c r="G1864" s="44" t="str">
        <f t="shared" si="58"/>
        <v/>
      </c>
      <c r="H1864" s="10" t="str">
        <f t="shared" si="59"/>
        <v>Sunday</v>
      </c>
    </row>
    <row r="1865" spans="1:8">
      <c r="A1865" s="9">
        <v>153006404</v>
      </c>
      <c r="B1865" s="6">
        <v>45046</v>
      </c>
      <c r="C1865" s="6">
        <v>45066</v>
      </c>
      <c r="D1865" s="1" t="s">
        <v>7</v>
      </c>
      <c r="E1865" s="1">
        <v>39</v>
      </c>
      <c r="F1865" s="1" t="s">
        <v>6</v>
      </c>
      <c r="G1865" s="44">
        <f t="shared" si="58"/>
        <v>20</v>
      </c>
      <c r="H1865" s="10" t="str">
        <f t="shared" si="59"/>
        <v>Sunday</v>
      </c>
    </row>
    <row r="1866" spans="1:8">
      <c r="A1866" s="9">
        <v>214423891</v>
      </c>
      <c r="B1866" s="6">
        <v>45046</v>
      </c>
      <c r="C1866" s="6">
        <v>45079</v>
      </c>
      <c r="D1866" s="1" t="s">
        <v>7</v>
      </c>
      <c r="E1866" s="1">
        <v>39</v>
      </c>
      <c r="F1866" s="1" t="s">
        <v>6</v>
      </c>
      <c r="G1866" s="44">
        <f t="shared" si="58"/>
        <v>33</v>
      </c>
      <c r="H1866" s="10" t="str">
        <f t="shared" si="59"/>
        <v>Sunday</v>
      </c>
    </row>
    <row r="1867" spans="1:8">
      <c r="A1867" s="9">
        <v>214510838</v>
      </c>
      <c r="B1867" s="6">
        <v>45046</v>
      </c>
      <c r="C1867" s="6">
        <v>45083</v>
      </c>
      <c r="D1867" s="1" t="s">
        <v>7</v>
      </c>
      <c r="E1867" s="1">
        <v>39</v>
      </c>
      <c r="F1867" s="1" t="s">
        <v>6</v>
      </c>
      <c r="G1867" s="44">
        <f t="shared" si="58"/>
        <v>37</v>
      </c>
      <c r="H1867" s="10" t="str">
        <f t="shared" si="59"/>
        <v>Sunday</v>
      </c>
    </row>
    <row r="1868" spans="1:8">
      <c r="A1868" s="9">
        <v>211383216</v>
      </c>
      <c r="B1868" s="6">
        <v>45046</v>
      </c>
      <c r="C1868" s="6">
        <v>45048</v>
      </c>
      <c r="D1868" s="1" t="s">
        <v>7</v>
      </c>
      <c r="E1868" s="1">
        <v>39</v>
      </c>
      <c r="F1868" s="1" t="s">
        <v>6</v>
      </c>
      <c r="G1868" s="44">
        <f t="shared" si="58"/>
        <v>2</v>
      </c>
      <c r="H1868" s="10" t="str">
        <f t="shared" si="59"/>
        <v>Sunday</v>
      </c>
    </row>
    <row r="1869" spans="1:8">
      <c r="A1869" s="9">
        <v>214641741</v>
      </c>
      <c r="B1869" s="6">
        <v>45046</v>
      </c>
      <c r="C1869" s="6">
        <v>45047</v>
      </c>
      <c r="D1869" s="1" t="s">
        <v>7</v>
      </c>
      <c r="E1869" s="1">
        <v>39</v>
      </c>
      <c r="F1869" s="1" t="s">
        <v>6</v>
      </c>
      <c r="G1869" s="44">
        <f t="shared" si="58"/>
        <v>1</v>
      </c>
      <c r="H1869" s="10" t="str">
        <f t="shared" si="59"/>
        <v>Sunday</v>
      </c>
    </row>
    <row r="1870" spans="1:8">
      <c r="A1870" s="9">
        <v>214643362</v>
      </c>
      <c r="B1870" s="6">
        <v>45046</v>
      </c>
      <c r="C1870" s="6">
        <v>45107</v>
      </c>
      <c r="D1870" s="1" t="s">
        <v>7</v>
      </c>
      <c r="E1870" s="1">
        <v>39</v>
      </c>
      <c r="F1870" s="1" t="s">
        <v>6</v>
      </c>
      <c r="G1870" s="44">
        <f t="shared" si="58"/>
        <v>61</v>
      </c>
      <c r="H1870" s="10" t="str">
        <f t="shared" si="59"/>
        <v>Sunday</v>
      </c>
    </row>
    <row r="1871" spans="1:8">
      <c r="A1871" s="9">
        <v>214419772</v>
      </c>
      <c r="B1871" s="6">
        <v>45047</v>
      </c>
      <c r="C1871" s="1"/>
      <c r="D1871" s="1" t="s">
        <v>7</v>
      </c>
      <c r="E1871" s="1">
        <v>39</v>
      </c>
      <c r="F1871" s="1" t="s">
        <v>6</v>
      </c>
      <c r="G1871" s="44" t="str">
        <f t="shared" si="58"/>
        <v/>
      </c>
      <c r="H1871" s="10" t="str">
        <f t="shared" si="59"/>
        <v>Monday</v>
      </c>
    </row>
    <row r="1872" spans="1:8">
      <c r="A1872" s="9">
        <v>213227787</v>
      </c>
      <c r="B1872" s="6">
        <v>45047</v>
      </c>
      <c r="C1872" s="1"/>
      <c r="D1872" s="1" t="s">
        <v>7</v>
      </c>
      <c r="E1872" s="1">
        <v>39</v>
      </c>
      <c r="F1872" s="1" t="s">
        <v>6</v>
      </c>
      <c r="G1872" s="44" t="str">
        <f t="shared" si="58"/>
        <v/>
      </c>
      <c r="H1872" s="10" t="str">
        <f t="shared" si="59"/>
        <v>Monday</v>
      </c>
    </row>
    <row r="1873" spans="1:8">
      <c r="A1873" s="9">
        <v>214666572</v>
      </c>
      <c r="B1873" s="6">
        <v>45047</v>
      </c>
      <c r="C1873" s="1"/>
      <c r="D1873" s="1" t="s">
        <v>7</v>
      </c>
      <c r="E1873" s="1">
        <v>39</v>
      </c>
      <c r="F1873" s="1" t="s">
        <v>6</v>
      </c>
      <c r="G1873" s="44" t="str">
        <f t="shared" si="58"/>
        <v/>
      </c>
      <c r="H1873" s="10" t="str">
        <f t="shared" si="59"/>
        <v>Monday</v>
      </c>
    </row>
    <row r="1874" spans="1:8">
      <c r="A1874" s="9">
        <v>126780716</v>
      </c>
      <c r="B1874" s="6">
        <v>45047</v>
      </c>
      <c r="C1874" s="6">
        <v>45078</v>
      </c>
      <c r="D1874" s="1" t="s">
        <v>7</v>
      </c>
      <c r="E1874" s="1">
        <v>39</v>
      </c>
      <c r="F1874" s="1" t="s">
        <v>6</v>
      </c>
      <c r="G1874" s="44">
        <f t="shared" si="58"/>
        <v>31</v>
      </c>
      <c r="H1874" s="10" t="str">
        <f t="shared" si="59"/>
        <v>Monday</v>
      </c>
    </row>
    <row r="1875" spans="1:8">
      <c r="A1875" s="9">
        <v>214682826</v>
      </c>
      <c r="B1875" s="6">
        <v>45047</v>
      </c>
      <c r="C1875" s="6">
        <v>45078</v>
      </c>
      <c r="D1875" s="1" t="s">
        <v>7</v>
      </c>
      <c r="E1875" s="1">
        <v>39</v>
      </c>
      <c r="F1875" s="1" t="s">
        <v>6</v>
      </c>
      <c r="G1875" s="44">
        <f t="shared" si="58"/>
        <v>31</v>
      </c>
      <c r="H1875" s="10" t="str">
        <f t="shared" si="59"/>
        <v>Monday</v>
      </c>
    </row>
    <row r="1876" spans="1:8">
      <c r="A1876" s="9">
        <v>212392663</v>
      </c>
      <c r="B1876" s="6">
        <v>45047</v>
      </c>
      <c r="C1876" s="6">
        <v>45070</v>
      </c>
      <c r="D1876" s="1" t="s">
        <v>7</v>
      </c>
      <c r="E1876" s="1">
        <v>39</v>
      </c>
      <c r="F1876" s="1" t="s">
        <v>6</v>
      </c>
      <c r="G1876" s="44">
        <f t="shared" si="58"/>
        <v>23</v>
      </c>
      <c r="H1876" s="10" t="str">
        <f t="shared" si="59"/>
        <v>Monday</v>
      </c>
    </row>
    <row r="1877" spans="1:8">
      <c r="A1877" s="9">
        <v>147118133</v>
      </c>
      <c r="B1877" s="6">
        <v>45047</v>
      </c>
      <c r="C1877" s="6">
        <v>45146</v>
      </c>
      <c r="D1877" s="1" t="s">
        <v>7</v>
      </c>
      <c r="E1877" s="1">
        <v>39</v>
      </c>
      <c r="F1877" s="1" t="s">
        <v>6</v>
      </c>
      <c r="G1877" s="44">
        <f t="shared" si="58"/>
        <v>99</v>
      </c>
      <c r="H1877" s="10" t="str">
        <f t="shared" si="59"/>
        <v>Monday</v>
      </c>
    </row>
    <row r="1878" spans="1:8">
      <c r="A1878" s="9">
        <v>157031617</v>
      </c>
      <c r="B1878" s="6">
        <v>45048</v>
      </c>
      <c r="C1878" s="1"/>
      <c r="D1878" s="1" t="s">
        <v>7</v>
      </c>
      <c r="E1878" s="1">
        <v>39</v>
      </c>
      <c r="F1878" s="1" t="s">
        <v>6</v>
      </c>
      <c r="G1878" s="44" t="str">
        <f t="shared" si="58"/>
        <v/>
      </c>
      <c r="H1878" s="10" t="str">
        <f t="shared" si="59"/>
        <v>Tuesday</v>
      </c>
    </row>
    <row r="1879" spans="1:8">
      <c r="A1879" s="9">
        <v>211958379</v>
      </c>
      <c r="B1879" s="6">
        <v>45048</v>
      </c>
      <c r="C1879" s="1"/>
      <c r="D1879" s="1" t="s">
        <v>7</v>
      </c>
      <c r="E1879" s="1">
        <v>39</v>
      </c>
      <c r="F1879" s="1" t="s">
        <v>6</v>
      </c>
      <c r="G1879" s="44" t="str">
        <f t="shared" si="58"/>
        <v/>
      </c>
      <c r="H1879" s="10" t="str">
        <f t="shared" si="59"/>
        <v>Tuesday</v>
      </c>
    </row>
    <row r="1880" spans="1:8">
      <c r="A1880" s="9">
        <v>152310842</v>
      </c>
      <c r="B1880" s="6">
        <v>45048</v>
      </c>
      <c r="C1880" s="1"/>
      <c r="D1880" s="1" t="s">
        <v>7</v>
      </c>
      <c r="E1880" s="1">
        <v>39</v>
      </c>
      <c r="F1880" s="1" t="s">
        <v>6</v>
      </c>
      <c r="G1880" s="44" t="str">
        <f t="shared" si="58"/>
        <v/>
      </c>
      <c r="H1880" s="10" t="str">
        <f t="shared" si="59"/>
        <v>Tuesday</v>
      </c>
    </row>
    <row r="1881" spans="1:8">
      <c r="A1881" s="9">
        <v>214711907</v>
      </c>
      <c r="B1881" s="6">
        <v>45048</v>
      </c>
      <c r="C1881" s="1"/>
      <c r="D1881" s="1" t="s">
        <v>7</v>
      </c>
      <c r="E1881" s="1">
        <v>39</v>
      </c>
      <c r="F1881" s="1" t="s">
        <v>6</v>
      </c>
      <c r="G1881" s="44" t="str">
        <f t="shared" si="58"/>
        <v/>
      </c>
      <c r="H1881" s="10" t="str">
        <f t="shared" si="59"/>
        <v>Tuesday</v>
      </c>
    </row>
    <row r="1882" spans="1:8">
      <c r="A1882" s="9">
        <v>150342446</v>
      </c>
      <c r="B1882" s="6">
        <v>45048</v>
      </c>
      <c r="C1882" s="6">
        <v>45049</v>
      </c>
      <c r="D1882" s="1" t="s">
        <v>7</v>
      </c>
      <c r="E1882" s="1">
        <v>39</v>
      </c>
      <c r="F1882" s="1" t="s">
        <v>6</v>
      </c>
      <c r="G1882" s="44">
        <f t="shared" si="58"/>
        <v>1</v>
      </c>
      <c r="H1882" s="10" t="str">
        <f t="shared" si="59"/>
        <v>Tuesday</v>
      </c>
    </row>
    <row r="1883" spans="1:8">
      <c r="A1883" s="9">
        <v>214741130</v>
      </c>
      <c r="B1883" s="6">
        <v>45048</v>
      </c>
      <c r="C1883" s="6">
        <v>45116</v>
      </c>
      <c r="D1883" s="1" t="s">
        <v>7</v>
      </c>
      <c r="E1883" s="1">
        <v>39</v>
      </c>
      <c r="F1883" s="1" t="s">
        <v>6</v>
      </c>
      <c r="G1883" s="44">
        <f t="shared" si="58"/>
        <v>68</v>
      </c>
      <c r="H1883" s="10" t="str">
        <f t="shared" si="59"/>
        <v>Tuesday</v>
      </c>
    </row>
    <row r="1884" spans="1:8">
      <c r="A1884" s="9">
        <v>214734037</v>
      </c>
      <c r="B1884" s="6">
        <v>45048</v>
      </c>
      <c r="C1884" s="6">
        <v>45096</v>
      </c>
      <c r="D1884" s="1" t="s">
        <v>7</v>
      </c>
      <c r="E1884" s="1">
        <v>39</v>
      </c>
      <c r="F1884" s="1" t="s">
        <v>6</v>
      </c>
      <c r="G1884" s="44">
        <f t="shared" si="58"/>
        <v>48</v>
      </c>
      <c r="H1884" s="10" t="str">
        <f t="shared" si="59"/>
        <v>Tuesday</v>
      </c>
    </row>
    <row r="1885" spans="1:8">
      <c r="A1885" s="9">
        <v>214500293</v>
      </c>
      <c r="B1885" s="6">
        <v>45048</v>
      </c>
      <c r="C1885" s="6">
        <v>45083</v>
      </c>
      <c r="D1885" s="1" t="s">
        <v>7</v>
      </c>
      <c r="E1885" s="1">
        <v>39</v>
      </c>
      <c r="F1885" s="1" t="s">
        <v>6</v>
      </c>
      <c r="G1885" s="44">
        <f t="shared" si="58"/>
        <v>35</v>
      </c>
      <c r="H1885" s="10" t="str">
        <f t="shared" si="59"/>
        <v>Tuesday</v>
      </c>
    </row>
    <row r="1886" spans="1:8">
      <c r="A1886" s="9">
        <v>214587827</v>
      </c>
      <c r="B1886" s="6">
        <v>45048</v>
      </c>
      <c r="C1886" s="6">
        <v>45139</v>
      </c>
      <c r="D1886" s="1" t="s">
        <v>7</v>
      </c>
      <c r="E1886" s="1">
        <v>39</v>
      </c>
      <c r="F1886" s="1" t="s">
        <v>6</v>
      </c>
      <c r="G1886" s="44">
        <f t="shared" si="58"/>
        <v>91</v>
      </c>
      <c r="H1886" s="10" t="str">
        <f t="shared" si="59"/>
        <v>Tuesday</v>
      </c>
    </row>
    <row r="1887" spans="1:8">
      <c r="A1887" s="9">
        <v>214739055</v>
      </c>
      <c r="B1887" s="6">
        <v>45048</v>
      </c>
      <c r="C1887" s="6">
        <v>45147</v>
      </c>
      <c r="D1887" s="1" t="s">
        <v>7</v>
      </c>
      <c r="E1887" s="1">
        <v>39</v>
      </c>
      <c r="F1887" s="1" t="s">
        <v>6</v>
      </c>
      <c r="G1887" s="44">
        <f t="shared" si="58"/>
        <v>99</v>
      </c>
      <c r="H1887" s="10" t="str">
        <f t="shared" si="59"/>
        <v>Tuesday</v>
      </c>
    </row>
    <row r="1888" spans="1:8">
      <c r="A1888" s="9">
        <v>163103693</v>
      </c>
      <c r="B1888" s="6">
        <v>45048</v>
      </c>
      <c r="C1888" s="6">
        <v>45160</v>
      </c>
      <c r="D1888" s="1" t="s">
        <v>7</v>
      </c>
      <c r="E1888" s="1">
        <v>39</v>
      </c>
      <c r="F1888" s="1" t="s">
        <v>6</v>
      </c>
      <c r="G1888" s="44">
        <f t="shared" si="58"/>
        <v>112</v>
      </c>
      <c r="H1888" s="10" t="str">
        <f t="shared" si="59"/>
        <v>Tuesday</v>
      </c>
    </row>
    <row r="1889" spans="1:8">
      <c r="A1889" s="9">
        <v>214483378</v>
      </c>
      <c r="B1889" s="6">
        <v>45049</v>
      </c>
      <c r="C1889" s="1"/>
      <c r="D1889" s="1" t="s">
        <v>7</v>
      </c>
      <c r="E1889" s="1">
        <v>39</v>
      </c>
      <c r="F1889" s="1" t="s">
        <v>6</v>
      </c>
      <c r="G1889" s="44" t="str">
        <f t="shared" si="58"/>
        <v/>
      </c>
      <c r="H1889" s="10" t="str">
        <f t="shared" si="59"/>
        <v>Wednesday</v>
      </c>
    </row>
    <row r="1890" spans="1:8">
      <c r="A1890" s="9">
        <v>157883110</v>
      </c>
      <c r="B1890" s="6">
        <v>45049</v>
      </c>
      <c r="C1890" s="1"/>
      <c r="D1890" s="1" t="s">
        <v>7</v>
      </c>
      <c r="E1890" s="1">
        <v>39</v>
      </c>
      <c r="F1890" s="1" t="s">
        <v>6</v>
      </c>
      <c r="G1890" s="44" t="str">
        <f t="shared" si="58"/>
        <v/>
      </c>
      <c r="H1890" s="10" t="str">
        <f t="shared" si="59"/>
        <v>Wednesday</v>
      </c>
    </row>
    <row r="1891" spans="1:8">
      <c r="A1891" s="9">
        <v>132424181</v>
      </c>
      <c r="B1891" s="6">
        <v>45049</v>
      </c>
      <c r="C1891" s="6">
        <v>45122</v>
      </c>
      <c r="D1891" s="1" t="s">
        <v>7</v>
      </c>
      <c r="E1891" s="1">
        <v>39</v>
      </c>
      <c r="F1891" s="1" t="s">
        <v>6</v>
      </c>
      <c r="G1891" s="44">
        <f t="shared" si="58"/>
        <v>73</v>
      </c>
      <c r="H1891" s="10" t="str">
        <f t="shared" si="59"/>
        <v>Wednesday</v>
      </c>
    </row>
    <row r="1892" spans="1:8">
      <c r="A1892" s="9">
        <v>214805206</v>
      </c>
      <c r="B1892" s="6">
        <v>45049</v>
      </c>
      <c r="C1892" s="6">
        <v>45097</v>
      </c>
      <c r="D1892" s="1" t="s">
        <v>7</v>
      </c>
      <c r="E1892" s="1">
        <v>39</v>
      </c>
      <c r="F1892" s="1" t="s">
        <v>6</v>
      </c>
      <c r="G1892" s="44">
        <f t="shared" si="58"/>
        <v>48</v>
      </c>
      <c r="H1892" s="10" t="str">
        <f t="shared" si="59"/>
        <v>Wednesday</v>
      </c>
    </row>
    <row r="1893" spans="1:8">
      <c r="A1893" s="9">
        <v>214641940</v>
      </c>
      <c r="B1893" s="6">
        <v>45049</v>
      </c>
      <c r="C1893" s="6">
        <v>45087</v>
      </c>
      <c r="D1893" s="1" t="s">
        <v>7</v>
      </c>
      <c r="E1893" s="1">
        <v>39</v>
      </c>
      <c r="F1893" s="1" t="s">
        <v>6</v>
      </c>
      <c r="G1893" s="44">
        <f t="shared" si="58"/>
        <v>38</v>
      </c>
      <c r="H1893" s="10" t="str">
        <f t="shared" si="59"/>
        <v>Wednesday</v>
      </c>
    </row>
    <row r="1894" spans="1:8">
      <c r="A1894" s="9">
        <v>206112289</v>
      </c>
      <c r="B1894" s="6">
        <v>45049</v>
      </c>
      <c r="C1894" s="6">
        <v>45089</v>
      </c>
      <c r="D1894" s="1" t="s">
        <v>7</v>
      </c>
      <c r="E1894" s="1">
        <v>39</v>
      </c>
      <c r="F1894" s="1" t="s">
        <v>6</v>
      </c>
      <c r="G1894" s="44">
        <f t="shared" si="58"/>
        <v>40</v>
      </c>
      <c r="H1894" s="10" t="str">
        <f t="shared" si="59"/>
        <v>Wednesday</v>
      </c>
    </row>
    <row r="1895" spans="1:8">
      <c r="A1895" s="9">
        <v>214781323</v>
      </c>
      <c r="B1895" s="6">
        <v>45049</v>
      </c>
      <c r="C1895" s="6">
        <v>45070</v>
      </c>
      <c r="D1895" s="1" t="s">
        <v>7</v>
      </c>
      <c r="E1895" s="1">
        <v>39</v>
      </c>
      <c r="F1895" s="1" t="s">
        <v>6</v>
      </c>
      <c r="G1895" s="44">
        <f t="shared" si="58"/>
        <v>21</v>
      </c>
      <c r="H1895" s="10" t="str">
        <f t="shared" si="59"/>
        <v>Wednesday</v>
      </c>
    </row>
    <row r="1896" spans="1:8">
      <c r="A1896" s="9">
        <v>214767936</v>
      </c>
      <c r="B1896" s="6">
        <v>45049</v>
      </c>
      <c r="C1896" s="6">
        <v>45049</v>
      </c>
      <c r="D1896" s="1" t="s">
        <v>7</v>
      </c>
      <c r="E1896" s="1">
        <v>39</v>
      </c>
      <c r="F1896" s="1" t="s">
        <v>6</v>
      </c>
      <c r="G1896" s="44">
        <f t="shared" si="58"/>
        <v>0</v>
      </c>
      <c r="H1896" s="10" t="str">
        <f t="shared" si="59"/>
        <v>Wednesday</v>
      </c>
    </row>
    <row r="1897" spans="1:8">
      <c r="A1897" s="9">
        <v>182023209</v>
      </c>
      <c r="B1897" s="6">
        <v>45049</v>
      </c>
      <c r="C1897" s="6">
        <v>45060</v>
      </c>
      <c r="D1897" s="1" t="s">
        <v>7</v>
      </c>
      <c r="E1897" s="1">
        <v>39</v>
      </c>
      <c r="F1897" s="1" t="s">
        <v>6</v>
      </c>
      <c r="G1897" s="44">
        <f t="shared" si="58"/>
        <v>11</v>
      </c>
      <c r="H1897" s="10" t="str">
        <f t="shared" si="59"/>
        <v>Wednesday</v>
      </c>
    </row>
    <row r="1898" spans="1:8">
      <c r="A1898" s="9">
        <v>148513036</v>
      </c>
      <c r="B1898" s="6">
        <v>45050</v>
      </c>
      <c r="C1898" s="1"/>
      <c r="D1898" s="1" t="s">
        <v>7</v>
      </c>
      <c r="E1898" s="1">
        <v>39</v>
      </c>
      <c r="F1898" s="1" t="s">
        <v>6</v>
      </c>
      <c r="G1898" s="44" t="str">
        <f t="shared" si="58"/>
        <v/>
      </c>
      <c r="H1898" s="10" t="str">
        <f t="shared" si="59"/>
        <v>Thursday</v>
      </c>
    </row>
    <row r="1899" spans="1:8">
      <c r="A1899" s="9">
        <v>157910445</v>
      </c>
      <c r="B1899" s="6">
        <v>45050</v>
      </c>
      <c r="C1899" s="1"/>
      <c r="D1899" s="1" t="s">
        <v>7</v>
      </c>
      <c r="E1899" s="1">
        <v>39</v>
      </c>
      <c r="F1899" s="1" t="s">
        <v>6</v>
      </c>
      <c r="G1899" s="44" t="str">
        <f t="shared" si="58"/>
        <v/>
      </c>
      <c r="H1899" s="10" t="str">
        <f t="shared" si="59"/>
        <v>Thursday</v>
      </c>
    </row>
    <row r="1900" spans="1:8">
      <c r="A1900" s="9">
        <v>213810773</v>
      </c>
      <c r="B1900" s="6">
        <v>45050</v>
      </c>
      <c r="C1900" s="6">
        <v>45174</v>
      </c>
      <c r="D1900" s="1" t="s">
        <v>7</v>
      </c>
      <c r="E1900" s="1">
        <v>39</v>
      </c>
      <c r="F1900" s="1" t="s">
        <v>6</v>
      </c>
      <c r="G1900" s="44">
        <f t="shared" si="58"/>
        <v>124</v>
      </c>
      <c r="H1900" s="10" t="str">
        <f t="shared" si="59"/>
        <v>Thursday</v>
      </c>
    </row>
    <row r="1901" spans="1:8">
      <c r="A1901" s="9">
        <v>154820233</v>
      </c>
      <c r="B1901" s="6">
        <v>45050</v>
      </c>
      <c r="C1901" s="6">
        <v>45112</v>
      </c>
      <c r="D1901" s="1" t="s">
        <v>7</v>
      </c>
      <c r="E1901" s="1">
        <v>39</v>
      </c>
      <c r="F1901" s="1" t="s">
        <v>6</v>
      </c>
      <c r="G1901" s="44">
        <f t="shared" si="58"/>
        <v>62</v>
      </c>
      <c r="H1901" s="10" t="str">
        <f t="shared" si="59"/>
        <v>Thursday</v>
      </c>
    </row>
    <row r="1902" spans="1:8">
      <c r="A1902" s="9">
        <v>214248197</v>
      </c>
      <c r="B1902" s="6">
        <v>45050</v>
      </c>
      <c r="C1902" s="6">
        <v>45079</v>
      </c>
      <c r="D1902" s="1" t="s">
        <v>7</v>
      </c>
      <c r="E1902" s="1">
        <v>39</v>
      </c>
      <c r="F1902" s="1" t="s">
        <v>6</v>
      </c>
      <c r="G1902" s="44">
        <f t="shared" si="58"/>
        <v>29</v>
      </c>
      <c r="H1902" s="10" t="str">
        <f t="shared" si="59"/>
        <v>Thursday</v>
      </c>
    </row>
    <row r="1903" spans="1:8">
      <c r="A1903" s="9">
        <v>214818730</v>
      </c>
      <c r="B1903" s="6">
        <v>45050</v>
      </c>
      <c r="C1903" s="6">
        <v>45078</v>
      </c>
      <c r="D1903" s="1" t="s">
        <v>7</v>
      </c>
      <c r="E1903" s="1">
        <v>39</v>
      </c>
      <c r="F1903" s="1" t="s">
        <v>6</v>
      </c>
      <c r="G1903" s="44">
        <f t="shared" si="58"/>
        <v>28</v>
      </c>
      <c r="H1903" s="10" t="str">
        <f t="shared" si="59"/>
        <v>Thursday</v>
      </c>
    </row>
    <row r="1904" spans="1:8">
      <c r="A1904" s="9">
        <v>186667733</v>
      </c>
      <c r="B1904" s="6">
        <v>45050</v>
      </c>
      <c r="C1904" s="6">
        <v>45078</v>
      </c>
      <c r="D1904" s="1" t="s">
        <v>7</v>
      </c>
      <c r="E1904" s="1">
        <v>39</v>
      </c>
      <c r="F1904" s="1" t="s">
        <v>6</v>
      </c>
      <c r="G1904" s="44">
        <f t="shared" si="58"/>
        <v>28</v>
      </c>
      <c r="H1904" s="10" t="str">
        <f t="shared" si="59"/>
        <v>Thursday</v>
      </c>
    </row>
    <row r="1905" spans="1:8">
      <c r="A1905" s="9">
        <v>214901781</v>
      </c>
      <c r="B1905" s="6">
        <v>45051</v>
      </c>
      <c r="C1905" s="1"/>
      <c r="D1905" s="1" t="s">
        <v>7</v>
      </c>
      <c r="E1905" s="1">
        <v>39</v>
      </c>
      <c r="F1905" s="1" t="s">
        <v>6</v>
      </c>
      <c r="G1905" s="44" t="str">
        <f t="shared" si="58"/>
        <v/>
      </c>
      <c r="H1905" s="10" t="str">
        <f t="shared" si="59"/>
        <v>Friday</v>
      </c>
    </row>
    <row r="1906" spans="1:8">
      <c r="A1906" s="9">
        <v>214884589</v>
      </c>
      <c r="B1906" s="6">
        <v>45051</v>
      </c>
      <c r="C1906" s="1"/>
      <c r="D1906" s="1" t="s">
        <v>7</v>
      </c>
      <c r="E1906" s="1">
        <v>39</v>
      </c>
      <c r="F1906" s="1" t="s">
        <v>6</v>
      </c>
      <c r="G1906" s="44" t="str">
        <f t="shared" si="58"/>
        <v/>
      </c>
      <c r="H1906" s="10" t="str">
        <f t="shared" si="59"/>
        <v>Friday</v>
      </c>
    </row>
    <row r="1907" spans="1:8">
      <c r="A1907" s="9">
        <v>210344586</v>
      </c>
      <c r="B1907" s="6">
        <v>45051</v>
      </c>
      <c r="C1907" s="1"/>
      <c r="D1907" s="1" t="s">
        <v>7</v>
      </c>
      <c r="E1907" s="1">
        <v>39</v>
      </c>
      <c r="F1907" s="1" t="s">
        <v>6</v>
      </c>
      <c r="G1907" s="44" t="str">
        <f t="shared" si="58"/>
        <v/>
      </c>
      <c r="H1907" s="10" t="str">
        <f t="shared" si="59"/>
        <v>Friday</v>
      </c>
    </row>
    <row r="1908" spans="1:8">
      <c r="A1908" s="9">
        <v>214813191</v>
      </c>
      <c r="B1908" s="6">
        <v>45051</v>
      </c>
      <c r="C1908" s="1"/>
      <c r="D1908" s="1" t="s">
        <v>7</v>
      </c>
      <c r="E1908" s="1">
        <v>39</v>
      </c>
      <c r="F1908" s="1" t="s">
        <v>6</v>
      </c>
      <c r="G1908" s="44" t="str">
        <f t="shared" si="58"/>
        <v/>
      </c>
      <c r="H1908" s="10" t="str">
        <f t="shared" si="59"/>
        <v>Friday</v>
      </c>
    </row>
    <row r="1909" spans="1:8">
      <c r="A1909" s="9">
        <v>214880602</v>
      </c>
      <c r="B1909" s="6">
        <v>45051</v>
      </c>
      <c r="C1909" s="1"/>
      <c r="D1909" s="1" t="s">
        <v>7</v>
      </c>
      <c r="E1909" s="1">
        <v>39</v>
      </c>
      <c r="F1909" s="1" t="s">
        <v>6</v>
      </c>
      <c r="G1909" s="44" t="str">
        <f t="shared" si="58"/>
        <v/>
      </c>
      <c r="H1909" s="10" t="str">
        <f t="shared" si="59"/>
        <v>Friday</v>
      </c>
    </row>
    <row r="1910" spans="1:8">
      <c r="A1910" s="9">
        <v>186140999</v>
      </c>
      <c r="B1910" s="6">
        <v>45051</v>
      </c>
      <c r="C1910" s="6">
        <v>45080</v>
      </c>
      <c r="D1910" s="1" t="s">
        <v>7</v>
      </c>
      <c r="E1910" s="1">
        <v>39</v>
      </c>
      <c r="F1910" s="1" t="s">
        <v>6</v>
      </c>
      <c r="G1910" s="44">
        <f t="shared" si="58"/>
        <v>29</v>
      </c>
      <c r="H1910" s="10" t="str">
        <f t="shared" si="59"/>
        <v>Friday</v>
      </c>
    </row>
    <row r="1911" spans="1:8">
      <c r="A1911" s="9">
        <v>214860336</v>
      </c>
      <c r="B1911" s="6">
        <v>45051</v>
      </c>
      <c r="C1911" s="6">
        <v>45110</v>
      </c>
      <c r="D1911" s="1" t="s">
        <v>7</v>
      </c>
      <c r="E1911" s="1">
        <v>39</v>
      </c>
      <c r="F1911" s="1" t="s">
        <v>6</v>
      </c>
      <c r="G1911" s="44">
        <f t="shared" si="58"/>
        <v>59</v>
      </c>
      <c r="H1911" s="10" t="str">
        <f t="shared" si="59"/>
        <v>Friday</v>
      </c>
    </row>
    <row r="1912" spans="1:8">
      <c r="A1912" s="9">
        <v>138725699</v>
      </c>
      <c r="B1912" s="6">
        <v>45051</v>
      </c>
      <c r="C1912" s="6">
        <v>45089</v>
      </c>
      <c r="D1912" s="1" t="s">
        <v>7</v>
      </c>
      <c r="E1912" s="1">
        <v>39</v>
      </c>
      <c r="F1912" s="1" t="s">
        <v>6</v>
      </c>
      <c r="G1912" s="44">
        <f t="shared" si="58"/>
        <v>38</v>
      </c>
      <c r="H1912" s="10" t="str">
        <f t="shared" si="59"/>
        <v>Friday</v>
      </c>
    </row>
    <row r="1913" spans="1:8">
      <c r="A1913" s="9">
        <v>132315255</v>
      </c>
      <c r="B1913" s="6">
        <v>45051</v>
      </c>
      <c r="C1913" s="6">
        <v>45051</v>
      </c>
      <c r="D1913" s="1" t="s">
        <v>7</v>
      </c>
      <c r="E1913" s="1">
        <v>39</v>
      </c>
      <c r="F1913" s="1" t="s">
        <v>6</v>
      </c>
      <c r="G1913" s="44">
        <f t="shared" si="58"/>
        <v>0</v>
      </c>
      <c r="H1913" s="10" t="str">
        <f t="shared" si="59"/>
        <v>Friday</v>
      </c>
    </row>
    <row r="1914" spans="1:8">
      <c r="A1914" s="9">
        <v>208202304</v>
      </c>
      <c r="B1914" s="6">
        <v>45051</v>
      </c>
      <c r="C1914" s="6">
        <v>45051</v>
      </c>
      <c r="D1914" s="1" t="s">
        <v>7</v>
      </c>
      <c r="E1914" s="1">
        <v>39</v>
      </c>
      <c r="F1914" s="1" t="s">
        <v>6</v>
      </c>
      <c r="G1914" s="44">
        <f t="shared" si="58"/>
        <v>0</v>
      </c>
      <c r="H1914" s="10" t="str">
        <f t="shared" si="59"/>
        <v>Friday</v>
      </c>
    </row>
    <row r="1915" spans="1:8">
      <c r="A1915" s="9">
        <v>214869362</v>
      </c>
      <c r="B1915" s="6">
        <v>45051</v>
      </c>
      <c r="C1915" s="6">
        <v>45077</v>
      </c>
      <c r="D1915" s="1" t="s">
        <v>7</v>
      </c>
      <c r="E1915" s="1">
        <v>39</v>
      </c>
      <c r="F1915" s="1" t="s">
        <v>6</v>
      </c>
      <c r="G1915" s="44">
        <f t="shared" si="58"/>
        <v>26</v>
      </c>
      <c r="H1915" s="10" t="str">
        <f t="shared" si="59"/>
        <v>Friday</v>
      </c>
    </row>
    <row r="1916" spans="1:8">
      <c r="A1916" s="9">
        <v>207118054</v>
      </c>
      <c r="B1916" s="6">
        <v>45052</v>
      </c>
      <c r="C1916" s="1"/>
      <c r="D1916" s="1" t="s">
        <v>7</v>
      </c>
      <c r="E1916" s="1">
        <v>39</v>
      </c>
      <c r="F1916" s="1" t="s">
        <v>6</v>
      </c>
      <c r="G1916" s="44" t="str">
        <f t="shared" si="58"/>
        <v/>
      </c>
      <c r="H1916" s="10" t="str">
        <f t="shared" si="59"/>
        <v>Saturday</v>
      </c>
    </row>
    <row r="1917" spans="1:8">
      <c r="A1917" s="9">
        <v>214856586</v>
      </c>
      <c r="B1917" s="6">
        <v>45052</v>
      </c>
      <c r="C1917" s="1"/>
      <c r="D1917" s="1" t="s">
        <v>7</v>
      </c>
      <c r="E1917" s="1">
        <v>39</v>
      </c>
      <c r="F1917" s="1" t="s">
        <v>6</v>
      </c>
      <c r="G1917" s="44" t="str">
        <f t="shared" si="58"/>
        <v/>
      </c>
      <c r="H1917" s="10" t="str">
        <f t="shared" si="59"/>
        <v>Saturday</v>
      </c>
    </row>
    <row r="1918" spans="1:8">
      <c r="A1918" s="9">
        <v>201945254</v>
      </c>
      <c r="B1918" s="6">
        <v>45052</v>
      </c>
      <c r="C1918" s="6">
        <v>45079</v>
      </c>
      <c r="D1918" s="1" t="s">
        <v>7</v>
      </c>
      <c r="E1918" s="1">
        <v>39</v>
      </c>
      <c r="F1918" s="1" t="s">
        <v>6</v>
      </c>
      <c r="G1918" s="44">
        <f t="shared" si="58"/>
        <v>27</v>
      </c>
      <c r="H1918" s="10" t="str">
        <f t="shared" si="59"/>
        <v>Saturday</v>
      </c>
    </row>
    <row r="1919" spans="1:8">
      <c r="A1919" s="9">
        <v>134531651</v>
      </c>
      <c r="B1919" s="6">
        <v>45053</v>
      </c>
      <c r="C1919" s="1"/>
      <c r="D1919" s="1" t="s">
        <v>7</v>
      </c>
      <c r="E1919" s="1">
        <v>39</v>
      </c>
      <c r="F1919" s="1" t="s">
        <v>6</v>
      </c>
      <c r="G1919" s="44" t="str">
        <f t="shared" si="58"/>
        <v/>
      </c>
      <c r="H1919" s="10" t="str">
        <f t="shared" si="59"/>
        <v>Sunday</v>
      </c>
    </row>
    <row r="1920" spans="1:8">
      <c r="A1920" s="9">
        <v>204865394</v>
      </c>
      <c r="B1920" s="6">
        <v>45053</v>
      </c>
      <c r="C1920" s="1"/>
      <c r="D1920" s="1" t="s">
        <v>7</v>
      </c>
      <c r="E1920" s="1">
        <v>39</v>
      </c>
      <c r="F1920" s="1" t="s">
        <v>6</v>
      </c>
      <c r="G1920" s="44" t="str">
        <f t="shared" si="58"/>
        <v/>
      </c>
      <c r="H1920" s="10" t="str">
        <f t="shared" si="59"/>
        <v>Sunday</v>
      </c>
    </row>
    <row r="1921" spans="1:8">
      <c r="A1921" s="9">
        <v>158906669</v>
      </c>
      <c r="B1921" s="6">
        <v>45053</v>
      </c>
      <c r="C1921" s="1"/>
      <c r="D1921" s="1" t="s">
        <v>7</v>
      </c>
      <c r="E1921" s="1">
        <v>39</v>
      </c>
      <c r="F1921" s="1" t="s">
        <v>6</v>
      </c>
      <c r="G1921" s="44" t="str">
        <f t="shared" si="58"/>
        <v/>
      </c>
      <c r="H1921" s="10" t="str">
        <f t="shared" si="59"/>
        <v>Sunday</v>
      </c>
    </row>
    <row r="1922" spans="1:8">
      <c r="A1922" s="9">
        <v>125591366</v>
      </c>
      <c r="B1922" s="6">
        <v>45053</v>
      </c>
      <c r="C1922" s="6">
        <v>45144</v>
      </c>
      <c r="D1922" s="1" t="s">
        <v>7</v>
      </c>
      <c r="E1922" s="1">
        <v>39</v>
      </c>
      <c r="F1922" s="1" t="s">
        <v>6</v>
      </c>
      <c r="G1922" s="44">
        <f t="shared" si="58"/>
        <v>91</v>
      </c>
      <c r="H1922" s="10" t="str">
        <f t="shared" si="59"/>
        <v>Sunday</v>
      </c>
    </row>
    <row r="1923" spans="1:8">
      <c r="A1923" s="9">
        <v>214839844</v>
      </c>
      <c r="B1923" s="6">
        <v>45053</v>
      </c>
      <c r="C1923" s="6">
        <v>45114</v>
      </c>
      <c r="D1923" s="1" t="s">
        <v>7</v>
      </c>
      <c r="E1923" s="1">
        <v>39</v>
      </c>
      <c r="F1923" s="1" t="s">
        <v>6</v>
      </c>
      <c r="G1923" s="44">
        <f t="shared" ref="G1923:G1986" si="60">IF(C1923="", "", DATEDIF(B1923, C1923, "D"))</f>
        <v>61</v>
      </c>
      <c r="H1923" s="10" t="str">
        <f t="shared" ref="H1923:H1986" si="61">TEXT(B1923, "dddd")</f>
        <v>Sunday</v>
      </c>
    </row>
    <row r="1924" spans="1:8">
      <c r="A1924" s="9">
        <v>214939612</v>
      </c>
      <c r="B1924" s="6">
        <v>45053</v>
      </c>
      <c r="C1924" s="6">
        <v>45110</v>
      </c>
      <c r="D1924" s="1" t="s">
        <v>7</v>
      </c>
      <c r="E1924" s="1">
        <v>39</v>
      </c>
      <c r="F1924" s="1" t="s">
        <v>6</v>
      </c>
      <c r="G1924" s="44">
        <f t="shared" si="60"/>
        <v>57</v>
      </c>
      <c r="H1924" s="10" t="str">
        <f t="shared" si="61"/>
        <v>Sunday</v>
      </c>
    </row>
    <row r="1925" spans="1:8">
      <c r="A1925" s="9">
        <v>204670100</v>
      </c>
      <c r="B1925" s="6">
        <v>45053</v>
      </c>
      <c r="C1925" s="6">
        <v>45121</v>
      </c>
      <c r="D1925" s="1" t="s">
        <v>7</v>
      </c>
      <c r="E1925" s="1">
        <v>39</v>
      </c>
      <c r="F1925" s="1" t="s">
        <v>6</v>
      </c>
      <c r="G1925" s="44">
        <f t="shared" si="60"/>
        <v>68</v>
      </c>
      <c r="H1925" s="10" t="str">
        <f t="shared" si="61"/>
        <v>Sunday</v>
      </c>
    </row>
    <row r="1926" spans="1:8">
      <c r="A1926" s="9">
        <v>214830539</v>
      </c>
      <c r="B1926" s="6">
        <v>45053</v>
      </c>
      <c r="C1926" s="6">
        <v>45091</v>
      </c>
      <c r="D1926" s="1" t="s">
        <v>7</v>
      </c>
      <c r="E1926" s="1">
        <v>39</v>
      </c>
      <c r="F1926" s="1" t="s">
        <v>6</v>
      </c>
      <c r="G1926" s="44">
        <f t="shared" si="60"/>
        <v>38</v>
      </c>
      <c r="H1926" s="10" t="str">
        <f t="shared" si="61"/>
        <v>Sunday</v>
      </c>
    </row>
    <row r="1927" spans="1:8">
      <c r="A1927" s="9">
        <v>185952990</v>
      </c>
      <c r="B1927" s="6">
        <v>45053</v>
      </c>
      <c r="C1927" s="6">
        <v>45087</v>
      </c>
      <c r="D1927" s="1" t="s">
        <v>7</v>
      </c>
      <c r="E1927" s="1">
        <v>39</v>
      </c>
      <c r="F1927" s="1" t="s">
        <v>6</v>
      </c>
      <c r="G1927" s="44">
        <f t="shared" si="60"/>
        <v>34</v>
      </c>
      <c r="H1927" s="10" t="str">
        <f t="shared" si="61"/>
        <v>Sunday</v>
      </c>
    </row>
    <row r="1928" spans="1:8">
      <c r="A1928" s="9">
        <v>214936311</v>
      </c>
      <c r="B1928" s="6">
        <v>45053</v>
      </c>
      <c r="C1928" s="6">
        <v>45053</v>
      </c>
      <c r="D1928" s="1" t="s">
        <v>7</v>
      </c>
      <c r="E1928" s="1">
        <v>39</v>
      </c>
      <c r="F1928" s="1" t="s">
        <v>6</v>
      </c>
      <c r="G1928" s="44">
        <f t="shared" si="60"/>
        <v>0</v>
      </c>
      <c r="H1928" s="10" t="str">
        <f t="shared" si="61"/>
        <v>Sunday</v>
      </c>
    </row>
    <row r="1929" spans="1:8">
      <c r="A1929" s="9">
        <v>214620392</v>
      </c>
      <c r="B1929" s="6">
        <v>45053</v>
      </c>
      <c r="C1929" s="6">
        <v>45114</v>
      </c>
      <c r="D1929" s="1" t="s">
        <v>7</v>
      </c>
      <c r="E1929" s="1">
        <v>39</v>
      </c>
      <c r="F1929" s="1" t="s">
        <v>6</v>
      </c>
      <c r="G1929" s="44">
        <f t="shared" si="60"/>
        <v>61</v>
      </c>
      <c r="H1929" s="10" t="str">
        <f t="shared" si="61"/>
        <v>Sunday</v>
      </c>
    </row>
    <row r="1930" spans="1:8">
      <c r="A1930" s="9">
        <v>157935884</v>
      </c>
      <c r="B1930" s="6">
        <v>45054</v>
      </c>
      <c r="C1930" s="1"/>
      <c r="D1930" s="1" t="s">
        <v>7</v>
      </c>
      <c r="E1930" s="1">
        <v>39</v>
      </c>
      <c r="F1930" s="1" t="s">
        <v>6</v>
      </c>
      <c r="G1930" s="44" t="str">
        <f t="shared" si="60"/>
        <v/>
      </c>
      <c r="H1930" s="10" t="str">
        <f t="shared" si="61"/>
        <v>Monday</v>
      </c>
    </row>
    <row r="1931" spans="1:8">
      <c r="A1931" s="9">
        <v>214945706</v>
      </c>
      <c r="B1931" s="6">
        <v>45054</v>
      </c>
      <c r="C1931" s="1"/>
      <c r="D1931" s="1" t="s">
        <v>7</v>
      </c>
      <c r="E1931" s="1">
        <v>39</v>
      </c>
      <c r="F1931" s="1" t="s">
        <v>6</v>
      </c>
      <c r="G1931" s="44" t="str">
        <f t="shared" si="60"/>
        <v/>
      </c>
      <c r="H1931" s="10" t="str">
        <f t="shared" si="61"/>
        <v>Monday</v>
      </c>
    </row>
    <row r="1932" spans="1:8">
      <c r="A1932" s="9">
        <v>214999374</v>
      </c>
      <c r="B1932" s="6">
        <v>45054</v>
      </c>
      <c r="C1932" s="1"/>
      <c r="D1932" s="1" t="s">
        <v>7</v>
      </c>
      <c r="E1932" s="1">
        <v>39</v>
      </c>
      <c r="F1932" s="1" t="s">
        <v>6</v>
      </c>
      <c r="G1932" s="44" t="str">
        <f t="shared" si="60"/>
        <v/>
      </c>
      <c r="H1932" s="10" t="str">
        <f t="shared" si="61"/>
        <v>Monday</v>
      </c>
    </row>
    <row r="1933" spans="1:8">
      <c r="A1933" s="9">
        <v>214986467</v>
      </c>
      <c r="B1933" s="6">
        <v>45054</v>
      </c>
      <c r="C1933" s="1"/>
      <c r="D1933" s="1" t="s">
        <v>7</v>
      </c>
      <c r="E1933" s="1">
        <v>39</v>
      </c>
      <c r="F1933" s="1" t="s">
        <v>6</v>
      </c>
      <c r="G1933" s="44" t="str">
        <f t="shared" si="60"/>
        <v/>
      </c>
      <c r="H1933" s="10" t="str">
        <f t="shared" si="61"/>
        <v>Monday</v>
      </c>
    </row>
    <row r="1934" spans="1:8">
      <c r="A1934" s="9">
        <v>214984741</v>
      </c>
      <c r="B1934" s="6">
        <v>45054</v>
      </c>
      <c r="C1934" s="1"/>
      <c r="D1934" s="1" t="s">
        <v>7</v>
      </c>
      <c r="E1934" s="1">
        <v>39</v>
      </c>
      <c r="F1934" s="1" t="s">
        <v>6</v>
      </c>
      <c r="G1934" s="44" t="str">
        <f t="shared" si="60"/>
        <v/>
      </c>
      <c r="H1934" s="10" t="str">
        <f t="shared" si="61"/>
        <v>Monday</v>
      </c>
    </row>
    <row r="1935" spans="1:8">
      <c r="A1935" s="9">
        <v>214993166</v>
      </c>
      <c r="B1935" s="6">
        <v>45054</v>
      </c>
      <c r="C1935" s="1"/>
      <c r="D1935" s="1" t="s">
        <v>7</v>
      </c>
      <c r="E1935" s="1">
        <v>39</v>
      </c>
      <c r="F1935" s="1" t="s">
        <v>6</v>
      </c>
      <c r="G1935" s="44" t="str">
        <f t="shared" si="60"/>
        <v/>
      </c>
      <c r="H1935" s="10" t="str">
        <f t="shared" si="61"/>
        <v>Monday</v>
      </c>
    </row>
    <row r="1936" spans="1:8">
      <c r="A1936" s="9">
        <v>203116697</v>
      </c>
      <c r="B1936" s="6">
        <v>45054</v>
      </c>
      <c r="C1936" s="1"/>
      <c r="D1936" s="1" t="s">
        <v>7</v>
      </c>
      <c r="E1936" s="1">
        <v>39</v>
      </c>
      <c r="F1936" s="1" t="s">
        <v>6</v>
      </c>
      <c r="G1936" s="44" t="str">
        <f t="shared" si="60"/>
        <v/>
      </c>
      <c r="H1936" s="10" t="str">
        <f t="shared" si="61"/>
        <v>Monday</v>
      </c>
    </row>
    <row r="1937" spans="1:8">
      <c r="A1937" s="9">
        <v>214906741</v>
      </c>
      <c r="B1937" s="6">
        <v>45054</v>
      </c>
      <c r="C1937" s="1"/>
      <c r="D1937" s="1" t="s">
        <v>7</v>
      </c>
      <c r="E1937" s="1">
        <v>39</v>
      </c>
      <c r="F1937" s="1" t="s">
        <v>6</v>
      </c>
      <c r="G1937" s="44" t="str">
        <f t="shared" si="60"/>
        <v/>
      </c>
      <c r="H1937" s="10" t="str">
        <f t="shared" si="61"/>
        <v>Monday</v>
      </c>
    </row>
    <row r="1938" spans="1:8">
      <c r="A1938" s="9">
        <v>128977818</v>
      </c>
      <c r="B1938" s="6">
        <v>45054</v>
      </c>
      <c r="C1938" s="6">
        <v>45175</v>
      </c>
      <c r="D1938" s="1" t="s">
        <v>7</v>
      </c>
      <c r="E1938" s="1">
        <v>39</v>
      </c>
      <c r="F1938" s="1" t="s">
        <v>6</v>
      </c>
      <c r="G1938" s="44">
        <f t="shared" si="60"/>
        <v>121</v>
      </c>
      <c r="H1938" s="10" t="str">
        <f t="shared" si="61"/>
        <v>Monday</v>
      </c>
    </row>
    <row r="1939" spans="1:8">
      <c r="A1939" s="9">
        <v>209743418</v>
      </c>
      <c r="B1939" s="6">
        <v>45054</v>
      </c>
      <c r="C1939" s="6">
        <v>45055</v>
      </c>
      <c r="D1939" s="1" t="s">
        <v>7</v>
      </c>
      <c r="E1939" s="1">
        <v>39</v>
      </c>
      <c r="F1939" s="1" t="s">
        <v>6</v>
      </c>
      <c r="G1939" s="44">
        <f t="shared" si="60"/>
        <v>1</v>
      </c>
      <c r="H1939" s="10" t="str">
        <f t="shared" si="61"/>
        <v>Monday</v>
      </c>
    </row>
    <row r="1940" spans="1:8">
      <c r="A1940" s="9">
        <v>209743418</v>
      </c>
      <c r="B1940" s="6">
        <v>45054</v>
      </c>
      <c r="C1940" s="6">
        <v>45115</v>
      </c>
      <c r="D1940" s="1" t="s">
        <v>7</v>
      </c>
      <c r="E1940" s="1">
        <v>39</v>
      </c>
      <c r="F1940" s="1" t="s">
        <v>6</v>
      </c>
      <c r="G1940" s="44">
        <f t="shared" si="60"/>
        <v>61</v>
      </c>
      <c r="H1940" s="10" t="str">
        <f t="shared" si="61"/>
        <v>Monday</v>
      </c>
    </row>
    <row r="1941" spans="1:8">
      <c r="A1941" s="9">
        <v>130868671</v>
      </c>
      <c r="B1941" s="6">
        <v>45054</v>
      </c>
      <c r="C1941" s="6">
        <v>45091</v>
      </c>
      <c r="D1941" s="1" t="s">
        <v>7</v>
      </c>
      <c r="E1941" s="1">
        <v>39</v>
      </c>
      <c r="F1941" s="1" t="s">
        <v>6</v>
      </c>
      <c r="G1941" s="44">
        <f t="shared" si="60"/>
        <v>37</v>
      </c>
      <c r="H1941" s="10" t="str">
        <f t="shared" si="61"/>
        <v>Monday</v>
      </c>
    </row>
    <row r="1942" spans="1:8">
      <c r="A1942" s="9">
        <v>146963394</v>
      </c>
      <c r="B1942" s="6">
        <v>45054</v>
      </c>
      <c r="C1942" s="6">
        <v>45111</v>
      </c>
      <c r="D1942" s="1" t="s">
        <v>7</v>
      </c>
      <c r="E1942" s="1">
        <v>39</v>
      </c>
      <c r="F1942" s="1" t="s">
        <v>6</v>
      </c>
      <c r="G1942" s="44">
        <f t="shared" si="60"/>
        <v>57</v>
      </c>
      <c r="H1942" s="10" t="str">
        <f t="shared" si="61"/>
        <v>Monday</v>
      </c>
    </row>
    <row r="1943" spans="1:8">
      <c r="A1943" s="9">
        <v>214960770</v>
      </c>
      <c r="B1943" s="6">
        <v>45054</v>
      </c>
      <c r="C1943" s="6">
        <v>45110</v>
      </c>
      <c r="D1943" s="1" t="s">
        <v>7</v>
      </c>
      <c r="E1943" s="1">
        <v>39</v>
      </c>
      <c r="F1943" s="1" t="s">
        <v>6</v>
      </c>
      <c r="G1943" s="44">
        <f t="shared" si="60"/>
        <v>56</v>
      </c>
      <c r="H1943" s="10" t="str">
        <f t="shared" si="61"/>
        <v>Monday</v>
      </c>
    </row>
    <row r="1944" spans="1:8">
      <c r="A1944" s="9">
        <v>207344872</v>
      </c>
      <c r="B1944" s="6">
        <v>45054</v>
      </c>
      <c r="C1944" s="6">
        <v>45084</v>
      </c>
      <c r="D1944" s="1" t="s">
        <v>7</v>
      </c>
      <c r="E1944" s="1">
        <v>39</v>
      </c>
      <c r="F1944" s="1" t="s">
        <v>6</v>
      </c>
      <c r="G1944" s="44">
        <f t="shared" si="60"/>
        <v>30</v>
      </c>
      <c r="H1944" s="10" t="str">
        <f t="shared" si="61"/>
        <v>Monday</v>
      </c>
    </row>
    <row r="1945" spans="1:8">
      <c r="A1945" s="9">
        <v>202925989</v>
      </c>
      <c r="B1945" s="6">
        <v>45054</v>
      </c>
      <c r="C1945" s="6">
        <v>45092</v>
      </c>
      <c r="D1945" s="1" t="s">
        <v>7</v>
      </c>
      <c r="E1945" s="1">
        <v>39</v>
      </c>
      <c r="F1945" s="1" t="s">
        <v>6</v>
      </c>
      <c r="G1945" s="44">
        <f t="shared" si="60"/>
        <v>38</v>
      </c>
      <c r="H1945" s="10" t="str">
        <f t="shared" si="61"/>
        <v>Monday</v>
      </c>
    </row>
    <row r="1946" spans="1:8">
      <c r="A1946" s="9">
        <v>214991976</v>
      </c>
      <c r="B1946" s="6">
        <v>45054</v>
      </c>
      <c r="C1946" s="6">
        <v>45099</v>
      </c>
      <c r="D1946" s="1" t="s">
        <v>7</v>
      </c>
      <c r="E1946" s="1">
        <v>39</v>
      </c>
      <c r="F1946" s="1" t="s">
        <v>6</v>
      </c>
      <c r="G1946" s="44">
        <f t="shared" si="60"/>
        <v>45</v>
      </c>
      <c r="H1946" s="10" t="str">
        <f t="shared" si="61"/>
        <v>Monday</v>
      </c>
    </row>
    <row r="1947" spans="1:8">
      <c r="A1947" s="9">
        <v>211917633</v>
      </c>
      <c r="B1947" s="6">
        <v>45054</v>
      </c>
      <c r="C1947" s="6">
        <v>45071</v>
      </c>
      <c r="D1947" s="1" t="s">
        <v>7</v>
      </c>
      <c r="E1947" s="1">
        <v>39</v>
      </c>
      <c r="F1947" s="1" t="s">
        <v>6</v>
      </c>
      <c r="G1947" s="44">
        <f t="shared" si="60"/>
        <v>17</v>
      </c>
      <c r="H1947" s="10" t="str">
        <f t="shared" si="61"/>
        <v>Monday</v>
      </c>
    </row>
    <row r="1948" spans="1:8">
      <c r="A1948" s="9">
        <v>214623264</v>
      </c>
      <c r="B1948" s="6">
        <v>45054</v>
      </c>
      <c r="C1948" s="6">
        <v>45122</v>
      </c>
      <c r="D1948" s="1" t="s">
        <v>7</v>
      </c>
      <c r="E1948" s="1">
        <v>39</v>
      </c>
      <c r="F1948" s="1" t="s">
        <v>6</v>
      </c>
      <c r="G1948" s="44">
        <f t="shared" si="60"/>
        <v>68</v>
      </c>
      <c r="H1948" s="10" t="str">
        <f t="shared" si="61"/>
        <v>Monday</v>
      </c>
    </row>
    <row r="1949" spans="1:8">
      <c r="A1949" s="9">
        <v>205339362</v>
      </c>
      <c r="B1949" s="6">
        <v>45054</v>
      </c>
      <c r="C1949" s="6">
        <v>45115</v>
      </c>
      <c r="D1949" s="1" t="s">
        <v>7</v>
      </c>
      <c r="E1949" s="1">
        <v>39</v>
      </c>
      <c r="F1949" s="1" t="s">
        <v>6</v>
      </c>
      <c r="G1949" s="44">
        <f t="shared" si="60"/>
        <v>61</v>
      </c>
      <c r="H1949" s="10" t="str">
        <f t="shared" si="61"/>
        <v>Monday</v>
      </c>
    </row>
    <row r="1950" spans="1:8">
      <c r="A1950" s="9">
        <v>214956352</v>
      </c>
      <c r="B1950" s="6">
        <v>45055</v>
      </c>
      <c r="C1950" s="1"/>
      <c r="D1950" s="1" t="s">
        <v>7</v>
      </c>
      <c r="E1950" s="1">
        <v>39</v>
      </c>
      <c r="F1950" s="1" t="s">
        <v>6</v>
      </c>
      <c r="G1950" s="44" t="str">
        <f t="shared" si="60"/>
        <v/>
      </c>
      <c r="H1950" s="10" t="str">
        <f t="shared" si="61"/>
        <v>Tuesday</v>
      </c>
    </row>
    <row r="1951" spans="1:8">
      <c r="A1951" s="9">
        <v>196061402</v>
      </c>
      <c r="B1951" s="6">
        <v>45055</v>
      </c>
      <c r="C1951" s="1"/>
      <c r="D1951" s="1" t="s">
        <v>7</v>
      </c>
      <c r="E1951" s="1">
        <v>39</v>
      </c>
      <c r="F1951" s="1" t="s">
        <v>6</v>
      </c>
      <c r="G1951" s="44" t="str">
        <f t="shared" si="60"/>
        <v/>
      </c>
      <c r="H1951" s="10" t="str">
        <f t="shared" si="61"/>
        <v>Tuesday</v>
      </c>
    </row>
    <row r="1952" spans="1:8">
      <c r="A1952" s="9">
        <v>215019022</v>
      </c>
      <c r="B1952" s="6">
        <v>45055</v>
      </c>
      <c r="C1952" s="1"/>
      <c r="D1952" s="1" t="s">
        <v>7</v>
      </c>
      <c r="E1952" s="1">
        <v>39</v>
      </c>
      <c r="F1952" s="1" t="s">
        <v>6</v>
      </c>
      <c r="G1952" s="44" t="str">
        <f t="shared" si="60"/>
        <v/>
      </c>
      <c r="H1952" s="10" t="str">
        <f t="shared" si="61"/>
        <v>Tuesday</v>
      </c>
    </row>
    <row r="1953" spans="1:8">
      <c r="A1953" s="9">
        <v>185517087</v>
      </c>
      <c r="B1953" s="6">
        <v>45055</v>
      </c>
      <c r="C1953" s="1"/>
      <c r="D1953" s="1" t="s">
        <v>7</v>
      </c>
      <c r="E1953" s="1">
        <v>39</v>
      </c>
      <c r="F1953" s="1" t="s">
        <v>6</v>
      </c>
      <c r="G1953" s="44" t="str">
        <f t="shared" si="60"/>
        <v/>
      </c>
      <c r="H1953" s="10" t="str">
        <f t="shared" si="61"/>
        <v>Tuesday</v>
      </c>
    </row>
    <row r="1954" spans="1:8">
      <c r="A1954" s="9">
        <v>151513254</v>
      </c>
      <c r="B1954" s="6">
        <v>45055</v>
      </c>
      <c r="C1954" s="6">
        <v>45055</v>
      </c>
      <c r="D1954" s="1" t="s">
        <v>7</v>
      </c>
      <c r="E1954" s="1">
        <v>39</v>
      </c>
      <c r="F1954" s="1" t="s">
        <v>6</v>
      </c>
      <c r="G1954" s="44">
        <f t="shared" si="60"/>
        <v>0</v>
      </c>
      <c r="H1954" s="10" t="str">
        <f t="shared" si="61"/>
        <v>Tuesday</v>
      </c>
    </row>
    <row r="1955" spans="1:8">
      <c r="A1955" s="9">
        <v>214952558</v>
      </c>
      <c r="B1955" s="6">
        <v>45055</v>
      </c>
      <c r="C1955" s="6">
        <v>45056</v>
      </c>
      <c r="D1955" s="1" t="s">
        <v>8</v>
      </c>
      <c r="E1955" s="1">
        <v>39</v>
      </c>
      <c r="F1955" s="1" t="s">
        <v>6</v>
      </c>
      <c r="G1955" s="44">
        <f t="shared" si="60"/>
        <v>1</v>
      </c>
      <c r="H1955" s="10" t="str">
        <f t="shared" si="61"/>
        <v>Tuesday</v>
      </c>
    </row>
    <row r="1956" spans="1:8">
      <c r="A1956" s="9">
        <v>139339380</v>
      </c>
      <c r="B1956" s="6">
        <v>45055</v>
      </c>
      <c r="C1956" s="6">
        <v>45095</v>
      </c>
      <c r="D1956" s="1" t="s">
        <v>7</v>
      </c>
      <c r="E1956" s="1">
        <v>39</v>
      </c>
      <c r="F1956" s="1" t="s">
        <v>6</v>
      </c>
      <c r="G1956" s="44">
        <f t="shared" si="60"/>
        <v>40</v>
      </c>
      <c r="H1956" s="10" t="str">
        <f t="shared" si="61"/>
        <v>Tuesday</v>
      </c>
    </row>
    <row r="1957" spans="1:8">
      <c r="A1957" s="9">
        <v>208188866</v>
      </c>
      <c r="B1957" s="6">
        <v>45055</v>
      </c>
      <c r="C1957" s="6">
        <v>45086</v>
      </c>
      <c r="D1957" s="1" t="s">
        <v>7</v>
      </c>
      <c r="E1957" s="1">
        <v>39</v>
      </c>
      <c r="F1957" s="1" t="s">
        <v>6</v>
      </c>
      <c r="G1957" s="44">
        <f t="shared" si="60"/>
        <v>31</v>
      </c>
      <c r="H1957" s="10" t="str">
        <f t="shared" si="61"/>
        <v>Tuesday</v>
      </c>
    </row>
    <row r="1958" spans="1:8">
      <c r="A1958" s="9">
        <v>150342446</v>
      </c>
      <c r="B1958" s="6">
        <v>45055</v>
      </c>
      <c r="C1958" s="6">
        <v>45093</v>
      </c>
      <c r="D1958" s="1" t="s">
        <v>7</v>
      </c>
      <c r="E1958" s="1">
        <v>39</v>
      </c>
      <c r="F1958" s="1" t="s">
        <v>6</v>
      </c>
      <c r="G1958" s="44">
        <f t="shared" si="60"/>
        <v>38</v>
      </c>
      <c r="H1958" s="10" t="str">
        <f t="shared" si="61"/>
        <v>Tuesday</v>
      </c>
    </row>
    <row r="1959" spans="1:8">
      <c r="A1959" s="9">
        <v>188748372</v>
      </c>
      <c r="B1959" s="6">
        <v>45055</v>
      </c>
      <c r="C1959" s="6">
        <v>45093</v>
      </c>
      <c r="D1959" s="1" t="s">
        <v>7</v>
      </c>
      <c r="E1959" s="1">
        <v>39</v>
      </c>
      <c r="F1959" s="1" t="s">
        <v>6</v>
      </c>
      <c r="G1959" s="44">
        <f t="shared" si="60"/>
        <v>38</v>
      </c>
      <c r="H1959" s="10" t="str">
        <f t="shared" si="61"/>
        <v>Tuesday</v>
      </c>
    </row>
    <row r="1960" spans="1:8">
      <c r="A1960" s="9">
        <v>215034356</v>
      </c>
      <c r="B1960" s="6">
        <v>45055</v>
      </c>
      <c r="C1960" s="6">
        <v>45055</v>
      </c>
      <c r="D1960" s="1" t="s">
        <v>7</v>
      </c>
      <c r="E1960" s="1">
        <v>39</v>
      </c>
      <c r="F1960" s="1" t="s">
        <v>6</v>
      </c>
      <c r="G1960" s="44">
        <f t="shared" si="60"/>
        <v>0</v>
      </c>
      <c r="H1960" s="10" t="str">
        <f t="shared" si="61"/>
        <v>Tuesday</v>
      </c>
    </row>
    <row r="1961" spans="1:8">
      <c r="A1961" s="9">
        <v>145013444</v>
      </c>
      <c r="B1961" s="6">
        <v>45055</v>
      </c>
      <c r="C1961" s="6">
        <v>45075</v>
      </c>
      <c r="D1961" s="1" t="s">
        <v>7</v>
      </c>
      <c r="E1961" s="1">
        <v>39</v>
      </c>
      <c r="F1961" s="1" t="s">
        <v>6</v>
      </c>
      <c r="G1961" s="44">
        <f t="shared" si="60"/>
        <v>20</v>
      </c>
      <c r="H1961" s="10" t="str">
        <f t="shared" si="61"/>
        <v>Tuesday</v>
      </c>
    </row>
    <row r="1962" spans="1:8">
      <c r="A1962" s="9">
        <v>164548755</v>
      </c>
      <c r="B1962" s="6">
        <v>45055</v>
      </c>
      <c r="C1962" s="6">
        <v>45123</v>
      </c>
      <c r="D1962" s="1" t="s">
        <v>7</v>
      </c>
      <c r="E1962" s="1">
        <v>39</v>
      </c>
      <c r="F1962" s="1" t="s">
        <v>6</v>
      </c>
      <c r="G1962" s="44">
        <f t="shared" si="60"/>
        <v>68</v>
      </c>
      <c r="H1962" s="10" t="str">
        <f t="shared" si="61"/>
        <v>Tuesday</v>
      </c>
    </row>
    <row r="1963" spans="1:8">
      <c r="A1963" s="9">
        <v>193315330</v>
      </c>
      <c r="B1963" s="6">
        <v>45055</v>
      </c>
      <c r="C1963" s="6">
        <v>45154</v>
      </c>
      <c r="D1963" s="1" t="s">
        <v>7</v>
      </c>
      <c r="E1963" s="1">
        <v>39</v>
      </c>
      <c r="F1963" s="1" t="s">
        <v>6</v>
      </c>
      <c r="G1963" s="44">
        <f t="shared" si="60"/>
        <v>99</v>
      </c>
      <c r="H1963" s="10" t="str">
        <f t="shared" si="61"/>
        <v>Tuesday</v>
      </c>
    </row>
    <row r="1964" spans="1:8">
      <c r="A1964" s="9">
        <v>147592201</v>
      </c>
      <c r="B1964" s="6">
        <v>45056</v>
      </c>
      <c r="C1964" s="1"/>
      <c r="D1964" s="1" t="s">
        <v>7</v>
      </c>
      <c r="E1964" s="1">
        <v>39</v>
      </c>
      <c r="F1964" s="1" t="s">
        <v>6</v>
      </c>
      <c r="G1964" s="44" t="str">
        <f t="shared" si="60"/>
        <v/>
      </c>
      <c r="H1964" s="10" t="str">
        <f t="shared" si="61"/>
        <v>Wednesday</v>
      </c>
    </row>
    <row r="1965" spans="1:8">
      <c r="A1965" s="9">
        <v>192068317</v>
      </c>
      <c r="B1965" s="6">
        <v>45056</v>
      </c>
      <c r="C1965" s="1"/>
      <c r="D1965" s="1" t="s">
        <v>7</v>
      </c>
      <c r="E1965" s="1">
        <v>39</v>
      </c>
      <c r="F1965" s="1" t="s">
        <v>6</v>
      </c>
      <c r="G1965" s="44" t="str">
        <f t="shared" si="60"/>
        <v/>
      </c>
      <c r="H1965" s="10" t="str">
        <f t="shared" si="61"/>
        <v>Wednesday</v>
      </c>
    </row>
    <row r="1966" spans="1:8">
      <c r="A1966" s="9">
        <v>214396083</v>
      </c>
      <c r="B1966" s="6">
        <v>45056</v>
      </c>
      <c r="C1966" s="1"/>
      <c r="D1966" s="1" t="s">
        <v>7</v>
      </c>
      <c r="E1966" s="1">
        <v>39</v>
      </c>
      <c r="F1966" s="1" t="s">
        <v>6</v>
      </c>
      <c r="G1966" s="44" t="str">
        <f t="shared" si="60"/>
        <v/>
      </c>
      <c r="H1966" s="10" t="str">
        <f t="shared" si="61"/>
        <v>Wednesday</v>
      </c>
    </row>
    <row r="1967" spans="1:8">
      <c r="A1967" s="9">
        <v>214698924</v>
      </c>
      <c r="B1967" s="6">
        <v>45056</v>
      </c>
      <c r="C1967" s="6">
        <v>45056</v>
      </c>
      <c r="D1967" s="1" t="s">
        <v>7</v>
      </c>
      <c r="E1967" s="1">
        <v>39</v>
      </c>
      <c r="F1967" s="1" t="s">
        <v>6</v>
      </c>
      <c r="G1967" s="44">
        <f t="shared" si="60"/>
        <v>0</v>
      </c>
      <c r="H1967" s="10" t="str">
        <f t="shared" si="61"/>
        <v>Wednesday</v>
      </c>
    </row>
    <row r="1968" spans="1:8">
      <c r="A1968" s="9">
        <v>153402484</v>
      </c>
      <c r="B1968" s="6">
        <v>45056</v>
      </c>
      <c r="C1968" s="6">
        <v>45086</v>
      </c>
      <c r="D1968" s="1" t="s">
        <v>7</v>
      </c>
      <c r="E1968" s="1">
        <v>39</v>
      </c>
      <c r="F1968" s="1" t="s">
        <v>6</v>
      </c>
      <c r="G1968" s="44">
        <f t="shared" si="60"/>
        <v>30</v>
      </c>
      <c r="H1968" s="10" t="str">
        <f t="shared" si="61"/>
        <v>Wednesday</v>
      </c>
    </row>
    <row r="1969" spans="1:8">
      <c r="A1969" s="9">
        <v>214809412</v>
      </c>
      <c r="B1969" s="6">
        <v>45056</v>
      </c>
      <c r="C1969" s="6">
        <v>45147</v>
      </c>
      <c r="D1969" s="1" t="s">
        <v>7</v>
      </c>
      <c r="E1969" s="1">
        <v>39</v>
      </c>
      <c r="F1969" s="1" t="s">
        <v>6</v>
      </c>
      <c r="G1969" s="44">
        <f t="shared" si="60"/>
        <v>91</v>
      </c>
      <c r="H1969" s="10" t="str">
        <f t="shared" si="61"/>
        <v>Wednesday</v>
      </c>
    </row>
    <row r="1970" spans="1:8">
      <c r="A1970" s="9">
        <v>215062365</v>
      </c>
      <c r="B1970" s="6">
        <v>45056</v>
      </c>
      <c r="C1970" s="6">
        <v>45141</v>
      </c>
      <c r="D1970" s="1" t="s">
        <v>7</v>
      </c>
      <c r="E1970" s="1">
        <v>39</v>
      </c>
      <c r="F1970" s="1" t="s">
        <v>6</v>
      </c>
      <c r="G1970" s="44">
        <f t="shared" si="60"/>
        <v>85</v>
      </c>
      <c r="H1970" s="10" t="str">
        <f t="shared" si="61"/>
        <v>Wednesday</v>
      </c>
    </row>
    <row r="1971" spans="1:8">
      <c r="A1971" s="9">
        <v>135185873</v>
      </c>
      <c r="B1971" s="6">
        <v>45057</v>
      </c>
      <c r="C1971" s="1"/>
      <c r="D1971" s="1" t="s">
        <v>7</v>
      </c>
      <c r="E1971" s="1">
        <v>39</v>
      </c>
      <c r="F1971" s="1" t="s">
        <v>6</v>
      </c>
      <c r="G1971" s="44" t="str">
        <f t="shared" si="60"/>
        <v/>
      </c>
      <c r="H1971" s="10" t="str">
        <f t="shared" si="61"/>
        <v>Thursday</v>
      </c>
    </row>
    <row r="1972" spans="1:8">
      <c r="A1972" s="9">
        <v>144898968</v>
      </c>
      <c r="B1972" s="6">
        <v>45057</v>
      </c>
      <c r="C1972" s="1"/>
      <c r="D1972" s="1" t="s">
        <v>7</v>
      </c>
      <c r="E1972" s="1">
        <v>39</v>
      </c>
      <c r="F1972" s="1" t="s">
        <v>6</v>
      </c>
      <c r="G1972" s="44" t="str">
        <f t="shared" si="60"/>
        <v/>
      </c>
      <c r="H1972" s="10" t="str">
        <f t="shared" si="61"/>
        <v>Thursday</v>
      </c>
    </row>
    <row r="1973" spans="1:8">
      <c r="A1973" s="9">
        <v>214973231</v>
      </c>
      <c r="B1973" s="6">
        <v>45057</v>
      </c>
      <c r="C1973" s="1"/>
      <c r="D1973" s="1" t="s">
        <v>7</v>
      </c>
      <c r="E1973" s="1">
        <v>39</v>
      </c>
      <c r="F1973" s="1" t="s">
        <v>6</v>
      </c>
      <c r="G1973" s="44" t="str">
        <f t="shared" si="60"/>
        <v/>
      </c>
      <c r="H1973" s="10" t="str">
        <f t="shared" si="61"/>
        <v>Thursday</v>
      </c>
    </row>
    <row r="1974" spans="1:8">
      <c r="A1974" s="9">
        <v>214971897</v>
      </c>
      <c r="B1974" s="6">
        <v>45057</v>
      </c>
      <c r="C1974" s="1"/>
      <c r="D1974" s="1" t="s">
        <v>7</v>
      </c>
      <c r="E1974" s="1">
        <v>39</v>
      </c>
      <c r="F1974" s="1" t="s">
        <v>6</v>
      </c>
      <c r="G1974" s="44" t="str">
        <f t="shared" si="60"/>
        <v/>
      </c>
      <c r="H1974" s="10" t="str">
        <f t="shared" si="61"/>
        <v>Thursday</v>
      </c>
    </row>
    <row r="1975" spans="1:8">
      <c r="A1975" s="9">
        <v>134919488</v>
      </c>
      <c r="B1975" s="6">
        <v>45057</v>
      </c>
      <c r="C1975" s="6">
        <v>45145</v>
      </c>
      <c r="D1975" s="1" t="s">
        <v>7</v>
      </c>
      <c r="E1975" s="1">
        <v>39</v>
      </c>
      <c r="F1975" s="1" t="s">
        <v>6</v>
      </c>
      <c r="G1975" s="44">
        <f t="shared" si="60"/>
        <v>88</v>
      </c>
      <c r="H1975" s="10" t="str">
        <f t="shared" si="61"/>
        <v>Thursday</v>
      </c>
    </row>
    <row r="1976" spans="1:8">
      <c r="A1976" s="9">
        <v>214912916</v>
      </c>
      <c r="B1976" s="6">
        <v>45057</v>
      </c>
      <c r="C1976" s="6">
        <v>45088</v>
      </c>
      <c r="D1976" s="1" t="s">
        <v>7</v>
      </c>
      <c r="E1976" s="1">
        <v>39</v>
      </c>
      <c r="F1976" s="1" t="s">
        <v>6</v>
      </c>
      <c r="G1976" s="44">
        <f t="shared" si="60"/>
        <v>31</v>
      </c>
      <c r="H1976" s="10" t="str">
        <f t="shared" si="61"/>
        <v>Thursday</v>
      </c>
    </row>
    <row r="1977" spans="1:8">
      <c r="A1977" s="9">
        <v>215138344</v>
      </c>
      <c r="B1977" s="6">
        <v>45057</v>
      </c>
      <c r="C1977" s="6">
        <v>45079</v>
      </c>
      <c r="D1977" s="1" t="s">
        <v>7</v>
      </c>
      <c r="E1977" s="1">
        <v>39</v>
      </c>
      <c r="F1977" s="1" t="s">
        <v>6</v>
      </c>
      <c r="G1977" s="44">
        <f t="shared" si="60"/>
        <v>22</v>
      </c>
      <c r="H1977" s="10" t="str">
        <f t="shared" si="61"/>
        <v>Thursday</v>
      </c>
    </row>
    <row r="1978" spans="1:8">
      <c r="A1978" s="9">
        <v>215132378</v>
      </c>
      <c r="B1978" s="6">
        <v>45057</v>
      </c>
      <c r="C1978" s="6">
        <v>45082</v>
      </c>
      <c r="D1978" s="1" t="s">
        <v>7</v>
      </c>
      <c r="E1978" s="1">
        <v>39</v>
      </c>
      <c r="F1978" s="1" t="s">
        <v>6</v>
      </c>
      <c r="G1978" s="44">
        <f t="shared" si="60"/>
        <v>25</v>
      </c>
      <c r="H1978" s="10" t="str">
        <f t="shared" si="61"/>
        <v>Thursday</v>
      </c>
    </row>
    <row r="1979" spans="1:8">
      <c r="A1979" s="9">
        <v>206145911</v>
      </c>
      <c r="B1979" s="6">
        <v>45057</v>
      </c>
      <c r="C1979" s="6">
        <v>45057</v>
      </c>
      <c r="D1979" s="1" t="s">
        <v>7</v>
      </c>
      <c r="E1979" s="1">
        <v>39</v>
      </c>
      <c r="F1979" s="1" t="s">
        <v>6</v>
      </c>
      <c r="G1979" s="44">
        <f t="shared" si="60"/>
        <v>0</v>
      </c>
      <c r="H1979" s="10" t="str">
        <f t="shared" si="61"/>
        <v>Thursday</v>
      </c>
    </row>
    <row r="1980" spans="1:8">
      <c r="A1980" s="9">
        <v>215146368</v>
      </c>
      <c r="B1980" s="6">
        <v>45057</v>
      </c>
      <c r="C1980" s="6">
        <v>45065</v>
      </c>
      <c r="D1980" s="1" t="s">
        <v>7</v>
      </c>
      <c r="E1980" s="1">
        <v>39</v>
      </c>
      <c r="F1980" s="1" t="s">
        <v>6</v>
      </c>
      <c r="G1980" s="44">
        <f t="shared" si="60"/>
        <v>8</v>
      </c>
      <c r="H1980" s="10" t="str">
        <f t="shared" si="61"/>
        <v>Thursday</v>
      </c>
    </row>
    <row r="1981" spans="1:8">
      <c r="A1981" s="9">
        <v>133199506</v>
      </c>
      <c r="B1981" s="6">
        <v>45058</v>
      </c>
      <c r="C1981" s="1"/>
      <c r="D1981" s="1" t="s">
        <v>7</v>
      </c>
      <c r="E1981" s="1">
        <v>39</v>
      </c>
      <c r="F1981" s="1" t="s">
        <v>6</v>
      </c>
      <c r="G1981" s="44" t="str">
        <f t="shared" si="60"/>
        <v/>
      </c>
      <c r="H1981" s="10" t="str">
        <f t="shared" si="61"/>
        <v>Friday</v>
      </c>
    </row>
    <row r="1982" spans="1:8">
      <c r="A1982" s="9">
        <v>202763494</v>
      </c>
      <c r="B1982" s="6">
        <v>45058</v>
      </c>
      <c r="C1982" s="1"/>
      <c r="D1982" s="1" t="s">
        <v>7</v>
      </c>
      <c r="E1982" s="1">
        <v>39</v>
      </c>
      <c r="F1982" s="1" t="s">
        <v>6</v>
      </c>
      <c r="G1982" s="44" t="str">
        <f t="shared" si="60"/>
        <v/>
      </c>
      <c r="H1982" s="10" t="str">
        <f t="shared" si="61"/>
        <v>Friday</v>
      </c>
    </row>
    <row r="1983" spans="1:8">
      <c r="A1983" s="9">
        <v>215113205</v>
      </c>
      <c r="B1983" s="6">
        <v>45058</v>
      </c>
      <c r="C1983" s="1"/>
      <c r="D1983" s="1" t="s">
        <v>7</v>
      </c>
      <c r="E1983" s="1">
        <v>39</v>
      </c>
      <c r="F1983" s="1" t="s">
        <v>6</v>
      </c>
      <c r="G1983" s="44" t="str">
        <f t="shared" si="60"/>
        <v/>
      </c>
      <c r="H1983" s="10" t="str">
        <f t="shared" si="61"/>
        <v>Friday</v>
      </c>
    </row>
    <row r="1984" spans="1:8">
      <c r="A1984" s="9">
        <v>147097108</v>
      </c>
      <c r="B1984" s="6">
        <v>45058</v>
      </c>
      <c r="C1984" s="1"/>
      <c r="D1984" s="1" t="s">
        <v>7</v>
      </c>
      <c r="E1984" s="1">
        <v>39</v>
      </c>
      <c r="F1984" s="1" t="s">
        <v>6</v>
      </c>
      <c r="G1984" s="44" t="str">
        <f t="shared" si="60"/>
        <v/>
      </c>
      <c r="H1984" s="10" t="str">
        <f t="shared" si="61"/>
        <v>Friday</v>
      </c>
    </row>
    <row r="1985" spans="1:8">
      <c r="A1985" s="9">
        <v>186692270</v>
      </c>
      <c r="B1985" s="6">
        <v>45058</v>
      </c>
      <c r="C1985" s="1"/>
      <c r="D1985" s="1" t="s">
        <v>7</v>
      </c>
      <c r="E1985" s="1">
        <v>39</v>
      </c>
      <c r="F1985" s="1" t="s">
        <v>6</v>
      </c>
      <c r="G1985" s="44" t="str">
        <f t="shared" si="60"/>
        <v/>
      </c>
      <c r="H1985" s="10" t="str">
        <f t="shared" si="61"/>
        <v>Friday</v>
      </c>
    </row>
    <row r="1986" spans="1:8">
      <c r="A1986" s="9">
        <v>215169444</v>
      </c>
      <c r="B1986" s="6">
        <v>45058</v>
      </c>
      <c r="C1986" s="1"/>
      <c r="D1986" s="1" t="s">
        <v>7</v>
      </c>
      <c r="E1986" s="1">
        <v>39</v>
      </c>
      <c r="F1986" s="1" t="s">
        <v>6</v>
      </c>
      <c r="G1986" s="44" t="str">
        <f t="shared" si="60"/>
        <v/>
      </c>
      <c r="H1986" s="10" t="str">
        <f t="shared" si="61"/>
        <v>Friday</v>
      </c>
    </row>
    <row r="1987" spans="1:8">
      <c r="A1987" s="9">
        <v>114992353</v>
      </c>
      <c r="B1987" s="6">
        <v>45058</v>
      </c>
      <c r="C1987" s="6">
        <v>45152</v>
      </c>
      <c r="D1987" s="1" t="s">
        <v>7</v>
      </c>
      <c r="E1987" s="1">
        <v>39</v>
      </c>
      <c r="F1987" s="1" t="s">
        <v>6</v>
      </c>
      <c r="G1987" s="44">
        <f t="shared" ref="G1987:G2050" si="62">IF(C1987="", "", DATEDIF(B1987, C1987, "D"))</f>
        <v>94</v>
      </c>
      <c r="H1987" s="10" t="str">
        <f t="shared" ref="H1987:H2050" si="63">TEXT(B1987, "dddd")</f>
        <v>Friday</v>
      </c>
    </row>
    <row r="1988" spans="1:8">
      <c r="A1988" s="9">
        <v>212339137</v>
      </c>
      <c r="B1988" s="6">
        <v>45058</v>
      </c>
      <c r="C1988" s="6">
        <v>45059</v>
      </c>
      <c r="D1988" s="1" t="s">
        <v>7</v>
      </c>
      <c r="E1988" s="1">
        <v>39</v>
      </c>
      <c r="F1988" s="1" t="s">
        <v>6</v>
      </c>
      <c r="G1988" s="44">
        <f t="shared" si="62"/>
        <v>1</v>
      </c>
      <c r="H1988" s="10" t="str">
        <f t="shared" si="63"/>
        <v>Friday</v>
      </c>
    </row>
    <row r="1989" spans="1:8">
      <c r="A1989" s="9">
        <v>175564124</v>
      </c>
      <c r="B1989" s="6">
        <v>45058</v>
      </c>
      <c r="C1989" s="6">
        <v>45081</v>
      </c>
      <c r="D1989" s="1" t="s">
        <v>7</v>
      </c>
      <c r="E1989" s="1">
        <v>39</v>
      </c>
      <c r="F1989" s="1" t="s">
        <v>6</v>
      </c>
      <c r="G1989" s="44">
        <f t="shared" si="62"/>
        <v>23</v>
      </c>
      <c r="H1989" s="10" t="str">
        <f t="shared" si="63"/>
        <v>Friday</v>
      </c>
    </row>
    <row r="1990" spans="1:8">
      <c r="A1990" s="9">
        <v>174646950</v>
      </c>
      <c r="B1990" s="6">
        <v>45058</v>
      </c>
      <c r="C1990" s="6">
        <v>45096</v>
      </c>
      <c r="D1990" s="1" t="s">
        <v>7</v>
      </c>
      <c r="E1990" s="1">
        <v>39</v>
      </c>
      <c r="F1990" s="1" t="s">
        <v>6</v>
      </c>
      <c r="G1990" s="44">
        <f t="shared" si="62"/>
        <v>38</v>
      </c>
      <c r="H1990" s="10" t="str">
        <f t="shared" si="63"/>
        <v>Friday</v>
      </c>
    </row>
    <row r="1991" spans="1:8">
      <c r="A1991" s="9">
        <v>215075697</v>
      </c>
      <c r="B1991" s="6">
        <v>45058</v>
      </c>
      <c r="C1991" s="6">
        <v>45088</v>
      </c>
      <c r="D1991" s="1" t="s">
        <v>7</v>
      </c>
      <c r="E1991" s="1">
        <v>39</v>
      </c>
      <c r="F1991" s="1" t="s">
        <v>6</v>
      </c>
      <c r="G1991" s="44">
        <f t="shared" si="62"/>
        <v>30</v>
      </c>
      <c r="H1991" s="10" t="str">
        <f t="shared" si="63"/>
        <v>Friday</v>
      </c>
    </row>
    <row r="1992" spans="1:8">
      <c r="A1992" s="9">
        <v>215149530</v>
      </c>
      <c r="B1992" s="6">
        <v>45058</v>
      </c>
      <c r="C1992" s="6">
        <v>45107</v>
      </c>
      <c r="D1992" s="1" t="s">
        <v>7</v>
      </c>
      <c r="E1992" s="1">
        <v>39</v>
      </c>
      <c r="F1992" s="1" t="s">
        <v>6</v>
      </c>
      <c r="G1992" s="44">
        <f t="shared" si="62"/>
        <v>49</v>
      </c>
      <c r="H1992" s="10" t="str">
        <f t="shared" si="63"/>
        <v>Friday</v>
      </c>
    </row>
    <row r="1993" spans="1:8">
      <c r="A1993" s="9">
        <v>215226464</v>
      </c>
      <c r="B1993" s="6">
        <v>45059</v>
      </c>
      <c r="C1993" s="1"/>
      <c r="D1993" s="1" t="s">
        <v>7</v>
      </c>
      <c r="E1993" s="1">
        <v>39</v>
      </c>
      <c r="F1993" s="1" t="s">
        <v>6</v>
      </c>
      <c r="G1993" s="44" t="str">
        <f t="shared" si="62"/>
        <v/>
      </c>
      <c r="H1993" s="10" t="str">
        <f t="shared" si="63"/>
        <v>Saturday</v>
      </c>
    </row>
    <row r="1994" spans="1:8">
      <c r="A1994" s="9">
        <v>215221354</v>
      </c>
      <c r="B1994" s="6">
        <v>45059</v>
      </c>
      <c r="C1994" s="1"/>
      <c r="D1994" s="1" t="s">
        <v>7</v>
      </c>
      <c r="E1994" s="1">
        <v>39</v>
      </c>
      <c r="F1994" s="1" t="s">
        <v>6</v>
      </c>
      <c r="G1994" s="44" t="str">
        <f t="shared" si="62"/>
        <v/>
      </c>
      <c r="H1994" s="10" t="str">
        <f t="shared" si="63"/>
        <v>Saturday</v>
      </c>
    </row>
    <row r="1995" spans="1:8">
      <c r="A1995" s="9">
        <v>215031638</v>
      </c>
      <c r="B1995" s="6">
        <v>45059</v>
      </c>
      <c r="C1995" s="1"/>
      <c r="D1995" s="1" t="s">
        <v>7</v>
      </c>
      <c r="E1995" s="1">
        <v>39</v>
      </c>
      <c r="F1995" s="1" t="s">
        <v>6</v>
      </c>
      <c r="G1995" s="44" t="str">
        <f t="shared" si="62"/>
        <v/>
      </c>
      <c r="H1995" s="10" t="str">
        <f t="shared" si="63"/>
        <v>Saturday</v>
      </c>
    </row>
    <row r="1996" spans="1:8">
      <c r="A1996" s="9">
        <v>182019861</v>
      </c>
      <c r="B1996" s="6">
        <v>45060</v>
      </c>
      <c r="C1996" s="1"/>
      <c r="D1996" s="1" t="s">
        <v>7</v>
      </c>
      <c r="E1996" s="1">
        <v>39</v>
      </c>
      <c r="F1996" s="1" t="s">
        <v>6</v>
      </c>
      <c r="G1996" s="44" t="str">
        <f t="shared" si="62"/>
        <v/>
      </c>
      <c r="H1996" s="10" t="str">
        <f t="shared" si="63"/>
        <v>Sunday</v>
      </c>
    </row>
    <row r="1997" spans="1:8">
      <c r="A1997" s="9">
        <v>210072231</v>
      </c>
      <c r="B1997" s="6">
        <v>45060</v>
      </c>
      <c r="C1997" s="1"/>
      <c r="D1997" s="1" t="s">
        <v>7</v>
      </c>
      <c r="E1997" s="1">
        <v>39</v>
      </c>
      <c r="F1997" s="1" t="s">
        <v>6</v>
      </c>
      <c r="G1997" s="44" t="str">
        <f t="shared" si="62"/>
        <v/>
      </c>
      <c r="H1997" s="10" t="str">
        <f t="shared" si="63"/>
        <v>Sunday</v>
      </c>
    </row>
    <row r="1998" spans="1:8">
      <c r="A1998" s="9">
        <v>127328847</v>
      </c>
      <c r="B1998" s="6">
        <v>45060</v>
      </c>
      <c r="C1998" s="6">
        <v>45061</v>
      </c>
      <c r="D1998" s="1" t="s">
        <v>7</v>
      </c>
      <c r="E1998" s="1">
        <v>39</v>
      </c>
      <c r="F1998" s="1" t="s">
        <v>6</v>
      </c>
      <c r="G1998" s="44">
        <f t="shared" si="62"/>
        <v>1</v>
      </c>
      <c r="H1998" s="10" t="str">
        <f t="shared" si="63"/>
        <v>Sunday</v>
      </c>
    </row>
    <row r="1999" spans="1:8">
      <c r="A1999" s="9">
        <v>155566052</v>
      </c>
      <c r="B1999" s="6">
        <v>45060</v>
      </c>
      <c r="C1999" s="6">
        <v>45089</v>
      </c>
      <c r="D1999" s="1" t="s">
        <v>7</v>
      </c>
      <c r="E1999" s="1">
        <v>39</v>
      </c>
      <c r="F1999" s="1" t="s">
        <v>6</v>
      </c>
      <c r="G1999" s="44">
        <f t="shared" si="62"/>
        <v>29</v>
      </c>
      <c r="H1999" s="10" t="str">
        <f t="shared" si="63"/>
        <v>Sunday</v>
      </c>
    </row>
    <row r="2000" spans="1:8">
      <c r="A2000" s="9">
        <v>151513254</v>
      </c>
      <c r="B2000" s="6">
        <v>45060</v>
      </c>
      <c r="C2000" s="6">
        <v>45097</v>
      </c>
      <c r="D2000" s="1" t="s">
        <v>7</v>
      </c>
      <c r="E2000" s="1">
        <v>39</v>
      </c>
      <c r="F2000" s="1" t="s">
        <v>6</v>
      </c>
      <c r="G2000" s="44">
        <f t="shared" si="62"/>
        <v>37</v>
      </c>
      <c r="H2000" s="10" t="str">
        <f t="shared" si="63"/>
        <v>Sunday</v>
      </c>
    </row>
    <row r="2001" spans="1:8">
      <c r="A2001" s="9">
        <v>152236400</v>
      </c>
      <c r="B2001" s="6">
        <v>45060</v>
      </c>
      <c r="C2001" s="6">
        <v>45113</v>
      </c>
      <c r="D2001" s="1" t="s">
        <v>7</v>
      </c>
      <c r="E2001" s="1">
        <v>39</v>
      </c>
      <c r="F2001" s="1" t="s">
        <v>6</v>
      </c>
      <c r="G2001" s="44">
        <f t="shared" si="62"/>
        <v>53</v>
      </c>
      <c r="H2001" s="10" t="str">
        <f t="shared" si="63"/>
        <v>Sunday</v>
      </c>
    </row>
    <row r="2002" spans="1:8">
      <c r="A2002" s="9">
        <v>215030324</v>
      </c>
      <c r="B2002" s="6">
        <v>45060</v>
      </c>
      <c r="C2002" s="6">
        <v>45152</v>
      </c>
      <c r="D2002" s="1" t="s">
        <v>7</v>
      </c>
      <c r="E2002" s="1">
        <v>39</v>
      </c>
      <c r="F2002" s="1" t="s">
        <v>6</v>
      </c>
      <c r="G2002" s="44">
        <f t="shared" si="62"/>
        <v>92</v>
      </c>
      <c r="H2002" s="10" t="str">
        <f t="shared" si="63"/>
        <v>Sunday</v>
      </c>
    </row>
    <row r="2003" spans="1:8">
      <c r="A2003" s="9">
        <v>206087650</v>
      </c>
      <c r="B2003" s="6">
        <v>45060</v>
      </c>
      <c r="C2003" s="6">
        <v>45128</v>
      </c>
      <c r="D2003" s="1" t="s">
        <v>7</v>
      </c>
      <c r="E2003" s="1">
        <v>39</v>
      </c>
      <c r="F2003" s="1" t="s">
        <v>6</v>
      </c>
      <c r="G2003" s="44">
        <f t="shared" si="62"/>
        <v>68</v>
      </c>
      <c r="H2003" s="10" t="str">
        <f t="shared" si="63"/>
        <v>Sunday</v>
      </c>
    </row>
    <row r="2004" spans="1:8">
      <c r="A2004" s="9">
        <v>136252657</v>
      </c>
      <c r="B2004" s="6">
        <v>45061</v>
      </c>
      <c r="C2004" s="6">
        <v>45112</v>
      </c>
      <c r="D2004" s="1" t="s">
        <v>7</v>
      </c>
      <c r="E2004" s="1">
        <v>39</v>
      </c>
      <c r="F2004" s="1" t="s">
        <v>6</v>
      </c>
      <c r="G2004" s="44">
        <f t="shared" si="62"/>
        <v>51</v>
      </c>
      <c r="H2004" s="10" t="str">
        <f t="shared" si="63"/>
        <v>Monday</v>
      </c>
    </row>
    <row r="2005" spans="1:8">
      <c r="A2005" s="9">
        <v>134753801</v>
      </c>
      <c r="B2005" s="6">
        <v>45061</v>
      </c>
      <c r="C2005" s="6">
        <v>45119</v>
      </c>
      <c r="D2005" s="1" t="s">
        <v>7</v>
      </c>
      <c r="E2005" s="1">
        <v>39</v>
      </c>
      <c r="F2005" s="1" t="s">
        <v>6</v>
      </c>
      <c r="G2005" s="44">
        <f t="shared" si="62"/>
        <v>58</v>
      </c>
      <c r="H2005" s="10" t="str">
        <f t="shared" si="63"/>
        <v>Monday</v>
      </c>
    </row>
    <row r="2006" spans="1:8">
      <c r="A2006" s="9">
        <v>155245092</v>
      </c>
      <c r="B2006" s="6">
        <v>45061</v>
      </c>
      <c r="C2006" s="6">
        <v>45093</v>
      </c>
      <c r="D2006" s="1" t="s">
        <v>7</v>
      </c>
      <c r="E2006" s="1">
        <v>39</v>
      </c>
      <c r="F2006" s="1" t="s">
        <v>6</v>
      </c>
      <c r="G2006" s="44">
        <f t="shared" si="62"/>
        <v>32</v>
      </c>
      <c r="H2006" s="10" t="str">
        <f t="shared" si="63"/>
        <v>Monday</v>
      </c>
    </row>
    <row r="2007" spans="1:8">
      <c r="A2007" s="9">
        <v>214905500</v>
      </c>
      <c r="B2007" s="6">
        <v>45061</v>
      </c>
      <c r="C2007" s="6">
        <v>45160</v>
      </c>
      <c r="D2007" s="1" t="s">
        <v>7</v>
      </c>
      <c r="E2007" s="1">
        <v>39</v>
      </c>
      <c r="F2007" s="1" t="s">
        <v>6</v>
      </c>
      <c r="G2007" s="44">
        <f t="shared" si="62"/>
        <v>99</v>
      </c>
      <c r="H2007" s="10" t="str">
        <f t="shared" si="63"/>
        <v>Monday</v>
      </c>
    </row>
    <row r="2008" spans="1:8">
      <c r="A2008" s="9">
        <v>215152504</v>
      </c>
      <c r="B2008" s="6">
        <v>45062</v>
      </c>
      <c r="C2008" s="1"/>
      <c r="D2008" s="1" t="s">
        <v>7</v>
      </c>
      <c r="E2008" s="1">
        <v>39</v>
      </c>
      <c r="F2008" s="1" t="s">
        <v>6</v>
      </c>
      <c r="G2008" s="44" t="str">
        <f t="shared" si="62"/>
        <v/>
      </c>
      <c r="H2008" s="10" t="str">
        <f t="shared" si="63"/>
        <v>Tuesday</v>
      </c>
    </row>
    <row r="2009" spans="1:8">
      <c r="A2009" s="9">
        <v>215336639</v>
      </c>
      <c r="B2009" s="6">
        <v>45062</v>
      </c>
      <c r="C2009" s="1"/>
      <c r="D2009" s="1" t="s">
        <v>7</v>
      </c>
      <c r="E2009" s="1">
        <v>39</v>
      </c>
      <c r="F2009" s="1" t="s">
        <v>6</v>
      </c>
      <c r="G2009" s="44" t="str">
        <f t="shared" si="62"/>
        <v/>
      </c>
      <c r="H2009" s="10" t="str">
        <f t="shared" si="63"/>
        <v>Tuesday</v>
      </c>
    </row>
    <row r="2010" spans="1:8">
      <c r="A2010" s="9">
        <v>215220026</v>
      </c>
      <c r="B2010" s="6">
        <v>45062</v>
      </c>
      <c r="C2010" s="1"/>
      <c r="D2010" s="1" t="s">
        <v>7</v>
      </c>
      <c r="E2010" s="1">
        <v>39</v>
      </c>
      <c r="F2010" s="1" t="s">
        <v>6</v>
      </c>
      <c r="G2010" s="44" t="str">
        <f t="shared" si="62"/>
        <v/>
      </c>
      <c r="H2010" s="10" t="str">
        <f t="shared" si="63"/>
        <v>Tuesday</v>
      </c>
    </row>
    <row r="2011" spans="1:8">
      <c r="A2011" s="9">
        <v>202395800</v>
      </c>
      <c r="B2011" s="6">
        <v>45062</v>
      </c>
      <c r="C2011" s="1"/>
      <c r="D2011" s="1" t="s">
        <v>7</v>
      </c>
      <c r="E2011" s="1">
        <v>39</v>
      </c>
      <c r="F2011" s="1" t="s">
        <v>6</v>
      </c>
      <c r="G2011" s="44" t="str">
        <f t="shared" si="62"/>
        <v/>
      </c>
      <c r="H2011" s="10" t="str">
        <f t="shared" si="63"/>
        <v>Tuesday</v>
      </c>
    </row>
    <row r="2012" spans="1:8">
      <c r="A2012" s="9">
        <v>215289431</v>
      </c>
      <c r="B2012" s="6">
        <v>45062</v>
      </c>
      <c r="C2012" s="6">
        <v>45160</v>
      </c>
      <c r="D2012" s="1" t="s">
        <v>7</v>
      </c>
      <c r="E2012" s="1">
        <v>39</v>
      </c>
      <c r="F2012" s="1" t="s">
        <v>6</v>
      </c>
      <c r="G2012" s="44">
        <f t="shared" si="62"/>
        <v>98</v>
      </c>
      <c r="H2012" s="10" t="str">
        <f t="shared" si="63"/>
        <v>Tuesday</v>
      </c>
    </row>
    <row r="2013" spans="1:8">
      <c r="A2013" s="9">
        <v>182102820</v>
      </c>
      <c r="B2013" s="6">
        <v>45062</v>
      </c>
      <c r="C2013" s="6">
        <v>45063</v>
      </c>
      <c r="D2013" s="1" t="s">
        <v>7</v>
      </c>
      <c r="E2013" s="1">
        <v>39</v>
      </c>
      <c r="F2013" s="1" t="s">
        <v>6</v>
      </c>
      <c r="G2013" s="44">
        <f t="shared" si="62"/>
        <v>1</v>
      </c>
      <c r="H2013" s="10" t="str">
        <f t="shared" si="63"/>
        <v>Tuesday</v>
      </c>
    </row>
    <row r="2014" spans="1:8">
      <c r="A2014" s="9">
        <v>215322558</v>
      </c>
      <c r="B2014" s="6">
        <v>45062</v>
      </c>
      <c r="C2014" s="6">
        <v>45100</v>
      </c>
      <c r="D2014" s="1" t="s">
        <v>7</v>
      </c>
      <c r="E2014" s="1">
        <v>39</v>
      </c>
      <c r="F2014" s="1" t="s">
        <v>6</v>
      </c>
      <c r="G2014" s="44">
        <f t="shared" si="62"/>
        <v>38</v>
      </c>
      <c r="H2014" s="10" t="str">
        <f t="shared" si="63"/>
        <v>Tuesday</v>
      </c>
    </row>
    <row r="2015" spans="1:8">
      <c r="A2015" s="9">
        <v>215347417</v>
      </c>
      <c r="B2015" s="6">
        <v>45062</v>
      </c>
      <c r="C2015" s="6">
        <v>45071</v>
      </c>
      <c r="D2015" s="1" t="s">
        <v>7</v>
      </c>
      <c r="E2015" s="1">
        <v>39</v>
      </c>
      <c r="F2015" s="1" t="s">
        <v>6</v>
      </c>
      <c r="G2015" s="44">
        <f t="shared" si="62"/>
        <v>9</v>
      </c>
      <c r="H2015" s="10" t="str">
        <f t="shared" si="63"/>
        <v>Tuesday</v>
      </c>
    </row>
    <row r="2016" spans="1:8">
      <c r="A2016" s="9">
        <v>215203944</v>
      </c>
      <c r="B2016" s="6">
        <v>45062</v>
      </c>
      <c r="C2016" s="6">
        <v>45118</v>
      </c>
      <c r="D2016" s="1" t="s">
        <v>7</v>
      </c>
      <c r="E2016" s="1">
        <v>39</v>
      </c>
      <c r="F2016" s="1" t="s">
        <v>6</v>
      </c>
      <c r="G2016" s="44">
        <f t="shared" si="62"/>
        <v>56</v>
      </c>
      <c r="H2016" s="10" t="str">
        <f t="shared" si="63"/>
        <v>Tuesday</v>
      </c>
    </row>
    <row r="2017" spans="1:8">
      <c r="A2017" s="9">
        <v>215350747</v>
      </c>
      <c r="B2017" s="6">
        <v>45062</v>
      </c>
      <c r="C2017" s="6">
        <v>45141</v>
      </c>
      <c r="D2017" s="1" t="s">
        <v>7</v>
      </c>
      <c r="E2017" s="1">
        <v>39</v>
      </c>
      <c r="F2017" s="1" t="s">
        <v>6</v>
      </c>
      <c r="G2017" s="44">
        <f t="shared" si="62"/>
        <v>79</v>
      </c>
      <c r="H2017" s="10" t="str">
        <f t="shared" si="63"/>
        <v>Tuesday</v>
      </c>
    </row>
    <row r="2018" spans="1:8">
      <c r="A2018" s="9">
        <v>215254830</v>
      </c>
      <c r="B2018" s="6">
        <v>45062</v>
      </c>
      <c r="C2018" s="6">
        <v>45140</v>
      </c>
      <c r="D2018" s="1" t="s">
        <v>7</v>
      </c>
      <c r="E2018" s="1">
        <v>39</v>
      </c>
      <c r="F2018" s="1" t="s">
        <v>6</v>
      </c>
      <c r="G2018" s="44">
        <f t="shared" si="62"/>
        <v>78</v>
      </c>
      <c r="H2018" s="10" t="str">
        <f t="shared" si="63"/>
        <v>Tuesday</v>
      </c>
    </row>
    <row r="2019" spans="1:8">
      <c r="A2019" s="9">
        <v>192908537</v>
      </c>
      <c r="B2019" s="6">
        <v>45062</v>
      </c>
      <c r="C2019" s="6">
        <v>45093</v>
      </c>
      <c r="D2019" s="1" t="s">
        <v>7</v>
      </c>
      <c r="E2019" s="1">
        <v>39</v>
      </c>
      <c r="F2019" s="1" t="s">
        <v>6</v>
      </c>
      <c r="G2019" s="44">
        <f t="shared" si="62"/>
        <v>31</v>
      </c>
      <c r="H2019" s="10" t="str">
        <f t="shared" si="63"/>
        <v>Tuesday</v>
      </c>
    </row>
    <row r="2020" spans="1:8">
      <c r="A2020" s="9">
        <v>123007965</v>
      </c>
      <c r="B2020" s="6">
        <v>45063</v>
      </c>
      <c r="C2020" s="1"/>
      <c r="D2020" s="1" t="s">
        <v>7</v>
      </c>
      <c r="E2020" s="1">
        <v>39</v>
      </c>
      <c r="F2020" s="1" t="s">
        <v>6</v>
      </c>
      <c r="G2020" s="44" t="str">
        <f t="shared" si="62"/>
        <v/>
      </c>
      <c r="H2020" s="10" t="str">
        <f t="shared" si="63"/>
        <v>Wednesday</v>
      </c>
    </row>
    <row r="2021" spans="1:8">
      <c r="A2021" s="9">
        <v>151711223</v>
      </c>
      <c r="B2021" s="6">
        <v>45063</v>
      </c>
      <c r="C2021" s="1"/>
      <c r="D2021" s="1" t="s">
        <v>7</v>
      </c>
      <c r="E2021" s="1">
        <v>39</v>
      </c>
      <c r="F2021" s="1" t="s">
        <v>6</v>
      </c>
      <c r="G2021" s="44" t="str">
        <f t="shared" si="62"/>
        <v/>
      </c>
      <c r="H2021" s="10" t="str">
        <f t="shared" si="63"/>
        <v>Wednesday</v>
      </c>
    </row>
    <row r="2022" spans="1:8">
      <c r="A2022" s="9">
        <v>130751382</v>
      </c>
      <c r="B2022" s="6">
        <v>45063</v>
      </c>
      <c r="C2022" s="1"/>
      <c r="D2022" s="1" t="s">
        <v>7</v>
      </c>
      <c r="E2022" s="1">
        <v>39</v>
      </c>
      <c r="F2022" s="1" t="s">
        <v>6</v>
      </c>
      <c r="G2022" s="44" t="str">
        <f t="shared" si="62"/>
        <v/>
      </c>
      <c r="H2022" s="10" t="str">
        <f t="shared" si="63"/>
        <v>Wednesday</v>
      </c>
    </row>
    <row r="2023" spans="1:8">
      <c r="A2023" s="9">
        <v>126037254</v>
      </c>
      <c r="B2023" s="6">
        <v>45063</v>
      </c>
      <c r="C2023" s="1"/>
      <c r="D2023" s="1" t="s">
        <v>7</v>
      </c>
      <c r="E2023" s="1">
        <v>39</v>
      </c>
      <c r="F2023" s="1" t="s">
        <v>6</v>
      </c>
      <c r="G2023" s="44" t="str">
        <f t="shared" si="62"/>
        <v/>
      </c>
      <c r="H2023" s="10" t="str">
        <f t="shared" si="63"/>
        <v>Wednesday</v>
      </c>
    </row>
    <row r="2024" spans="1:8">
      <c r="A2024" s="9">
        <v>133469770</v>
      </c>
      <c r="B2024" s="6">
        <v>45063</v>
      </c>
      <c r="C2024" s="1"/>
      <c r="D2024" s="1" t="s">
        <v>7</v>
      </c>
      <c r="E2024" s="1">
        <v>39</v>
      </c>
      <c r="F2024" s="1" t="s">
        <v>6</v>
      </c>
      <c r="G2024" s="44" t="str">
        <f t="shared" si="62"/>
        <v/>
      </c>
      <c r="H2024" s="10" t="str">
        <f t="shared" si="63"/>
        <v>Wednesday</v>
      </c>
    </row>
    <row r="2025" spans="1:8">
      <c r="A2025" s="9">
        <v>133565657</v>
      </c>
      <c r="B2025" s="6">
        <v>45063</v>
      </c>
      <c r="C2025" s="6">
        <v>45148</v>
      </c>
      <c r="D2025" s="1" t="s">
        <v>7</v>
      </c>
      <c r="E2025" s="1">
        <v>39</v>
      </c>
      <c r="F2025" s="1" t="s">
        <v>6</v>
      </c>
      <c r="G2025" s="44">
        <f t="shared" si="62"/>
        <v>85</v>
      </c>
      <c r="H2025" s="10" t="str">
        <f t="shared" si="63"/>
        <v>Wednesday</v>
      </c>
    </row>
    <row r="2026" spans="1:8">
      <c r="A2026" s="9">
        <v>215307979</v>
      </c>
      <c r="B2026" s="6">
        <v>45063</v>
      </c>
      <c r="C2026" s="6">
        <v>45101</v>
      </c>
      <c r="D2026" s="1" t="s">
        <v>7</v>
      </c>
      <c r="E2026" s="1">
        <v>39</v>
      </c>
      <c r="F2026" s="1" t="s">
        <v>6</v>
      </c>
      <c r="G2026" s="44">
        <f t="shared" si="62"/>
        <v>38</v>
      </c>
      <c r="H2026" s="10" t="str">
        <f t="shared" si="63"/>
        <v>Wednesday</v>
      </c>
    </row>
    <row r="2027" spans="1:8">
      <c r="A2027" s="9">
        <v>174289942</v>
      </c>
      <c r="B2027" s="6">
        <v>45063</v>
      </c>
      <c r="C2027" s="6">
        <v>45128</v>
      </c>
      <c r="D2027" s="1" t="s">
        <v>7</v>
      </c>
      <c r="E2027" s="1">
        <v>39</v>
      </c>
      <c r="F2027" s="1" t="s">
        <v>6</v>
      </c>
      <c r="G2027" s="44">
        <f t="shared" si="62"/>
        <v>65</v>
      </c>
      <c r="H2027" s="10" t="str">
        <f t="shared" si="63"/>
        <v>Wednesday</v>
      </c>
    </row>
    <row r="2028" spans="1:8">
      <c r="A2028" s="9">
        <v>215366550</v>
      </c>
      <c r="B2028" s="6">
        <v>45063</v>
      </c>
      <c r="C2028" s="6">
        <v>45139</v>
      </c>
      <c r="D2028" s="1" t="s">
        <v>7</v>
      </c>
      <c r="E2028" s="1">
        <v>39</v>
      </c>
      <c r="F2028" s="1" t="s">
        <v>6</v>
      </c>
      <c r="G2028" s="44">
        <f t="shared" si="62"/>
        <v>76</v>
      </c>
      <c r="H2028" s="10" t="str">
        <f t="shared" si="63"/>
        <v>Wednesday</v>
      </c>
    </row>
    <row r="2029" spans="1:8">
      <c r="A2029" s="9">
        <v>210361390</v>
      </c>
      <c r="B2029" s="6">
        <v>45064</v>
      </c>
      <c r="C2029" s="1"/>
      <c r="D2029" s="1" t="s">
        <v>7</v>
      </c>
      <c r="E2029" s="1">
        <v>39</v>
      </c>
      <c r="F2029" s="1" t="s">
        <v>6</v>
      </c>
      <c r="G2029" s="44" t="str">
        <f t="shared" si="62"/>
        <v/>
      </c>
      <c r="H2029" s="10" t="str">
        <f t="shared" si="63"/>
        <v>Thursday</v>
      </c>
    </row>
    <row r="2030" spans="1:8">
      <c r="A2030" s="9">
        <v>120738319</v>
      </c>
      <c r="B2030" s="6">
        <v>45064</v>
      </c>
      <c r="C2030" s="1"/>
      <c r="D2030" s="1" t="s">
        <v>7</v>
      </c>
      <c r="E2030" s="1">
        <v>39</v>
      </c>
      <c r="F2030" s="1" t="s">
        <v>6</v>
      </c>
      <c r="G2030" s="44" t="str">
        <f t="shared" si="62"/>
        <v/>
      </c>
      <c r="H2030" s="10" t="str">
        <f t="shared" si="63"/>
        <v>Thursday</v>
      </c>
    </row>
    <row r="2031" spans="1:8">
      <c r="A2031" s="9">
        <v>214122861</v>
      </c>
      <c r="B2031" s="6">
        <v>45064</v>
      </c>
      <c r="C2031" s="1"/>
      <c r="D2031" s="1" t="s">
        <v>7</v>
      </c>
      <c r="E2031" s="1">
        <v>39</v>
      </c>
      <c r="F2031" s="1" t="s">
        <v>6</v>
      </c>
      <c r="G2031" s="44" t="str">
        <f t="shared" si="62"/>
        <v/>
      </c>
      <c r="H2031" s="10" t="str">
        <f t="shared" si="63"/>
        <v>Thursday</v>
      </c>
    </row>
    <row r="2032" spans="1:8">
      <c r="A2032" s="9">
        <v>214793162</v>
      </c>
      <c r="B2032" s="6">
        <v>45064</v>
      </c>
      <c r="C2032" s="1"/>
      <c r="D2032" s="1" t="s">
        <v>7</v>
      </c>
      <c r="E2032" s="1">
        <v>39</v>
      </c>
      <c r="F2032" s="1" t="s">
        <v>6</v>
      </c>
      <c r="G2032" s="44" t="str">
        <f t="shared" si="62"/>
        <v/>
      </c>
      <c r="H2032" s="10" t="str">
        <f t="shared" si="63"/>
        <v>Thursday</v>
      </c>
    </row>
    <row r="2033" spans="1:8">
      <c r="A2033" s="9">
        <v>215420480</v>
      </c>
      <c r="B2033" s="6">
        <v>45064</v>
      </c>
      <c r="C2033" s="6">
        <v>45175</v>
      </c>
      <c r="D2033" s="1" t="s">
        <v>7</v>
      </c>
      <c r="E2033" s="1">
        <v>39</v>
      </c>
      <c r="F2033" s="1" t="s">
        <v>6</v>
      </c>
      <c r="G2033" s="44">
        <f t="shared" si="62"/>
        <v>111</v>
      </c>
      <c r="H2033" s="10" t="str">
        <f t="shared" si="63"/>
        <v>Thursday</v>
      </c>
    </row>
    <row r="2034" spans="1:8">
      <c r="A2034" s="9">
        <v>215415792</v>
      </c>
      <c r="B2034" s="6">
        <v>45064</v>
      </c>
      <c r="C2034" s="6">
        <v>45065</v>
      </c>
      <c r="D2034" s="1" t="s">
        <v>8</v>
      </c>
      <c r="E2034" s="1">
        <v>39</v>
      </c>
      <c r="F2034" s="1" t="s">
        <v>6</v>
      </c>
      <c r="G2034" s="44">
        <f t="shared" si="62"/>
        <v>1</v>
      </c>
      <c r="H2034" s="10" t="str">
        <f t="shared" si="63"/>
        <v>Thursday</v>
      </c>
    </row>
    <row r="2035" spans="1:8">
      <c r="A2035" s="9">
        <v>152705871</v>
      </c>
      <c r="B2035" s="6">
        <v>45064</v>
      </c>
      <c r="C2035" s="6">
        <v>45071</v>
      </c>
      <c r="D2035" s="1" t="s">
        <v>7</v>
      </c>
      <c r="E2035" s="1">
        <v>39</v>
      </c>
      <c r="F2035" s="1" t="s">
        <v>6</v>
      </c>
      <c r="G2035" s="44">
        <f t="shared" si="62"/>
        <v>7</v>
      </c>
      <c r="H2035" s="10" t="str">
        <f t="shared" si="63"/>
        <v>Thursday</v>
      </c>
    </row>
    <row r="2036" spans="1:8">
      <c r="A2036" s="9">
        <v>168265029</v>
      </c>
      <c r="B2036" s="6">
        <v>45064</v>
      </c>
      <c r="C2036" s="6">
        <v>45077</v>
      </c>
      <c r="D2036" s="1" t="s">
        <v>7</v>
      </c>
      <c r="E2036" s="1">
        <v>39</v>
      </c>
      <c r="F2036" s="1" t="s">
        <v>6</v>
      </c>
      <c r="G2036" s="44">
        <f t="shared" si="62"/>
        <v>13</v>
      </c>
      <c r="H2036" s="10" t="str">
        <f t="shared" si="63"/>
        <v>Thursday</v>
      </c>
    </row>
    <row r="2037" spans="1:8">
      <c r="A2037" s="9">
        <v>215428908</v>
      </c>
      <c r="B2037" s="6">
        <v>45064</v>
      </c>
      <c r="C2037" s="6">
        <v>45096</v>
      </c>
      <c r="D2037" s="1" t="s">
        <v>7</v>
      </c>
      <c r="E2037" s="1">
        <v>39</v>
      </c>
      <c r="F2037" s="1" t="s">
        <v>6</v>
      </c>
      <c r="G2037" s="44">
        <f t="shared" si="62"/>
        <v>32</v>
      </c>
      <c r="H2037" s="10" t="str">
        <f t="shared" si="63"/>
        <v>Thursday</v>
      </c>
    </row>
    <row r="2038" spans="1:8">
      <c r="A2038" s="9">
        <v>215189952</v>
      </c>
      <c r="B2038" s="6">
        <v>45064</v>
      </c>
      <c r="C2038" s="6">
        <v>45106</v>
      </c>
      <c r="D2038" s="1" t="s">
        <v>7</v>
      </c>
      <c r="E2038" s="1">
        <v>39</v>
      </c>
      <c r="F2038" s="1" t="s">
        <v>6</v>
      </c>
      <c r="G2038" s="44">
        <f t="shared" si="62"/>
        <v>42</v>
      </c>
      <c r="H2038" s="10" t="str">
        <f t="shared" si="63"/>
        <v>Thursday</v>
      </c>
    </row>
    <row r="2039" spans="1:8">
      <c r="A2039" s="9">
        <v>208168256</v>
      </c>
      <c r="B2039" s="6">
        <v>45064</v>
      </c>
      <c r="C2039" s="6">
        <v>45095</v>
      </c>
      <c r="D2039" s="1" t="s">
        <v>7</v>
      </c>
      <c r="E2039" s="1">
        <v>39</v>
      </c>
      <c r="F2039" s="1" t="s">
        <v>6</v>
      </c>
      <c r="G2039" s="44">
        <f t="shared" si="62"/>
        <v>31</v>
      </c>
      <c r="H2039" s="10" t="str">
        <f t="shared" si="63"/>
        <v>Thursday</v>
      </c>
    </row>
    <row r="2040" spans="1:8">
      <c r="A2040" s="9">
        <v>163193072</v>
      </c>
      <c r="B2040" s="6">
        <v>45065</v>
      </c>
      <c r="C2040" s="1"/>
      <c r="D2040" s="1" t="s">
        <v>7</v>
      </c>
      <c r="E2040" s="1">
        <v>39</v>
      </c>
      <c r="F2040" s="1" t="s">
        <v>6</v>
      </c>
      <c r="G2040" s="44" t="str">
        <f t="shared" si="62"/>
        <v/>
      </c>
      <c r="H2040" s="10" t="str">
        <f t="shared" si="63"/>
        <v>Friday</v>
      </c>
    </row>
    <row r="2041" spans="1:8">
      <c r="A2041" s="9">
        <v>153449481</v>
      </c>
      <c r="B2041" s="6">
        <v>45065</v>
      </c>
      <c r="C2041" s="6">
        <v>45066</v>
      </c>
      <c r="D2041" s="1" t="s">
        <v>7</v>
      </c>
      <c r="E2041" s="1">
        <v>39</v>
      </c>
      <c r="F2041" s="1" t="s">
        <v>6</v>
      </c>
      <c r="G2041" s="44">
        <f t="shared" si="62"/>
        <v>1</v>
      </c>
      <c r="H2041" s="10" t="str">
        <f t="shared" si="63"/>
        <v>Friday</v>
      </c>
    </row>
    <row r="2042" spans="1:8">
      <c r="A2042" s="9">
        <v>215384745</v>
      </c>
      <c r="B2042" s="6">
        <v>45065</v>
      </c>
      <c r="C2042" s="6">
        <v>45095</v>
      </c>
      <c r="D2042" s="1" t="s">
        <v>7</v>
      </c>
      <c r="E2042" s="1">
        <v>39</v>
      </c>
      <c r="F2042" s="1" t="s">
        <v>6</v>
      </c>
      <c r="G2042" s="44">
        <f t="shared" si="62"/>
        <v>30</v>
      </c>
      <c r="H2042" s="10" t="str">
        <f t="shared" si="63"/>
        <v>Friday</v>
      </c>
    </row>
    <row r="2043" spans="1:8">
      <c r="A2043" s="9">
        <v>160904253</v>
      </c>
      <c r="B2043" s="6">
        <v>45065</v>
      </c>
      <c r="C2043" s="6">
        <v>45103</v>
      </c>
      <c r="D2043" s="1" t="s">
        <v>7</v>
      </c>
      <c r="E2043" s="1">
        <v>39</v>
      </c>
      <c r="F2043" s="1" t="s">
        <v>6</v>
      </c>
      <c r="G2043" s="44">
        <f t="shared" si="62"/>
        <v>38</v>
      </c>
      <c r="H2043" s="10" t="str">
        <f t="shared" si="63"/>
        <v>Friday</v>
      </c>
    </row>
    <row r="2044" spans="1:8">
      <c r="A2044" s="9">
        <v>215476119</v>
      </c>
      <c r="B2044" s="6">
        <v>45065</v>
      </c>
      <c r="C2044" s="6">
        <v>45103</v>
      </c>
      <c r="D2044" s="1" t="s">
        <v>7</v>
      </c>
      <c r="E2044" s="1">
        <v>39</v>
      </c>
      <c r="F2044" s="1" t="s">
        <v>6</v>
      </c>
      <c r="G2044" s="44">
        <f t="shared" si="62"/>
        <v>38</v>
      </c>
      <c r="H2044" s="10" t="str">
        <f t="shared" si="63"/>
        <v>Friday</v>
      </c>
    </row>
    <row r="2045" spans="1:8">
      <c r="A2045" s="9">
        <v>214624328</v>
      </c>
      <c r="B2045" s="6">
        <v>45065</v>
      </c>
      <c r="C2045" s="6">
        <v>45091</v>
      </c>
      <c r="D2045" s="1" t="s">
        <v>7</v>
      </c>
      <c r="E2045" s="1">
        <v>39</v>
      </c>
      <c r="F2045" s="1" t="s">
        <v>6</v>
      </c>
      <c r="G2045" s="44">
        <f t="shared" si="62"/>
        <v>26</v>
      </c>
      <c r="H2045" s="10" t="str">
        <f t="shared" si="63"/>
        <v>Friday</v>
      </c>
    </row>
    <row r="2046" spans="1:8">
      <c r="A2046" s="9">
        <v>215463105</v>
      </c>
      <c r="B2046" s="6">
        <v>45065</v>
      </c>
      <c r="C2046" s="6">
        <v>45073</v>
      </c>
      <c r="D2046" s="1" t="s">
        <v>7</v>
      </c>
      <c r="E2046" s="1">
        <v>39</v>
      </c>
      <c r="F2046" s="1" t="s">
        <v>6</v>
      </c>
      <c r="G2046" s="44">
        <f t="shared" si="62"/>
        <v>8</v>
      </c>
      <c r="H2046" s="10" t="str">
        <f t="shared" si="63"/>
        <v>Friday</v>
      </c>
    </row>
    <row r="2047" spans="1:8">
      <c r="A2047" s="9">
        <v>187368519</v>
      </c>
      <c r="B2047" s="6">
        <v>45065</v>
      </c>
      <c r="C2047" s="6">
        <v>45164</v>
      </c>
      <c r="D2047" s="1" t="s">
        <v>7</v>
      </c>
      <c r="E2047" s="1">
        <v>39</v>
      </c>
      <c r="F2047" s="1" t="s">
        <v>6</v>
      </c>
      <c r="G2047" s="44">
        <f t="shared" si="62"/>
        <v>99</v>
      </c>
      <c r="H2047" s="10" t="str">
        <f t="shared" si="63"/>
        <v>Friday</v>
      </c>
    </row>
    <row r="2048" spans="1:8">
      <c r="A2048" s="9">
        <v>206139986</v>
      </c>
      <c r="B2048" s="6">
        <v>45065</v>
      </c>
      <c r="C2048" s="6">
        <v>45125</v>
      </c>
      <c r="D2048" s="1" t="s">
        <v>7</v>
      </c>
      <c r="E2048" s="1">
        <v>39</v>
      </c>
      <c r="F2048" s="1" t="s">
        <v>6</v>
      </c>
      <c r="G2048" s="44">
        <f t="shared" si="62"/>
        <v>60</v>
      </c>
      <c r="H2048" s="10" t="str">
        <f t="shared" si="63"/>
        <v>Friday</v>
      </c>
    </row>
    <row r="2049" spans="1:8">
      <c r="A2049" s="9">
        <v>215473481</v>
      </c>
      <c r="B2049" s="6">
        <v>45065</v>
      </c>
      <c r="C2049" s="6">
        <v>45121</v>
      </c>
      <c r="D2049" s="1" t="s">
        <v>7</v>
      </c>
      <c r="E2049" s="1">
        <v>39</v>
      </c>
      <c r="F2049" s="1" t="s">
        <v>6</v>
      </c>
      <c r="G2049" s="44">
        <f t="shared" si="62"/>
        <v>56</v>
      </c>
      <c r="H2049" s="10" t="str">
        <f t="shared" si="63"/>
        <v>Friday</v>
      </c>
    </row>
    <row r="2050" spans="1:8">
      <c r="A2050" s="9">
        <v>214967111</v>
      </c>
      <c r="B2050" s="6">
        <v>45066</v>
      </c>
      <c r="C2050" s="1"/>
      <c r="D2050" s="1" t="s">
        <v>7</v>
      </c>
      <c r="E2050" s="1">
        <v>39</v>
      </c>
      <c r="F2050" s="1" t="s">
        <v>6</v>
      </c>
      <c r="G2050" s="44" t="str">
        <f t="shared" si="62"/>
        <v/>
      </c>
      <c r="H2050" s="10" t="str">
        <f t="shared" si="63"/>
        <v>Saturday</v>
      </c>
    </row>
    <row r="2051" spans="1:8">
      <c r="A2051" s="9">
        <v>215472324</v>
      </c>
      <c r="B2051" s="6">
        <v>45066</v>
      </c>
      <c r="C2051" s="6">
        <v>45104</v>
      </c>
      <c r="D2051" s="1" t="s">
        <v>7</v>
      </c>
      <c r="E2051" s="1">
        <v>39</v>
      </c>
      <c r="F2051" s="1" t="s">
        <v>6</v>
      </c>
      <c r="G2051" s="44">
        <f t="shared" ref="G2051:G2114" si="64">IF(C2051="", "", DATEDIF(B2051, C2051, "D"))</f>
        <v>38</v>
      </c>
      <c r="H2051" s="10" t="str">
        <f t="shared" ref="H2051:H2114" si="65">TEXT(B2051, "dddd")</f>
        <v>Saturday</v>
      </c>
    </row>
    <row r="2052" spans="1:8">
      <c r="A2052" s="9">
        <v>146557284</v>
      </c>
      <c r="B2052" s="6">
        <v>45066</v>
      </c>
      <c r="C2052" s="6">
        <v>45098</v>
      </c>
      <c r="D2052" s="1" t="s">
        <v>7</v>
      </c>
      <c r="E2052" s="1">
        <v>39</v>
      </c>
      <c r="F2052" s="1" t="s">
        <v>6</v>
      </c>
      <c r="G2052" s="44">
        <f t="shared" si="64"/>
        <v>32</v>
      </c>
      <c r="H2052" s="10" t="str">
        <f t="shared" si="65"/>
        <v>Saturday</v>
      </c>
    </row>
    <row r="2053" spans="1:8">
      <c r="A2053" s="9">
        <v>215486098</v>
      </c>
      <c r="B2053" s="6">
        <v>45067</v>
      </c>
      <c r="C2053" s="1"/>
      <c r="D2053" s="1" t="s">
        <v>7</v>
      </c>
      <c r="E2053" s="1">
        <v>39</v>
      </c>
      <c r="F2053" s="1" t="s">
        <v>6</v>
      </c>
      <c r="G2053" s="44" t="str">
        <f t="shared" si="64"/>
        <v/>
      </c>
      <c r="H2053" s="10" t="str">
        <f t="shared" si="65"/>
        <v>Sunday</v>
      </c>
    </row>
    <row r="2054" spans="1:8">
      <c r="A2054" s="9">
        <v>119436804</v>
      </c>
      <c r="B2054" s="6">
        <v>45067</v>
      </c>
      <c r="C2054" s="1"/>
      <c r="D2054" s="1" t="s">
        <v>7</v>
      </c>
      <c r="E2054" s="1">
        <v>39</v>
      </c>
      <c r="F2054" s="1" t="s">
        <v>6</v>
      </c>
      <c r="G2054" s="44" t="str">
        <f t="shared" si="64"/>
        <v/>
      </c>
      <c r="H2054" s="10" t="str">
        <f t="shared" si="65"/>
        <v>Sunday</v>
      </c>
    </row>
    <row r="2055" spans="1:8">
      <c r="A2055" s="9">
        <v>127100688</v>
      </c>
      <c r="B2055" s="6">
        <v>45067</v>
      </c>
      <c r="C2055" s="6">
        <v>45068</v>
      </c>
      <c r="D2055" s="1" t="s">
        <v>7</v>
      </c>
      <c r="E2055" s="1">
        <v>39</v>
      </c>
      <c r="F2055" s="1" t="s">
        <v>6</v>
      </c>
      <c r="G2055" s="44">
        <f t="shared" si="64"/>
        <v>1</v>
      </c>
      <c r="H2055" s="10" t="str">
        <f t="shared" si="65"/>
        <v>Sunday</v>
      </c>
    </row>
    <row r="2056" spans="1:8">
      <c r="A2056" s="9">
        <v>134524378</v>
      </c>
      <c r="B2056" s="6">
        <v>45067</v>
      </c>
      <c r="C2056" s="6">
        <v>45068</v>
      </c>
      <c r="D2056" s="1" t="s">
        <v>7</v>
      </c>
      <c r="E2056" s="1">
        <v>39</v>
      </c>
      <c r="F2056" s="1" t="s">
        <v>6</v>
      </c>
      <c r="G2056" s="44">
        <f t="shared" si="64"/>
        <v>1</v>
      </c>
      <c r="H2056" s="10" t="str">
        <f t="shared" si="65"/>
        <v>Sunday</v>
      </c>
    </row>
    <row r="2057" spans="1:8">
      <c r="A2057" s="9">
        <v>134652589</v>
      </c>
      <c r="B2057" s="6">
        <v>45067</v>
      </c>
      <c r="C2057" s="6">
        <v>45067</v>
      </c>
      <c r="D2057" s="1" t="s">
        <v>7</v>
      </c>
      <c r="E2057" s="1">
        <v>39</v>
      </c>
      <c r="F2057" s="1" t="s">
        <v>6</v>
      </c>
      <c r="G2057" s="44">
        <f t="shared" si="64"/>
        <v>0</v>
      </c>
      <c r="H2057" s="10" t="str">
        <f t="shared" si="65"/>
        <v>Sunday</v>
      </c>
    </row>
    <row r="2058" spans="1:8">
      <c r="A2058" s="9">
        <v>214134251</v>
      </c>
      <c r="B2058" s="6">
        <v>45067</v>
      </c>
      <c r="C2058" s="6">
        <v>45068</v>
      </c>
      <c r="D2058" s="1" t="s">
        <v>8</v>
      </c>
      <c r="E2058" s="1">
        <v>39</v>
      </c>
      <c r="F2058" s="1" t="s">
        <v>6</v>
      </c>
      <c r="G2058" s="44">
        <f t="shared" si="64"/>
        <v>1</v>
      </c>
      <c r="H2058" s="10" t="str">
        <f t="shared" si="65"/>
        <v>Sunday</v>
      </c>
    </row>
    <row r="2059" spans="1:8">
      <c r="A2059" s="9">
        <v>215565049</v>
      </c>
      <c r="B2059" s="6">
        <v>45067</v>
      </c>
      <c r="C2059" s="6">
        <v>45067</v>
      </c>
      <c r="D2059" s="1" t="s">
        <v>7</v>
      </c>
      <c r="E2059" s="1">
        <v>39</v>
      </c>
      <c r="F2059" s="1" t="s">
        <v>6</v>
      </c>
      <c r="G2059" s="44">
        <f t="shared" si="64"/>
        <v>0</v>
      </c>
      <c r="H2059" s="10" t="str">
        <f t="shared" si="65"/>
        <v>Sunday</v>
      </c>
    </row>
    <row r="2060" spans="1:8">
      <c r="A2060" s="9">
        <v>215606026</v>
      </c>
      <c r="B2060" s="6">
        <v>45067</v>
      </c>
      <c r="C2060" s="6">
        <v>45127</v>
      </c>
      <c r="D2060" s="1" t="s">
        <v>7</v>
      </c>
      <c r="E2060" s="1">
        <v>39</v>
      </c>
      <c r="F2060" s="1" t="s">
        <v>6</v>
      </c>
      <c r="G2060" s="44">
        <f t="shared" si="64"/>
        <v>60</v>
      </c>
      <c r="H2060" s="10" t="str">
        <f t="shared" si="65"/>
        <v>Sunday</v>
      </c>
    </row>
    <row r="2061" spans="1:8">
      <c r="A2061" s="9">
        <v>215678881</v>
      </c>
      <c r="B2061" s="6">
        <v>45068</v>
      </c>
      <c r="C2061" s="1"/>
      <c r="D2061" s="1" t="s">
        <v>7</v>
      </c>
      <c r="E2061" s="1">
        <v>39</v>
      </c>
      <c r="F2061" s="1" t="s">
        <v>6</v>
      </c>
      <c r="G2061" s="44" t="str">
        <f t="shared" si="64"/>
        <v/>
      </c>
      <c r="H2061" s="10" t="str">
        <f t="shared" si="65"/>
        <v>Monday</v>
      </c>
    </row>
    <row r="2062" spans="1:8">
      <c r="A2062" s="9">
        <v>212356610</v>
      </c>
      <c r="B2062" s="6">
        <v>45068</v>
      </c>
      <c r="C2062" s="1"/>
      <c r="D2062" s="1" t="s">
        <v>7</v>
      </c>
      <c r="E2062" s="1">
        <v>39</v>
      </c>
      <c r="F2062" s="1" t="s">
        <v>6</v>
      </c>
      <c r="G2062" s="44" t="str">
        <f t="shared" si="64"/>
        <v/>
      </c>
      <c r="H2062" s="10" t="str">
        <f t="shared" si="65"/>
        <v>Monday</v>
      </c>
    </row>
    <row r="2063" spans="1:8">
      <c r="A2063" s="9">
        <v>215336118</v>
      </c>
      <c r="B2063" s="6">
        <v>45068</v>
      </c>
      <c r="C2063" s="1"/>
      <c r="D2063" s="1" t="s">
        <v>7</v>
      </c>
      <c r="E2063" s="1">
        <v>39</v>
      </c>
      <c r="F2063" s="1" t="s">
        <v>6</v>
      </c>
      <c r="G2063" s="44" t="str">
        <f t="shared" si="64"/>
        <v/>
      </c>
      <c r="H2063" s="10" t="str">
        <f t="shared" si="65"/>
        <v>Monday</v>
      </c>
    </row>
    <row r="2064" spans="1:8">
      <c r="A2064" s="9">
        <v>215664306</v>
      </c>
      <c r="B2064" s="6">
        <v>45068</v>
      </c>
      <c r="C2064" s="1"/>
      <c r="D2064" s="1" t="s">
        <v>7</v>
      </c>
      <c r="E2064" s="1">
        <v>39</v>
      </c>
      <c r="F2064" s="1" t="s">
        <v>6</v>
      </c>
      <c r="G2064" s="44" t="str">
        <f t="shared" si="64"/>
        <v/>
      </c>
      <c r="H2064" s="10" t="str">
        <f t="shared" si="65"/>
        <v>Monday</v>
      </c>
    </row>
    <row r="2065" spans="1:8">
      <c r="A2065" s="9">
        <v>215643802</v>
      </c>
      <c r="B2065" s="6">
        <v>45068</v>
      </c>
      <c r="C2065" s="1"/>
      <c r="D2065" s="1" t="s">
        <v>7</v>
      </c>
      <c r="E2065" s="1">
        <v>39</v>
      </c>
      <c r="F2065" s="1" t="s">
        <v>6</v>
      </c>
      <c r="G2065" s="44" t="str">
        <f t="shared" si="64"/>
        <v/>
      </c>
      <c r="H2065" s="10" t="str">
        <f t="shared" si="65"/>
        <v>Monday</v>
      </c>
    </row>
    <row r="2066" spans="1:8">
      <c r="A2066" s="9">
        <v>206177720</v>
      </c>
      <c r="B2066" s="6">
        <v>45068</v>
      </c>
      <c r="C2066" s="6">
        <v>45069</v>
      </c>
      <c r="D2066" s="1" t="s">
        <v>8</v>
      </c>
      <c r="E2066" s="1">
        <v>39</v>
      </c>
      <c r="F2066" s="1" t="s">
        <v>6</v>
      </c>
      <c r="G2066" s="44">
        <f t="shared" si="64"/>
        <v>1</v>
      </c>
      <c r="H2066" s="10" t="str">
        <f t="shared" si="65"/>
        <v>Monday</v>
      </c>
    </row>
    <row r="2067" spans="1:8">
      <c r="A2067" s="9">
        <v>215691994</v>
      </c>
      <c r="B2067" s="6">
        <v>45068</v>
      </c>
      <c r="C2067" s="6">
        <v>45159</v>
      </c>
      <c r="D2067" s="1" t="s">
        <v>7</v>
      </c>
      <c r="E2067" s="1">
        <v>39</v>
      </c>
      <c r="F2067" s="1" t="s">
        <v>6</v>
      </c>
      <c r="G2067" s="44">
        <f t="shared" si="64"/>
        <v>91</v>
      </c>
      <c r="H2067" s="10" t="str">
        <f t="shared" si="65"/>
        <v>Monday</v>
      </c>
    </row>
    <row r="2068" spans="1:8">
      <c r="A2068" s="9">
        <v>215653406</v>
      </c>
      <c r="B2068" s="6">
        <v>45069</v>
      </c>
      <c r="C2068" s="1"/>
      <c r="D2068" s="1" t="s">
        <v>7</v>
      </c>
      <c r="E2068" s="1">
        <v>39</v>
      </c>
      <c r="F2068" s="1" t="s">
        <v>6</v>
      </c>
      <c r="G2068" s="44" t="str">
        <f t="shared" si="64"/>
        <v/>
      </c>
      <c r="H2068" s="10" t="str">
        <f t="shared" si="65"/>
        <v>Tuesday</v>
      </c>
    </row>
    <row r="2069" spans="1:8">
      <c r="A2069" s="9">
        <v>215534470</v>
      </c>
      <c r="B2069" s="6">
        <v>45069</v>
      </c>
      <c r="C2069" s="6">
        <v>45070</v>
      </c>
      <c r="D2069" s="1" t="s">
        <v>7</v>
      </c>
      <c r="E2069" s="1">
        <v>39</v>
      </c>
      <c r="F2069" s="1" t="s">
        <v>6</v>
      </c>
      <c r="G2069" s="44">
        <f t="shared" si="64"/>
        <v>1</v>
      </c>
      <c r="H2069" s="10" t="str">
        <f t="shared" si="65"/>
        <v>Tuesday</v>
      </c>
    </row>
    <row r="2070" spans="1:8">
      <c r="A2070" s="9">
        <v>150751482</v>
      </c>
      <c r="B2070" s="6">
        <v>45069</v>
      </c>
      <c r="C2070" s="6">
        <v>45127</v>
      </c>
      <c r="D2070" s="1" t="s">
        <v>7</v>
      </c>
      <c r="E2070" s="1">
        <v>39</v>
      </c>
      <c r="F2070" s="1" t="s">
        <v>6</v>
      </c>
      <c r="G2070" s="44">
        <f t="shared" si="64"/>
        <v>58</v>
      </c>
      <c r="H2070" s="10" t="str">
        <f t="shared" si="65"/>
        <v>Tuesday</v>
      </c>
    </row>
    <row r="2071" spans="1:8">
      <c r="A2071" s="9">
        <v>208601341</v>
      </c>
      <c r="B2071" s="6">
        <v>45069</v>
      </c>
      <c r="C2071" s="6">
        <v>45115</v>
      </c>
      <c r="D2071" s="1" t="s">
        <v>7</v>
      </c>
      <c r="E2071" s="1">
        <v>39</v>
      </c>
      <c r="F2071" s="1" t="s">
        <v>6</v>
      </c>
      <c r="G2071" s="44">
        <f t="shared" si="64"/>
        <v>46</v>
      </c>
      <c r="H2071" s="10" t="str">
        <f t="shared" si="65"/>
        <v>Tuesday</v>
      </c>
    </row>
    <row r="2072" spans="1:8">
      <c r="A2072" s="9">
        <v>215473479</v>
      </c>
      <c r="B2072" s="6">
        <v>45069</v>
      </c>
      <c r="C2072" s="6">
        <v>45103</v>
      </c>
      <c r="D2072" s="1" t="s">
        <v>7</v>
      </c>
      <c r="E2072" s="1">
        <v>39</v>
      </c>
      <c r="F2072" s="1" t="s">
        <v>6</v>
      </c>
      <c r="G2072" s="44">
        <f t="shared" si="64"/>
        <v>34</v>
      </c>
      <c r="H2072" s="10" t="str">
        <f t="shared" si="65"/>
        <v>Tuesday</v>
      </c>
    </row>
    <row r="2073" spans="1:8">
      <c r="A2073" s="9">
        <v>215646044</v>
      </c>
      <c r="B2073" s="6">
        <v>45069</v>
      </c>
      <c r="C2073" s="6">
        <v>45098</v>
      </c>
      <c r="D2073" s="1" t="s">
        <v>7</v>
      </c>
      <c r="E2073" s="1">
        <v>39</v>
      </c>
      <c r="F2073" s="1" t="s">
        <v>6</v>
      </c>
      <c r="G2073" s="44">
        <f t="shared" si="64"/>
        <v>29</v>
      </c>
      <c r="H2073" s="10" t="str">
        <f t="shared" si="65"/>
        <v>Tuesday</v>
      </c>
    </row>
    <row r="2074" spans="1:8">
      <c r="A2074" s="9">
        <v>215686983</v>
      </c>
      <c r="B2074" s="6">
        <v>45069</v>
      </c>
      <c r="C2074" s="6">
        <v>45103</v>
      </c>
      <c r="D2074" s="1" t="s">
        <v>7</v>
      </c>
      <c r="E2074" s="1">
        <v>39</v>
      </c>
      <c r="F2074" s="1" t="s">
        <v>6</v>
      </c>
      <c r="G2074" s="44">
        <f t="shared" si="64"/>
        <v>34</v>
      </c>
      <c r="H2074" s="10" t="str">
        <f t="shared" si="65"/>
        <v>Tuesday</v>
      </c>
    </row>
    <row r="2075" spans="1:8">
      <c r="A2075" s="9">
        <v>215704655</v>
      </c>
      <c r="B2075" s="6">
        <v>45070</v>
      </c>
      <c r="C2075" s="1"/>
      <c r="D2075" s="1" t="s">
        <v>7</v>
      </c>
      <c r="E2075" s="1">
        <v>39</v>
      </c>
      <c r="F2075" s="1" t="s">
        <v>6</v>
      </c>
      <c r="G2075" s="44" t="str">
        <f t="shared" si="64"/>
        <v/>
      </c>
      <c r="H2075" s="10" t="str">
        <f t="shared" si="65"/>
        <v>Wednesday</v>
      </c>
    </row>
    <row r="2076" spans="1:8">
      <c r="A2076" s="9">
        <v>131984682</v>
      </c>
      <c r="B2076" s="6">
        <v>45070</v>
      </c>
      <c r="C2076" s="6">
        <v>45116</v>
      </c>
      <c r="D2076" s="1" t="s">
        <v>7</v>
      </c>
      <c r="E2076" s="1">
        <v>39</v>
      </c>
      <c r="F2076" s="1" t="s">
        <v>6</v>
      </c>
      <c r="G2076" s="44">
        <f t="shared" si="64"/>
        <v>46</v>
      </c>
      <c r="H2076" s="10" t="str">
        <f t="shared" si="65"/>
        <v>Wednesday</v>
      </c>
    </row>
    <row r="2077" spans="1:8">
      <c r="A2077" s="9">
        <v>214698924</v>
      </c>
      <c r="B2077" s="6">
        <v>45070</v>
      </c>
      <c r="C2077" s="6">
        <v>45104</v>
      </c>
      <c r="D2077" s="1" t="s">
        <v>7</v>
      </c>
      <c r="E2077" s="1">
        <v>39</v>
      </c>
      <c r="F2077" s="1" t="s">
        <v>6</v>
      </c>
      <c r="G2077" s="44">
        <f t="shared" si="64"/>
        <v>34</v>
      </c>
      <c r="H2077" s="10" t="str">
        <f t="shared" si="65"/>
        <v>Wednesday</v>
      </c>
    </row>
    <row r="2078" spans="1:8">
      <c r="A2078" s="9">
        <v>183886863</v>
      </c>
      <c r="B2078" s="6">
        <v>45070</v>
      </c>
      <c r="C2078" s="6">
        <v>45070</v>
      </c>
      <c r="D2078" s="1" t="s">
        <v>7</v>
      </c>
      <c r="E2078" s="1">
        <v>39</v>
      </c>
      <c r="F2078" s="1" t="s">
        <v>6</v>
      </c>
      <c r="G2078" s="44">
        <f t="shared" si="64"/>
        <v>0</v>
      </c>
      <c r="H2078" s="10" t="str">
        <f t="shared" si="65"/>
        <v>Wednesday</v>
      </c>
    </row>
    <row r="2079" spans="1:8">
      <c r="A2079" s="9">
        <v>215869320</v>
      </c>
      <c r="B2079" s="6">
        <v>45071</v>
      </c>
      <c r="C2079" s="1"/>
      <c r="D2079" s="1" t="s">
        <v>7</v>
      </c>
      <c r="E2079" s="1">
        <v>39</v>
      </c>
      <c r="F2079" s="1" t="s">
        <v>6</v>
      </c>
      <c r="G2079" s="44" t="str">
        <f t="shared" si="64"/>
        <v/>
      </c>
      <c r="H2079" s="10" t="str">
        <f t="shared" si="65"/>
        <v>Thursday</v>
      </c>
    </row>
    <row r="2080" spans="1:8">
      <c r="A2080" s="9">
        <v>215616284</v>
      </c>
      <c r="B2080" s="6">
        <v>45071</v>
      </c>
      <c r="C2080" s="1"/>
      <c r="D2080" s="1" t="s">
        <v>7</v>
      </c>
      <c r="E2080" s="1">
        <v>39</v>
      </c>
      <c r="F2080" s="1" t="s">
        <v>6</v>
      </c>
      <c r="G2080" s="44" t="str">
        <f t="shared" si="64"/>
        <v/>
      </c>
      <c r="H2080" s="10" t="str">
        <f t="shared" si="65"/>
        <v>Thursday</v>
      </c>
    </row>
    <row r="2081" spans="1:8">
      <c r="A2081" s="9">
        <v>215896078</v>
      </c>
      <c r="B2081" s="6">
        <v>45071</v>
      </c>
      <c r="C2081" s="1"/>
      <c r="D2081" s="1" t="s">
        <v>7</v>
      </c>
      <c r="E2081" s="1">
        <v>39</v>
      </c>
      <c r="F2081" s="1" t="s">
        <v>6</v>
      </c>
      <c r="G2081" s="44" t="str">
        <f t="shared" si="64"/>
        <v/>
      </c>
      <c r="H2081" s="10" t="str">
        <f t="shared" si="65"/>
        <v>Thursday</v>
      </c>
    </row>
    <row r="2082" spans="1:8">
      <c r="A2082" s="9">
        <v>215910170</v>
      </c>
      <c r="B2082" s="6">
        <v>45071</v>
      </c>
      <c r="C2082" s="1"/>
      <c r="D2082" s="1" t="s">
        <v>7</v>
      </c>
      <c r="E2082" s="1">
        <v>39</v>
      </c>
      <c r="F2082" s="1" t="s">
        <v>6</v>
      </c>
      <c r="G2082" s="44" t="str">
        <f t="shared" si="64"/>
        <v/>
      </c>
      <c r="H2082" s="10" t="str">
        <f t="shared" si="65"/>
        <v>Thursday</v>
      </c>
    </row>
    <row r="2083" spans="1:8">
      <c r="A2083" s="9">
        <v>211754109</v>
      </c>
      <c r="B2083" s="6">
        <v>45071</v>
      </c>
      <c r="C2083" s="6">
        <v>45072</v>
      </c>
      <c r="D2083" s="1" t="s">
        <v>8</v>
      </c>
      <c r="E2083" s="1">
        <v>39</v>
      </c>
      <c r="F2083" s="1" t="s">
        <v>6</v>
      </c>
      <c r="G2083" s="44">
        <f t="shared" si="64"/>
        <v>1</v>
      </c>
      <c r="H2083" s="10" t="str">
        <f t="shared" si="65"/>
        <v>Thursday</v>
      </c>
    </row>
    <row r="2084" spans="1:8">
      <c r="A2084" s="9">
        <v>205682690</v>
      </c>
      <c r="B2084" s="6">
        <v>45071</v>
      </c>
      <c r="C2084" s="6">
        <v>45072</v>
      </c>
      <c r="D2084" s="1" t="s">
        <v>7</v>
      </c>
      <c r="E2084" s="1">
        <v>39</v>
      </c>
      <c r="F2084" s="1" t="s">
        <v>6</v>
      </c>
      <c r="G2084" s="44">
        <f t="shared" si="64"/>
        <v>1</v>
      </c>
      <c r="H2084" s="10" t="str">
        <f t="shared" si="65"/>
        <v>Thursday</v>
      </c>
    </row>
    <row r="2085" spans="1:8">
      <c r="A2085" s="9">
        <v>151412112</v>
      </c>
      <c r="B2085" s="6">
        <v>45071</v>
      </c>
      <c r="C2085" s="6">
        <v>45096</v>
      </c>
      <c r="D2085" s="1" t="s">
        <v>7</v>
      </c>
      <c r="E2085" s="1">
        <v>39</v>
      </c>
      <c r="F2085" s="1" t="s">
        <v>6</v>
      </c>
      <c r="G2085" s="44">
        <f t="shared" si="64"/>
        <v>25</v>
      </c>
      <c r="H2085" s="10" t="str">
        <f t="shared" si="65"/>
        <v>Thursday</v>
      </c>
    </row>
    <row r="2086" spans="1:8">
      <c r="A2086" s="9">
        <v>154467458</v>
      </c>
      <c r="B2086" s="6">
        <v>45071</v>
      </c>
      <c r="C2086" s="6">
        <v>45106</v>
      </c>
      <c r="D2086" s="1" t="s">
        <v>7</v>
      </c>
      <c r="E2086" s="1">
        <v>39</v>
      </c>
      <c r="F2086" s="1" t="s">
        <v>6</v>
      </c>
      <c r="G2086" s="44">
        <f t="shared" si="64"/>
        <v>35</v>
      </c>
      <c r="H2086" s="10" t="str">
        <f t="shared" si="65"/>
        <v>Thursday</v>
      </c>
    </row>
    <row r="2087" spans="1:8">
      <c r="A2087" s="9">
        <v>212339137</v>
      </c>
      <c r="B2087" s="6">
        <v>45071</v>
      </c>
      <c r="C2087" s="6">
        <v>45109</v>
      </c>
      <c r="D2087" s="1" t="s">
        <v>7</v>
      </c>
      <c r="E2087" s="1">
        <v>39</v>
      </c>
      <c r="F2087" s="1" t="s">
        <v>6</v>
      </c>
      <c r="G2087" s="44">
        <f t="shared" si="64"/>
        <v>38</v>
      </c>
      <c r="H2087" s="10" t="str">
        <f t="shared" si="65"/>
        <v>Thursday</v>
      </c>
    </row>
    <row r="2088" spans="1:8">
      <c r="A2088" s="9">
        <v>215894271</v>
      </c>
      <c r="B2088" s="6">
        <v>45071</v>
      </c>
      <c r="C2088" s="6">
        <v>45092</v>
      </c>
      <c r="D2088" s="1" t="s">
        <v>7</v>
      </c>
      <c r="E2088" s="1">
        <v>39</v>
      </c>
      <c r="F2088" s="1" t="s">
        <v>6</v>
      </c>
      <c r="G2088" s="44">
        <f t="shared" si="64"/>
        <v>21</v>
      </c>
      <c r="H2088" s="10" t="str">
        <f t="shared" si="65"/>
        <v>Thursday</v>
      </c>
    </row>
    <row r="2089" spans="1:8">
      <c r="A2089" s="9">
        <v>215908442</v>
      </c>
      <c r="B2089" s="6">
        <v>45071</v>
      </c>
      <c r="C2089" s="6">
        <v>45155</v>
      </c>
      <c r="D2089" s="1" t="s">
        <v>7</v>
      </c>
      <c r="E2089" s="1">
        <v>39</v>
      </c>
      <c r="F2089" s="1" t="s">
        <v>6</v>
      </c>
      <c r="G2089" s="44">
        <f t="shared" si="64"/>
        <v>84</v>
      </c>
      <c r="H2089" s="10" t="str">
        <f t="shared" si="65"/>
        <v>Thursday</v>
      </c>
    </row>
    <row r="2090" spans="1:8">
      <c r="A2090" s="9">
        <v>136032360</v>
      </c>
      <c r="B2090" s="6">
        <v>45071</v>
      </c>
      <c r="C2090" s="6">
        <v>45163</v>
      </c>
      <c r="D2090" s="1" t="s">
        <v>7</v>
      </c>
      <c r="E2090" s="1">
        <v>39</v>
      </c>
      <c r="F2090" s="1" t="s">
        <v>6</v>
      </c>
      <c r="G2090" s="44">
        <f t="shared" si="64"/>
        <v>92</v>
      </c>
      <c r="H2090" s="10" t="str">
        <f t="shared" si="65"/>
        <v>Thursday</v>
      </c>
    </row>
    <row r="2091" spans="1:8">
      <c r="A2091" s="9">
        <v>215956542</v>
      </c>
      <c r="B2091" s="6">
        <v>45072</v>
      </c>
      <c r="C2091" s="1"/>
      <c r="D2091" s="1" t="s">
        <v>7</v>
      </c>
      <c r="E2091" s="1">
        <v>39</v>
      </c>
      <c r="F2091" s="1" t="s">
        <v>6</v>
      </c>
      <c r="G2091" s="44" t="str">
        <f t="shared" si="64"/>
        <v/>
      </c>
      <c r="H2091" s="10" t="str">
        <f t="shared" si="65"/>
        <v>Friday</v>
      </c>
    </row>
    <row r="2092" spans="1:8">
      <c r="A2092" s="9">
        <v>215947247</v>
      </c>
      <c r="B2092" s="6">
        <v>45072</v>
      </c>
      <c r="C2092" s="1"/>
      <c r="D2092" s="1" t="s">
        <v>7</v>
      </c>
      <c r="E2092" s="1">
        <v>39</v>
      </c>
      <c r="F2092" s="1" t="s">
        <v>6</v>
      </c>
      <c r="G2092" s="44" t="str">
        <f t="shared" si="64"/>
        <v/>
      </c>
      <c r="H2092" s="10" t="str">
        <f t="shared" si="65"/>
        <v>Friday</v>
      </c>
    </row>
    <row r="2093" spans="1:8">
      <c r="A2093" s="9">
        <v>122830574</v>
      </c>
      <c r="B2093" s="6">
        <v>45072</v>
      </c>
      <c r="C2093" s="1"/>
      <c r="D2093" s="1" t="s">
        <v>7</v>
      </c>
      <c r="E2093" s="1">
        <v>39</v>
      </c>
      <c r="F2093" s="1" t="s">
        <v>6</v>
      </c>
      <c r="G2093" s="44" t="str">
        <f t="shared" si="64"/>
        <v/>
      </c>
      <c r="H2093" s="10" t="str">
        <f t="shared" si="65"/>
        <v>Friday</v>
      </c>
    </row>
    <row r="2094" spans="1:8">
      <c r="A2094" s="9">
        <v>206904025</v>
      </c>
      <c r="B2094" s="6">
        <v>45072</v>
      </c>
      <c r="C2094" s="6">
        <v>45073</v>
      </c>
      <c r="D2094" s="1" t="s">
        <v>8</v>
      </c>
      <c r="E2094" s="1">
        <v>39</v>
      </c>
      <c r="F2094" s="1" t="s">
        <v>6</v>
      </c>
      <c r="G2094" s="44">
        <f t="shared" si="64"/>
        <v>1</v>
      </c>
      <c r="H2094" s="10" t="str">
        <f t="shared" si="65"/>
        <v>Friday</v>
      </c>
    </row>
    <row r="2095" spans="1:8">
      <c r="A2095" s="9">
        <v>153396366</v>
      </c>
      <c r="B2095" s="6">
        <v>45072</v>
      </c>
      <c r="C2095" s="6">
        <v>45104</v>
      </c>
      <c r="D2095" s="1" t="s">
        <v>7</v>
      </c>
      <c r="E2095" s="1">
        <v>39</v>
      </c>
      <c r="F2095" s="1" t="s">
        <v>6</v>
      </c>
      <c r="G2095" s="44">
        <f t="shared" si="64"/>
        <v>32</v>
      </c>
      <c r="H2095" s="10" t="str">
        <f t="shared" si="65"/>
        <v>Friday</v>
      </c>
    </row>
    <row r="2096" spans="1:8">
      <c r="A2096" s="9">
        <v>200304509</v>
      </c>
      <c r="B2096" s="6">
        <v>45072</v>
      </c>
      <c r="C2096" s="6">
        <v>45094</v>
      </c>
      <c r="D2096" s="1" t="s">
        <v>7</v>
      </c>
      <c r="E2096" s="1">
        <v>39</v>
      </c>
      <c r="F2096" s="1" t="s">
        <v>6</v>
      </c>
      <c r="G2096" s="44">
        <f t="shared" si="64"/>
        <v>22</v>
      </c>
      <c r="H2096" s="10" t="str">
        <f t="shared" si="65"/>
        <v>Friday</v>
      </c>
    </row>
    <row r="2097" spans="1:8">
      <c r="A2097" s="9">
        <v>215867874</v>
      </c>
      <c r="B2097" s="6">
        <v>45072</v>
      </c>
      <c r="C2097" s="6">
        <v>45095</v>
      </c>
      <c r="D2097" s="1" t="s">
        <v>7</v>
      </c>
      <c r="E2097" s="1">
        <v>39</v>
      </c>
      <c r="F2097" s="1" t="s">
        <v>6</v>
      </c>
      <c r="G2097" s="44">
        <f t="shared" si="64"/>
        <v>23</v>
      </c>
      <c r="H2097" s="10" t="str">
        <f t="shared" si="65"/>
        <v>Friday</v>
      </c>
    </row>
    <row r="2098" spans="1:8">
      <c r="A2098" s="9">
        <v>215869887</v>
      </c>
      <c r="B2098" s="6">
        <v>45072</v>
      </c>
      <c r="C2098" s="6">
        <v>45088</v>
      </c>
      <c r="D2098" s="1" t="s">
        <v>7</v>
      </c>
      <c r="E2098" s="1">
        <v>39</v>
      </c>
      <c r="F2098" s="1" t="s">
        <v>6</v>
      </c>
      <c r="G2098" s="44">
        <f t="shared" si="64"/>
        <v>16</v>
      </c>
      <c r="H2098" s="10" t="str">
        <f t="shared" si="65"/>
        <v>Friday</v>
      </c>
    </row>
    <row r="2099" spans="1:8">
      <c r="A2099" s="9">
        <v>134652589</v>
      </c>
      <c r="B2099" s="6">
        <v>45072</v>
      </c>
      <c r="C2099" s="6">
        <v>45087</v>
      </c>
      <c r="D2099" s="1" t="s">
        <v>7</v>
      </c>
      <c r="E2099" s="1">
        <v>39</v>
      </c>
      <c r="F2099" s="1" t="s">
        <v>6</v>
      </c>
      <c r="G2099" s="44">
        <f t="shared" si="64"/>
        <v>15</v>
      </c>
      <c r="H2099" s="10" t="str">
        <f t="shared" si="65"/>
        <v>Friday</v>
      </c>
    </row>
    <row r="2100" spans="1:8">
      <c r="A2100" s="9">
        <v>215759517</v>
      </c>
      <c r="B2100" s="6">
        <v>45072</v>
      </c>
      <c r="C2100" s="6">
        <v>45171</v>
      </c>
      <c r="D2100" s="1" t="s">
        <v>7</v>
      </c>
      <c r="E2100" s="1">
        <v>39</v>
      </c>
      <c r="F2100" s="1" t="s">
        <v>6</v>
      </c>
      <c r="G2100" s="44">
        <f t="shared" si="64"/>
        <v>99</v>
      </c>
      <c r="H2100" s="10" t="str">
        <f t="shared" si="65"/>
        <v>Friday</v>
      </c>
    </row>
    <row r="2101" spans="1:8">
      <c r="A2101" s="9">
        <v>152004313</v>
      </c>
      <c r="B2101" s="6">
        <v>45072</v>
      </c>
      <c r="C2101" s="6">
        <v>45111</v>
      </c>
      <c r="D2101" s="1" t="s">
        <v>7</v>
      </c>
      <c r="E2101" s="1">
        <v>39</v>
      </c>
      <c r="F2101" s="1" t="s">
        <v>6</v>
      </c>
      <c r="G2101" s="44">
        <f t="shared" si="64"/>
        <v>39</v>
      </c>
      <c r="H2101" s="10" t="str">
        <f t="shared" si="65"/>
        <v>Friday</v>
      </c>
    </row>
    <row r="2102" spans="1:8">
      <c r="A2102" s="9">
        <v>215931788</v>
      </c>
      <c r="B2102" s="6">
        <v>45072</v>
      </c>
      <c r="C2102" s="6">
        <v>45104</v>
      </c>
      <c r="D2102" s="1" t="s">
        <v>7</v>
      </c>
      <c r="E2102" s="1">
        <v>39</v>
      </c>
      <c r="F2102" s="1" t="s">
        <v>6</v>
      </c>
      <c r="G2102" s="44">
        <f t="shared" si="64"/>
        <v>32</v>
      </c>
      <c r="H2102" s="10" t="str">
        <f t="shared" si="65"/>
        <v>Friday</v>
      </c>
    </row>
    <row r="2103" spans="1:8">
      <c r="A2103" s="9">
        <v>215792692</v>
      </c>
      <c r="B2103" s="6">
        <v>45072</v>
      </c>
      <c r="C2103" s="6">
        <v>45132</v>
      </c>
      <c r="D2103" s="1" t="s">
        <v>7</v>
      </c>
      <c r="E2103" s="1">
        <v>39</v>
      </c>
      <c r="F2103" s="1" t="s">
        <v>6</v>
      </c>
      <c r="G2103" s="44">
        <f t="shared" si="64"/>
        <v>60</v>
      </c>
      <c r="H2103" s="10" t="str">
        <f t="shared" si="65"/>
        <v>Friday</v>
      </c>
    </row>
    <row r="2104" spans="1:8">
      <c r="A2104" s="9">
        <v>205507364</v>
      </c>
      <c r="B2104" s="6">
        <v>45072</v>
      </c>
      <c r="C2104" s="6">
        <v>45133</v>
      </c>
      <c r="D2104" s="1" t="s">
        <v>7</v>
      </c>
      <c r="E2104" s="1">
        <v>39</v>
      </c>
      <c r="F2104" s="1" t="s">
        <v>6</v>
      </c>
      <c r="G2104" s="44">
        <f t="shared" si="64"/>
        <v>61</v>
      </c>
      <c r="H2104" s="10" t="str">
        <f t="shared" si="65"/>
        <v>Friday</v>
      </c>
    </row>
    <row r="2105" spans="1:8">
      <c r="A2105" s="9">
        <v>130016916</v>
      </c>
      <c r="B2105" s="6">
        <v>45072</v>
      </c>
      <c r="C2105" s="6">
        <v>45133</v>
      </c>
      <c r="D2105" s="1" t="s">
        <v>7</v>
      </c>
      <c r="E2105" s="1">
        <v>39</v>
      </c>
      <c r="F2105" s="1" t="s">
        <v>6</v>
      </c>
      <c r="G2105" s="44">
        <f t="shared" si="64"/>
        <v>61</v>
      </c>
      <c r="H2105" s="10" t="str">
        <f t="shared" si="65"/>
        <v>Friday</v>
      </c>
    </row>
    <row r="2106" spans="1:8">
      <c r="A2106" s="9">
        <v>174991614</v>
      </c>
      <c r="B2106" s="6">
        <v>45073</v>
      </c>
      <c r="C2106" s="1"/>
      <c r="D2106" s="1" t="s">
        <v>7</v>
      </c>
      <c r="E2106" s="1">
        <v>39</v>
      </c>
      <c r="F2106" s="1" t="s">
        <v>6</v>
      </c>
      <c r="G2106" s="44" t="str">
        <f t="shared" si="64"/>
        <v/>
      </c>
      <c r="H2106" s="10" t="str">
        <f t="shared" si="65"/>
        <v>Saturday</v>
      </c>
    </row>
    <row r="2107" spans="1:8">
      <c r="A2107" s="9">
        <v>118197872</v>
      </c>
      <c r="B2107" s="6">
        <v>45073</v>
      </c>
      <c r="C2107" s="1"/>
      <c r="D2107" s="1" t="s">
        <v>7</v>
      </c>
      <c r="E2107" s="1">
        <v>39</v>
      </c>
      <c r="F2107" s="1" t="s">
        <v>6</v>
      </c>
      <c r="G2107" s="44" t="str">
        <f t="shared" si="64"/>
        <v/>
      </c>
      <c r="H2107" s="10" t="str">
        <f t="shared" si="65"/>
        <v>Saturday</v>
      </c>
    </row>
    <row r="2108" spans="1:8">
      <c r="A2108" s="9">
        <v>215906516</v>
      </c>
      <c r="B2108" s="6">
        <v>45073</v>
      </c>
      <c r="C2108" s="1"/>
      <c r="D2108" s="1" t="s">
        <v>7</v>
      </c>
      <c r="E2108" s="1">
        <v>39</v>
      </c>
      <c r="F2108" s="1" t="s">
        <v>6</v>
      </c>
      <c r="G2108" s="44" t="str">
        <f t="shared" si="64"/>
        <v/>
      </c>
      <c r="H2108" s="10" t="str">
        <f t="shared" si="65"/>
        <v>Saturday</v>
      </c>
    </row>
    <row r="2109" spans="1:8">
      <c r="A2109" s="9">
        <v>116197941</v>
      </c>
      <c r="B2109" s="6">
        <v>45073</v>
      </c>
      <c r="C2109" s="6">
        <v>45141</v>
      </c>
      <c r="D2109" s="1" t="s">
        <v>7</v>
      </c>
      <c r="E2109" s="1">
        <v>39</v>
      </c>
      <c r="F2109" s="1" t="s">
        <v>6</v>
      </c>
      <c r="G2109" s="44">
        <f t="shared" si="64"/>
        <v>68</v>
      </c>
      <c r="H2109" s="10" t="str">
        <f t="shared" si="65"/>
        <v>Saturday</v>
      </c>
    </row>
    <row r="2110" spans="1:8">
      <c r="A2110" s="9">
        <v>215973039</v>
      </c>
      <c r="B2110" s="6">
        <v>45073</v>
      </c>
      <c r="C2110" s="6">
        <v>45080</v>
      </c>
      <c r="D2110" s="1" t="s">
        <v>7</v>
      </c>
      <c r="E2110" s="1">
        <v>39</v>
      </c>
      <c r="F2110" s="1" t="s">
        <v>6</v>
      </c>
      <c r="G2110" s="44">
        <f t="shared" si="64"/>
        <v>7</v>
      </c>
      <c r="H2110" s="10" t="str">
        <f t="shared" si="65"/>
        <v>Saturday</v>
      </c>
    </row>
    <row r="2111" spans="1:8">
      <c r="A2111" s="9">
        <v>147761700</v>
      </c>
      <c r="B2111" s="6">
        <v>45073</v>
      </c>
      <c r="C2111" s="6">
        <v>45085</v>
      </c>
      <c r="D2111" s="1" t="s">
        <v>7</v>
      </c>
      <c r="E2111" s="1">
        <v>39</v>
      </c>
      <c r="F2111" s="1" t="s">
        <v>6</v>
      </c>
      <c r="G2111" s="44">
        <f t="shared" si="64"/>
        <v>12</v>
      </c>
      <c r="H2111" s="10" t="str">
        <f t="shared" si="65"/>
        <v>Saturday</v>
      </c>
    </row>
    <row r="2112" spans="1:8">
      <c r="A2112" s="9">
        <v>215943650</v>
      </c>
      <c r="B2112" s="6">
        <v>45073</v>
      </c>
      <c r="C2112" s="6">
        <v>45111</v>
      </c>
      <c r="D2112" s="1" t="s">
        <v>7</v>
      </c>
      <c r="E2112" s="1">
        <v>39</v>
      </c>
      <c r="F2112" s="1" t="s">
        <v>6</v>
      </c>
      <c r="G2112" s="44">
        <f t="shared" si="64"/>
        <v>38</v>
      </c>
      <c r="H2112" s="10" t="str">
        <f t="shared" si="65"/>
        <v>Saturday</v>
      </c>
    </row>
    <row r="2113" spans="1:8">
      <c r="A2113" s="9">
        <v>157259062</v>
      </c>
      <c r="B2113" s="6">
        <v>45073</v>
      </c>
      <c r="C2113" s="6">
        <v>45111</v>
      </c>
      <c r="D2113" s="1" t="s">
        <v>7</v>
      </c>
      <c r="E2113" s="1">
        <v>39</v>
      </c>
      <c r="F2113" s="1" t="s">
        <v>6</v>
      </c>
      <c r="G2113" s="44">
        <f t="shared" si="64"/>
        <v>38</v>
      </c>
      <c r="H2113" s="10" t="str">
        <f t="shared" si="65"/>
        <v>Saturday</v>
      </c>
    </row>
    <row r="2114" spans="1:8">
      <c r="A2114" s="9">
        <v>216001506</v>
      </c>
      <c r="B2114" s="6">
        <v>45073</v>
      </c>
      <c r="C2114" s="6">
        <v>45133</v>
      </c>
      <c r="D2114" s="1" t="s">
        <v>7</v>
      </c>
      <c r="E2114" s="1">
        <v>39</v>
      </c>
      <c r="F2114" s="1" t="s">
        <v>6</v>
      </c>
      <c r="G2114" s="44">
        <f t="shared" si="64"/>
        <v>60</v>
      </c>
      <c r="H2114" s="10" t="str">
        <f t="shared" si="65"/>
        <v>Saturday</v>
      </c>
    </row>
    <row r="2115" spans="1:8">
      <c r="A2115" s="9">
        <v>199306900</v>
      </c>
      <c r="B2115" s="6">
        <v>45073</v>
      </c>
      <c r="C2115" s="6">
        <v>45172</v>
      </c>
      <c r="D2115" s="1" t="s">
        <v>7</v>
      </c>
      <c r="E2115" s="1">
        <v>39</v>
      </c>
      <c r="F2115" s="1" t="s">
        <v>6</v>
      </c>
      <c r="G2115" s="44">
        <f t="shared" ref="G2115:G2178" si="66">IF(C2115="", "", DATEDIF(B2115, C2115, "D"))</f>
        <v>99</v>
      </c>
      <c r="H2115" s="10" t="str">
        <f t="shared" ref="H2115:H2178" si="67">TEXT(B2115, "dddd")</f>
        <v>Saturday</v>
      </c>
    </row>
    <row r="2116" spans="1:8">
      <c r="A2116" s="9">
        <v>156245288</v>
      </c>
      <c r="B2116" s="6">
        <v>45074</v>
      </c>
      <c r="C2116" s="1"/>
      <c r="D2116" s="1" t="s">
        <v>7</v>
      </c>
      <c r="E2116" s="1">
        <v>39</v>
      </c>
      <c r="F2116" s="1" t="s">
        <v>6</v>
      </c>
      <c r="G2116" s="44" t="str">
        <f t="shared" si="66"/>
        <v/>
      </c>
      <c r="H2116" s="10" t="str">
        <f t="shared" si="67"/>
        <v>Sunday</v>
      </c>
    </row>
    <row r="2117" spans="1:8">
      <c r="A2117" s="9">
        <v>211904765</v>
      </c>
      <c r="B2117" s="6">
        <v>45074</v>
      </c>
      <c r="C2117" s="1"/>
      <c r="D2117" s="1" t="s">
        <v>7</v>
      </c>
      <c r="E2117" s="1">
        <v>39</v>
      </c>
      <c r="F2117" s="1" t="s">
        <v>6</v>
      </c>
      <c r="G2117" s="44" t="str">
        <f t="shared" si="66"/>
        <v/>
      </c>
      <c r="H2117" s="10" t="str">
        <f t="shared" si="67"/>
        <v>Sunday</v>
      </c>
    </row>
    <row r="2118" spans="1:8">
      <c r="A2118" s="9">
        <v>215832805</v>
      </c>
      <c r="B2118" s="6">
        <v>45074</v>
      </c>
      <c r="C2118" s="1"/>
      <c r="D2118" s="1" t="s">
        <v>7</v>
      </c>
      <c r="E2118" s="1">
        <v>39</v>
      </c>
      <c r="F2118" s="1" t="s">
        <v>6</v>
      </c>
      <c r="G2118" s="44" t="str">
        <f t="shared" si="66"/>
        <v/>
      </c>
      <c r="H2118" s="10" t="str">
        <f t="shared" si="67"/>
        <v>Sunday</v>
      </c>
    </row>
    <row r="2119" spans="1:8">
      <c r="A2119" s="9">
        <v>156403612</v>
      </c>
      <c r="B2119" s="6">
        <v>45075</v>
      </c>
      <c r="C2119" s="1"/>
      <c r="D2119" s="1" t="s">
        <v>7</v>
      </c>
      <c r="E2119" s="1">
        <v>39</v>
      </c>
      <c r="F2119" s="1" t="s">
        <v>6</v>
      </c>
      <c r="G2119" s="44" t="str">
        <f t="shared" si="66"/>
        <v/>
      </c>
      <c r="H2119" s="10" t="str">
        <f t="shared" si="67"/>
        <v>Monday</v>
      </c>
    </row>
    <row r="2120" spans="1:8">
      <c r="A2120" s="9">
        <v>216062001</v>
      </c>
      <c r="B2120" s="6">
        <v>45075</v>
      </c>
      <c r="C2120" s="1"/>
      <c r="D2120" s="1" t="s">
        <v>7</v>
      </c>
      <c r="E2120" s="1">
        <v>39</v>
      </c>
      <c r="F2120" s="1" t="s">
        <v>6</v>
      </c>
      <c r="G2120" s="44" t="str">
        <f t="shared" si="66"/>
        <v/>
      </c>
      <c r="H2120" s="10" t="str">
        <f t="shared" si="67"/>
        <v>Monday</v>
      </c>
    </row>
    <row r="2121" spans="1:8">
      <c r="A2121" s="9">
        <v>216083936</v>
      </c>
      <c r="B2121" s="6">
        <v>45075</v>
      </c>
      <c r="C2121" s="1"/>
      <c r="D2121" s="1" t="s">
        <v>7</v>
      </c>
      <c r="E2121" s="1">
        <v>39</v>
      </c>
      <c r="F2121" s="1" t="s">
        <v>6</v>
      </c>
      <c r="G2121" s="44" t="str">
        <f t="shared" si="66"/>
        <v/>
      </c>
      <c r="H2121" s="10" t="str">
        <f t="shared" si="67"/>
        <v>Monday</v>
      </c>
    </row>
    <row r="2122" spans="1:8">
      <c r="A2122" s="9">
        <v>215568210</v>
      </c>
      <c r="B2122" s="6">
        <v>45075</v>
      </c>
      <c r="C2122" s="6">
        <v>45166</v>
      </c>
      <c r="D2122" s="1" t="s">
        <v>7</v>
      </c>
      <c r="E2122" s="1">
        <v>39</v>
      </c>
      <c r="F2122" s="1" t="s">
        <v>6</v>
      </c>
      <c r="G2122" s="44">
        <f t="shared" si="66"/>
        <v>91</v>
      </c>
      <c r="H2122" s="10" t="str">
        <f t="shared" si="67"/>
        <v>Monday</v>
      </c>
    </row>
    <row r="2123" spans="1:8">
      <c r="A2123" s="9">
        <v>181480437</v>
      </c>
      <c r="B2123" s="6">
        <v>45075</v>
      </c>
      <c r="C2123" s="6">
        <v>45110</v>
      </c>
      <c r="D2123" s="1" t="s">
        <v>7</v>
      </c>
      <c r="E2123" s="1">
        <v>39</v>
      </c>
      <c r="F2123" s="1" t="s">
        <v>6</v>
      </c>
      <c r="G2123" s="44">
        <f t="shared" si="66"/>
        <v>35</v>
      </c>
      <c r="H2123" s="10" t="str">
        <f t="shared" si="67"/>
        <v>Monday</v>
      </c>
    </row>
    <row r="2124" spans="1:8">
      <c r="A2124" s="9">
        <v>147197398</v>
      </c>
      <c r="B2124" s="6">
        <v>45076</v>
      </c>
      <c r="C2124" s="1"/>
      <c r="D2124" s="1" t="s">
        <v>7</v>
      </c>
      <c r="E2124" s="1">
        <v>39</v>
      </c>
      <c r="F2124" s="1" t="s">
        <v>6</v>
      </c>
      <c r="G2124" s="44" t="str">
        <f t="shared" si="66"/>
        <v/>
      </c>
      <c r="H2124" s="10" t="str">
        <f t="shared" si="67"/>
        <v>Tuesday</v>
      </c>
    </row>
    <row r="2125" spans="1:8">
      <c r="A2125" s="9">
        <v>212051648</v>
      </c>
      <c r="B2125" s="6">
        <v>45076</v>
      </c>
      <c r="C2125" s="1"/>
      <c r="D2125" s="1" t="s">
        <v>7</v>
      </c>
      <c r="E2125" s="1">
        <v>39</v>
      </c>
      <c r="F2125" s="1" t="s">
        <v>6</v>
      </c>
      <c r="G2125" s="44" t="str">
        <f t="shared" si="66"/>
        <v/>
      </c>
      <c r="H2125" s="10" t="str">
        <f t="shared" si="67"/>
        <v>Tuesday</v>
      </c>
    </row>
    <row r="2126" spans="1:8">
      <c r="A2126" s="9">
        <v>216141502</v>
      </c>
      <c r="B2126" s="6">
        <v>45076</v>
      </c>
      <c r="C2126" s="1"/>
      <c r="D2126" s="1" t="s">
        <v>7</v>
      </c>
      <c r="E2126" s="1">
        <v>39</v>
      </c>
      <c r="F2126" s="1" t="s">
        <v>6</v>
      </c>
      <c r="G2126" s="44" t="str">
        <f t="shared" si="66"/>
        <v/>
      </c>
      <c r="H2126" s="10" t="str">
        <f t="shared" si="67"/>
        <v>Tuesday</v>
      </c>
    </row>
    <row r="2127" spans="1:8">
      <c r="A2127" s="9">
        <v>216136975</v>
      </c>
      <c r="B2127" s="6">
        <v>45076</v>
      </c>
      <c r="C2127" s="1"/>
      <c r="D2127" s="1" t="s">
        <v>7</v>
      </c>
      <c r="E2127" s="1">
        <v>39</v>
      </c>
      <c r="F2127" s="1" t="s">
        <v>6</v>
      </c>
      <c r="G2127" s="44" t="str">
        <f t="shared" si="66"/>
        <v/>
      </c>
      <c r="H2127" s="10" t="str">
        <f t="shared" si="67"/>
        <v>Tuesday</v>
      </c>
    </row>
    <row r="2128" spans="1:8">
      <c r="A2128" s="9">
        <v>213240907</v>
      </c>
      <c r="B2128" s="6">
        <v>45076</v>
      </c>
      <c r="C2128" s="1"/>
      <c r="D2128" s="1" t="s">
        <v>7</v>
      </c>
      <c r="E2128" s="1">
        <v>39</v>
      </c>
      <c r="F2128" s="1" t="s">
        <v>6</v>
      </c>
      <c r="G2128" s="44" t="str">
        <f t="shared" si="66"/>
        <v/>
      </c>
      <c r="H2128" s="10" t="str">
        <f t="shared" si="67"/>
        <v>Tuesday</v>
      </c>
    </row>
    <row r="2129" spans="1:8">
      <c r="A2129" s="9">
        <v>204739496</v>
      </c>
      <c r="B2129" s="6">
        <v>45076</v>
      </c>
      <c r="C2129" s="6">
        <v>45172</v>
      </c>
      <c r="D2129" s="1" t="s">
        <v>7</v>
      </c>
      <c r="E2129" s="1">
        <v>39</v>
      </c>
      <c r="F2129" s="1" t="s">
        <v>6</v>
      </c>
      <c r="G2129" s="44">
        <f t="shared" si="66"/>
        <v>96</v>
      </c>
      <c r="H2129" s="10" t="str">
        <f t="shared" si="67"/>
        <v>Tuesday</v>
      </c>
    </row>
    <row r="2130" spans="1:8">
      <c r="A2130" s="9">
        <v>203366396</v>
      </c>
      <c r="B2130" s="6">
        <v>45076</v>
      </c>
      <c r="C2130" s="6">
        <v>45077</v>
      </c>
      <c r="D2130" s="1" t="s">
        <v>7</v>
      </c>
      <c r="E2130" s="1">
        <v>39</v>
      </c>
      <c r="F2130" s="1" t="s">
        <v>6</v>
      </c>
      <c r="G2130" s="44">
        <f t="shared" si="66"/>
        <v>1</v>
      </c>
      <c r="H2130" s="10" t="str">
        <f t="shared" si="67"/>
        <v>Tuesday</v>
      </c>
    </row>
    <row r="2131" spans="1:8">
      <c r="A2131" s="9">
        <v>216136446</v>
      </c>
      <c r="B2131" s="6">
        <v>45076</v>
      </c>
      <c r="C2131" s="6">
        <v>45105</v>
      </c>
      <c r="D2131" s="1" t="s">
        <v>7</v>
      </c>
      <c r="E2131" s="1">
        <v>39</v>
      </c>
      <c r="F2131" s="1" t="s">
        <v>6</v>
      </c>
      <c r="G2131" s="44">
        <f t="shared" si="66"/>
        <v>29</v>
      </c>
      <c r="H2131" s="10" t="str">
        <f t="shared" si="67"/>
        <v>Tuesday</v>
      </c>
    </row>
    <row r="2132" spans="1:8">
      <c r="A2132" s="9">
        <v>216139586</v>
      </c>
      <c r="B2132" s="6">
        <v>45076</v>
      </c>
      <c r="C2132" s="6">
        <v>45107</v>
      </c>
      <c r="D2132" s="1" t="s">
        <v>7</v>
      </c>
      <c r="E2132" s="1">
        <v>39</v>
      </c>
      <c r="F2132" s="1" t="s">
        <v>6</v>
      </c>
      <c r="G2132" s="44">
        <f t="shared" si="66"/>
        <v>31</v>
      </c>
      <c r="H2132" s="10" t="str">
        <f t="shared" si="67"/>
        <v>Tuesday</v>
      </c>
    </row>
    <row r="2133" spans="1:8">
      <c r="A2133" s="9">
        <v>216126416</v>
      </c>
      <c r="B2133" s="6">
        <v>45076</v>
      </c>
      <c r="C2133" s="6">
        <v>45081</v>
      </c>
      <c r="D2133" s="1" t="s">
        <v>7</v>
      </c>
      <c r="E2133" s="1">
        <v>39</v>
      </c>
      <c r="F2133" s="1" t="s">
        <v>6</v>
      </c>
      <c r="G2133" s="44">
        <f t="shared" si="66"/>
        <v>5</v>
      </c>
      <c r="H2133" s="10" t="str">
        <f t="shared" si="67"/>
        <v>Tuesday</v>
      </c>
    </row>
    <row r="2134" spans="1:8">
      <c r="A2134" s="9">
        <v>216181144</v>
      </c>
      <c r="B2134" s="6">
        <v>45076</v>
      </c>
      <c r="C2134" s="6">
        <v>45114</v>
      </c>
      <c r="D2134" s="1" t="s">
        <v>7</v>
      </c>
      <c r="E2134" s="1">
        <v>39</v>
      </c>
      <c r="F2134" s="1" t="s">
        <v>6</v>
      </c>
      <c r="G2134" s="44">
        <f t="shared" si="66"/>
        <v>38</v>
      </c>
      <c r="H2134" s="10" t="str">
        <f t="shared" si="67"/>
        <v>Tuesday</v>
      </c>
    </row>
    <row r="2135" spans="1:8">
      <c r="A2135" s="9">
        <v>216100714</v>
      </c>
      <c r="B2135" s="6">
        <v>45076</v>
      </c>
      <c r="C2135" s="6">
        <v>45140</v>
      </c>
      <c r="D2135" s="1" t="s">
        <v>7</v>
      </c>
      <c r="E2135" s="1">
        <v>39</v>
      </c>
      <c r="F2135" s="1" t="s">
        <v>6</v>
      </c>
      <c r="G2135" s="44">
        <f t="shared" si="66"/>
        <v>64</v>
      </c>
      <c r="H2135" s="10" t="str">
        <f t="shared" si="67"/>
        <v>Tuesday</v>
      </c>
    </row>
    <row r="2136" spans="1:8">
      <c r="A2136" s="9">
        <v>216155144</v>
      </c>
      <c r="B2136" s="6">
        <v>45076</v>
      </c>
      <c r="C2136" s="6">
        <v>45137</v>
      </c>
      <c r="D2136" s="1" t="s">
        <v>7</v>
      </c>
      <c r="E2136" s="1">
        <v>39</v>
      </c>
      <c r="F2136" s="1" t="s">
        <v>6</v>
      </c>
      <c r="G2136" s="44">
        <f t="shared" si="66"/>
        <v>61</v>
      </c>
      <c r="H2136" s="10" t="str">
        <f t="shared" si="67"/>
        <v>Tuesday</v>
      </c>
    </row>
    <row r="2137" spans="1:8">
      <c r="A2137" s="9">
        <v>190978347</v>
      </c>
      <c r="B2137" s="6">
        <v>45076</v>
      </c>
      <c r="C2137" s="6">
        <v>45146</v>
      </c>
      <c r="D2137" s="1" t="s">
        <v>7</v>
      </c>
      <c r="E2137" s="1">
        <v>39</v>
      </c>
      <c r="F2137" s="1" t="s">
        <v>6</v>
      </c>
      <c r="G2137" s="44">
        <f t="shared" si="66"/>
        <v>70</v>
      </c>
      <c r="H2137" s="10" t="str">
        <f t="shared" si="67"/>
        <v>Tuesday</v>
      </c>
    </row>
    <row r="2138" spans="1:8">
      <c r="A2138" s="9">
        <v>215653713</v>
      </c>
      <c r="B2138" s="6">
        <v>45076</v>
      </c>
      <c r="C2138" s="6">
        <v>45118</v>
      </c>
      <c r="D2138" s="1" t="s">
        <v>7</v>
      </c>
      <c r="E2138" s="1">
        <v>39</v>
      </c>
      <c r="F2138" s="1" t="s">
        <v>6</v>
      </c>
      <c r="G2138" s="44">
        <f t="shared" si="66"/>
        <v>42</v>
      </c>
      <c r="H2138" s="10" t="str">
        <f t="shared" si="67"/>
        <v>Tuesday</v>
      </c>
    </row>
    <row r="2139" spans="1:8">
      <c r="A2139" s="9">
        <v>215185569</v>
      </c>
      <c r="B2139" s="6">
        <v>45076</v>
      </c>
      <c r="C2139" s="6">
        <v>45167</v>
      </c>
      <c r="D2139" s="1" t="s">
        <v>7</v>
      </c>
      <c r="E2139" s="1">
        <v>39</v>
      </c>
      <c r="F2139" s="1" t="s">
        <v>6</v>
      </c>
      <c r="G2139" s="44">
        <f t="shared" si="66"/>
        <v>91</v>
      </c>
      <c r="H2139" s="10" t="str">
        <f t="shared" si="67"/>
        <v>Tuesday</v>
      </c>
    </row>
    <row r="2140" spans="1:8">
      <c r="A2140" s="9">
        <v>215488799</v>
      </c>
      <c r="B2140" s="6">
        <v>45077</v>
      </c>
      <c r="C2140" s="1"/>
      <c r="D2140" s="1" t="s">
        <v>7</v>
      </c>
      <c r="E2140" s="1">
        <v>39</v>
      </c>
      <c r="F2140" s="1" t="s">
        <v>6</v>
      </c>
      <c r="G2140" s="44" t="str">
        <f t="shared" si="66"/>
        <v/>
      </c>
      <c r="H2140" s="10" t="str">
        <f t="shared" si="67"/>
        <v>Wednesday</v>
      </c>
    </row>
    <row r="2141" spans="1:8">
      <c r="A2141" s="9">
        <v>216170130</v>
      </c>
      <c r="B2141" s="6">
        <v>45077</v>
      </c>
      <c r="C2141" s="1"/>
      <c r="D2141" s="1" t="s">
        <v>7</v>
      </c>
      <c r="E2141" s="1">
        <v>39</v>
      </c>
      <c r="F2141" s="1" t="s">
        <v>6</v>
      </c>
      <c r="G2141" s="44" t="str">
        <f t="shared" si="66"/>
        <v/>
      </c>
      <c r="H2141" s="10" t="str">
        <f t="shared" si="67"/>
        <v>Wednesday</v>
      </c>
    </row>
    <row r="2142" spans="1:8">
      <c r="A2142" s="9">
        <v>215723337</v>
      </c>
      <c r="B2142" s="6">
        <v>45077</v>
      </c>
      <c r="C2142" s="1"/>
      <c r="D2142" s="1" t="s">
        <v>7</v>
      </c>
      <c r="E2142" s="1">
        <v>39</v>
      </c>
      <c r="F2142" s="1" t="s">
        <v>6</v>
      </c>
      <c r="G2142" s="44" t="str">
        <f t="shared" si="66"/>
        <v/>
      </c>
      <c r="H2142" s="10" t="str">
        <f t="shared" si="67"/>
        <v>Wednesday</v>
      </c>
    </row>
    <row r="2143" spans="1:8">
      <c r="A2143" s="9">
        <v>148568942</v>
      </c>
      <c r="B2143" s="6">
        <v>45077</v>
      </c>
      <c r="C2143" s="1"/>
      <c r="D2143" s="1" t="s">
        <v>7</v>
      </c>
      <c r="E2143" s="1">
        <v>39</v>
      </c>
      <c r="F2143" s="1" t="s">
        <v>6</v>
      </c>
      <c r="G2143" s="44" t="str">
        <f t="shared" si="66"/>
        <v/>
      </c>
      <c r="H2143" s="10" t="str">
        <f t="shared" si="67"/>
        <v>Wednesday</v>
      </c>
    </row>
    <row r="2144" spans="1:8">
      <c r="A2144" s="9">
        <v>215102456</v>
      </c>
      <c r="B2144" s="6">
        <v>45077</v>
      </c>
      <c r="C2144" s="1"/>
      <c r="D2144" s="1" t="s">
        <v>7</v>
      </c>
      <c r="E2144" s="1">
        <v>39</v>
      </c>
      <c r="F2144" s="1" t="s">
        <v>6</v>
      </c>
      <c r="G2144" s="44" t="str">
        <f t="shared" si="66"/>
        <v/>
      </c>
      <c r="H2144" s="10" t="str">
        <f t="shared" si="67"/>
        <v>Wednesday</v>
      </c>
    </row>
    <row r="2145" spans="1:8">
      <c r="A2145" s="9">
        <v>216017581</v>
      </c>
      <c r="B2145" s="6">
        <v>45077</v>
      </c>
      <c r="C2145" s="1"/>
      <c r="D2145" s="1" t="s">
        <v>7</v>
      </c>
      <c r="E2145" s="1">
        <v>39</v>
      </c>
      <c r="F2145" s="1" t="s">
        <v>6</v>
      </c>
      <c r="G2145" s="44" t="str">
        <f t="shared" si="66"/>
        <v/>
      </c>
      <c r="H2145" s="10" t="str">
        <f t="shared" si="67"/>
        <v>Wednesday</v>
      </c>
    </row>
    <row r="2146" spans="1:8">
      <c r="A2146" s="9">
        <v>153438676</v>
      </c>
      <c r="B2146" s="6">
        <v>45077</v>
      </c>
      <c r="C2146" s="1"/>
      <c r="D2146" s="1" t="s">
        <v>7</v>
      </c>
      <c r="E2146" s="1">
        <v>39</v>
      </c>
      <c r="F2146" s="1" t="s">
        <v>6</v>
      </c>
      <c r="G2146" s="44" t="str">
        <f t="shared" si="66"/>
        <v/>
      </c>
      <c r="H2146" s="10" t="str">
        <f t="shared" si="67"/>
        <v>Wednesday</v>
      </c>
    </row>
    <row r="2147" spans="1:8">
      <c r="A2147" s="9">
        <v>213190132</v>
      </c>
      <c r="B2147" s="6">
        <v>45077</v>
      </c>
      <c r="C2147" s="1"/>
      <c r="D2147" s="1" t="s">
        <v>7</v>
      </c>
      <c r="E2147" s="1">
        <v>39</v>
      </c>
      <c r="F2147" s="1" t="s">
        <v>6</v>
      </c>
      <c r="G2147" s="44" t="str">
        <f t="shared" si="66"/>
        <v/>
      </c>
      <c r="H2147" s="10" t="str">
        <f t="shared" si="67"/>
        <v>Wednesday</v>
      </c>
    </row>
    <row r="2148" spans="1:8">
      <c r="A2148" s="9">
        <v>216218992</v>
      </c>
      <c r="B2148" s="6">
        <v>45077</v>
      </c>
      <c r="C2148" s="6">
        <v>45169</v>
      </c>
      <c r="D2148" s="1" t="s">
        <v>7</v>
      </c>
      <c r="E2148" s="1">
        <v>39</v>
      </c>
      <c r="F2148" s="1" t="s">
        <v>6</v>
      </c>
      <c r="G2148" s="44">
        <f t="shared" si="66"/>
        <v>92</v>
      </c>
      <c r="H2148" s="10" t="str">
        <f t="shared" si="67"/>
        <v>Wednesday</v>
      </c>
    </row>
    <row r="2149" spans="1:8">
      <c r="A2149" s="9">
        <v>216210442</v>
      </c>
      <c r="B2149" s="6">
        <v>45077</v>
      </c>
      <c r="C2149" s="6">
        <v>45092</v>
      </c>
      <c r="D2149" s="1" t="s">
        <v>7</v>
      </c>
      <c r="E2149" s="1">
        <v>39</v>
      </c>
      <c r="F2149" s="1" t="s">
        <v>6</v>
      </c>
      <c r="G2149" s="44">
        <f t="shared" si="66"/>
        <v>15</v>
      </c>
      <c r="H2149" s="10" t="str">
        <f t="shared" si="67"/>
        <v>Wednesday</v>
      </c>
    </row>
    <row r="2150" spans="1:8">
      <c r="A2150" s="9">
        <v>129447970</v>
      </c>
      <c r="B2150" s="6">
        <v>45077</v>
      </c>
      <c r="C2150" s="6">
        <v>45172</v>
      </c>
      <c r="D2150" s="1" t="s">
        <v>7</v>
      </c>
      <c r="E2150" s="1">
        <v>39</v>
      </c>
      <c r="F2150" s="1" t="s">
        <v>6</v>
      </c>
      <c r="G2150" s="44">
        <f t="shared" si="66"/>
        <v>95</v>
      </c>
      <c r="H2150" s="10" t="str">
        <f t="shared" si="67"/>
        <v>Wednesday</v>
      </c>
    </row>
    <row r="2151" spans="1:8">
      <c r="A2151" s="9">
        <v>216221115</v>
      </c>
      <c r="B2151" s="6">
        <v>45077</v>
      </c>
      <c r="C2151" s="6">
        <v>45109</v>
      </c>
      <c r="D2151" s="1" t="s">
        <v>7</v>
      </c>
      <c r="E2151" s="1">
        <v>39</v>
      </c>
      <c r="F2151" s="1" t="s">
        <v>6</v>
      </c>
      <c r="G2151" s="44">
        <f t="shared" si="66"/>
        <v>32</v>
      </c>
      <c r="H2151" s="10" t="str">
        <f t="shared" si="67"/>
        <v>Wednesday</v>
      </c>
    </row>
    <row r="2152" spans="1:8">
      <c r="A2152" s="9">
        <v>215911675</v>
      </c>
      <c r="B2152" s="6">
        <v>45077</v>
      </c>
      <c r="C2152" s="6">
        <v>45114</v>
      </c>
      <c r="D2152" s="1" t="s">
        <v>7</v>
      </c>
      <c r="E2152" s="1">
        <v>39</v>
      </c>
      <c r="F2152" s="1" t="s">
        <v>6</v>
      </c>
      <c r="G2152" s="44">
        <f t="shared" si="66"/>
        <v>37</v>
      </c>
      <c r="H2152" s="10" t="str">
        <f t="shared" si="67"/>
        <v>Wednesday</v>
      </c>
    </row>
    <row r="2153" spans="1:8">
      <c r="A2153" s="9">
        <v>215908254</v>
      </c>
      <c r="B2153" s="6">
        <v>45077</v>
      </c>
      <c r="C2153" s="6">
        <v>45098</v>
      </c>
      <c r="D2153" s="1" t="s">
        <v>7</v>
      </c>
      <c r="E2153" s="1">
        <v>39</v>
      </c>
      <c r="F2153" s="1" t="s">
        <v>6</v>
      </c>
      <c r="G2153" s="44">
        <f t="shared" si="66"/>
        <v>21</v>
      </c>
      <c r="H2153" s="10" t="str">
        <f t="shared" si="67"/>
        <v>Wednesday</v>
      </c>
    </row>
    <row r="2154" spans="1:8">
      <c r="A2154" s="9">
        <v>214610994</v>
      </c>
      <c r="B2154" s="6">
        <v>45077</v>
      </c>
      <c r="C2154" s="6">
        <v>45106</v>
      </c>
      <c r="D2154" s="1" t="s">
        <v>7</v>
      </c>
      <c r="E2154" s="1">
        <v>39</v>
      </c>
      <c r="F2154" s="1" t="s">
        <v>6</v>
      </c>
      <c r="G2154" s="44">
        <f t="shared" si="66"/>
        <v>29</v>
      </c>
      <c r="H2154" s="10" t="str">
        <f t="shared" si="67"/>
        <v>Wednesday</v>
      </c>
    </row>
    <row r="2155" spans="1:8">
      <c r="A2155" s="9">
        <v>143272167</v>
      </c>
      <c r="B2155" s="6">
        <v>45077</v>
      </c>
      <c r="C2155" s="6">
        <v>45176</v>
      </c>
      <c r="D2155" s="1" t="s">
        <v>7</v>
      </c>
      <c r="E2155" s="1">
        <v>39</v>
      </c>
      <c r="F2155" s="1" t="s">
        <v>6</v>
      </c>
      <c r="G2155" s="44">
        <f t="shared" si="66"/>
        <v>99</v>
      </c>
      <c r="H2155" s="10" t="str">
        <f t="shared" si="67"/>
        <v>Wednesday</v>
      </c>
    </row>
    <row r="2156" spans="1:8">
      <c r="A2156" s="9">
        <v>216340651</v>
      </c>
      <c r="B2156" s="6">
        <v>45078</v>
      </c>
      <c r="C2156" s="1"/>
      <c r="D2156" s="1" t="s">
        <v>7</v>
      </c>
      <c r="E2156" s="1">
        <v>39</v>
      </c>
      <c r="F2156" s="1" t="s">
        <v>6</v>
      </c>
      <c r="G2156" s="44" t="str">
        <f t="shared" si="66"/>
        <v/>
      </c>
      <c r="H2156" s="10" t="str">
        <f t="shared" si="67"/>
        <v>Thursday</v>
      </c>
    </row>
    <row r="2157" spans="1:8">
      <c r="A2157" s="9">
        <v>153573832</v>
      </c>
      <c r="B2157" s="6">
        <v>45078</v>
      </c>
      <c r="C2157" s="1"/>
      <c r="D2157" s="1" t="s">
        <v>7</v>
      </c>
      <c r="E2157" s="1">
        <v>39</v>
      </c>
      <c r="F2157" s="1" t="s">
        <v>6</v>
      </c>
      <c r="G2157" s="44" t="str">
        <f t="shared" si="66"/>
        <v/>
      </c>
      <c r="H2157" s="10" t="str">
        <f t="shared" si="67"/>
        <v>Thursday</v>
      </c>
    </row>
    <row r="2158" spans="1:8">
      <c r="A2158" s="9">
        <v>138312982</v>
      </c>
      <c r="B2158" s="6">
        <v>45078</v>
      </c>
      <c r="C2158" s="1"/>
      <c r="D2158" s="1" t="s">
        <v>7</v>
      </c>
      <c r="E2158" s="1">
        <v>39</v>
      </c>
      <c r="F2158" s="1" t="s">
        <v>6</v>
      </c>
      <c r="G2158" s="44" t="str">
        <f t="shared" si="66"/>
        <v/>
      </c>
      <c r="H2158" s="10" t="str">
        <f t="shared" si="67"/>
        <v>Thursday</v>
      </c>
    </row>
    <row r="2159" spans="1:8">
      <c r="A2159" s="9">
        <v>216365777</v>
      </c>
      <c r="B2159" s="6">
        <v>45078</v>
      </c>
      <c r="C2159" s="1"/>
      <c r="D2159" s="1" t="s">
        <v>7</v>
      </c>
      <c r="E2159" s="1">
        <v>39</v>
      </c>
      <c r="F2159" s="1" t="s">
        <v>6</v>
      </c>
      <c r="G2159" s="44" t="str">
        <f t="shared" si="66"/>
        <v/>
      </c>
      <c r="H2159" s="10" t="str">
        <f t="shared" si="67"/>
        <v>Thursday</v>
      </c>
    </row>
    <row r="2160" spans="1:8">
      <c r="A2160" s="9">
        <v>216272792</v>
      </c>
      <c r="B2160" s="6">
        <v>45078</v>
      </c>
      <c r="C2160" s="6">
        <v>45175</v>
      </c>
      <c r="D2160" s="1" t="s">
        <v>7</v>
      </c>
      <c r="E2160" s="1">
        <v>39</v>
      </c>
      <c r="F2160" s="1" t="s">
        <v>6</v>
      </c>
      <c r="G2160" s="44">
        <f t="shared" si="66"/>
        <v>97</v>
      </c>
      <c r="H2160" s="10" t="str">
        <f t="shared" si="67"/>
        <v>Thursday</v>
      </c>
    </row>
    <row r="2161" spans="1:8">
      <c r="A2161" s="9">
        <v>167174814</v>
      </c>
      <c r="B2161" s="6">
        <v>45078</v>
      </c>
      <c r="C2161" s="6">
        <v>45088</v>
      </c>
      <c r="D2161" s="1" t="s">
        <v>7</v>
      </c>
      <c r="E2161" s="1">
        <v>39</v>
      </c>
      <c r="F2161" s="1" t="s">
        <v>6</v>
      </c>
      <c r="G2161" s="44">
        <f t="shared" si="66"/>
        <v>10</v>
      </c>
      <c r="H2161" s="10" t="str">
        <f t="shared" si="67"/>
        <v>Thursday</v>
      </c>
    </row>
    <row r="2162" spans="1:8">
      <c r="A2162" s="9">
        <v>216329176</v>
      </c>
      <c r="B2162" s="6">
        <v>45078</v>
      </c>
      <c r="C2162" s="6">
        <v>45115</v>
      </c>
      <c r="D2162" s="1" t="s">
        <v>7</v>
      </c>
      <c r="E2162" s="1">
        <v>39</v>
      </c>
      <c r="F2162" s="1" t="s">
        <v>6</v>
      </c>
      <c r="G2162" s="44">
        <f t="shared" si="66"/>
        <v>37</v>
      </c>
      <c r="H2162" s="10" t="str">
        <f t="shared" si="67"/>
        <v>Thursday</v>
      </c>
    </row>
    <row r="2163" spans="1:8">
      <c r="A2163" s="9">
        <v>147320092</v>
      </c>
      <c r="B2163" s="6">
        <v>45078</v>
      </c>
      <c r="C2163" s="6">
        <v>45111</v>
      </c>
      <c r="D2163" s="1" t="s">
        <v>7</v>
      </c>
      <c r="E2163" s="1">
        <v>39</v>
      </c>
      <c r="F2163" s="1" t="s">
        <v>6</v>
      </c>
      <c r="G2163" s="44">
        <f t="shared" si="66"/>
        <v>33</v>
      </c>
      <c r="H2163" s="10" t="str">
        <f t="shared" si="67"/>
        <v>Thursday</v>
      </c>
    </row>
    <row r="2164" spans="1:8">
      <c r="A2164" s="9">
        <v>157974600</v>
      </c>
      <c r="B2164" s="6">
        <v>45078</v>
      </c>
      <c r="C2164" s="6">
        <v>45091</v>
      </c>
      <c r="D2164" s="1" t="s">
        <v>7</v>
      </c>
      <c r="E2164" s="1">
        <v>39</v>
      </c>
      <c r="F2164" s="1" t="s">
        <v>6</v>
      </c>
      <c r="G2164" s="44">
        <f t="shared" si="66"/>
        <v>13</v>
      </c>
      <c r="H2164" s="10" t="str">
        <f t="shared" si="67"/>
        <v>Thursday</v>
      </c>
    </row>
    <row r="2165" spans="1:8">
      <c r="A2165" s="9">
        <v>200955808</v>
      </c>
      <c r="B2165" s="6">
        <v>45078</v>
      </c>
      <c r="C2165" s="6">
        <v>45108</v>
      </c>
      <c r="D2165" s="1" t="s">
        <v>7</v>
      </c>
      <c r="E2165" s="1">
        <v>39</v>
      </c>
      <c r="F2165" s="1" t="s">
        <v>6</v>
      </c>
      <c r="G2165" s="44">
        <f t="shared" si="66"/>
        <v>30</v>
      </c>
      <c r="H2165" s="10" t="str">
        <f t="shared" si="67"/>
        <v>Thursday</v>
      </c>
    </row>
    <row r="2166" spans="1:8">
      <c r="A2166" s="9">
        <v>216332850</v>
      </c>
      <c r="B2166" s="6">
        <v>45078</v>
      </c>
      <c r="C2166" s="6">
        <v>45139</v>
      </c>
      <c r="D2166" s="1" t="s">
        <v>7</v>
      </c>
      <c r="E2166" s="1">
        <v>39</v>
      </c>
      <c r="F2166" s="1" t="s">
        <v>6</v>
      </c>
      <c r="G2166" s="44">
        <f t="shared" si="66"/>
        <v>61</v>
      </c>
      <c r="H2166" s="10" t="str">
        <f t="shared" si="67"/>
        <v>Thursday</v>
      </c>
    </row>
    <row r="2167" spans="1:8">
      <c r="A2167" s="9">
        <v>149986818</v>
      </c>
      <c r="B2167" s="6">
        <v>45079</v>
      </c>
      <c r="C2167" s="1"/>
      <c r="D2167" s="1" t="s">
        <v>7</v>
      </c>
      <c r="E2167" s="1">
        <v>39</v>
      </c>
      <c r="F2167" s="1" t="s">
        <v>6</v>
      </c>
      <c r="G2167" s="44" t="str">
        <f t="shared" si="66"/>
        <v/>
      </c>
      <c r="H2167" s="10" t="str">
        <f t="shared" si="67"/>
        <v>Friday</v>
      </c>
    </row>
    <row r="2168" spans="1:8">
      <c r="A2168" s="9">
        <v>132579012</v>
      </c>
      <c r="B2168" s="6">
        <v>45079</v>
      </c>
      <c r="C2168" s="1"/>
      <c r="D2168" s="1" t="s">
        <v>7</v>
      </c>
      <c r="E2168" s="1">
        <v>39</v>
      </c>
      <c r="F2168" s="1" t="s">
        <v>6</v>
      </c>
      <c r="G2168" s="44" t="str">
        <f t="shared" si="66"/>
        <v/>
      </c>
      <c r="H2168" s="10" t="str">
        <f t="shared" si="67"/>
        <v>Friday</v>
      </c>
    </row>
    <row r="2169" spans="1:8">
      <c r="A2169" s="9">
        <v>155529346</v>
      </c>
      <c r="B2169" s="6">
        <v>45079</v>
      </c>
      <c r="C2169" s="6">
        <v>45173</v>
      </c>
      <c r="D2169" s="1" t="s">
        <v>7</v>
      </c>
      <c r="E2169" s="1">
        <v>39</v>
      </c>
      <c r="F2169" s="1" t="s">
        <v>6</v>
      </c>
      <c r="G2169" s="44">
        <f t="shared" si="66"/>
        <v>94</v>
      </c>
      <c r="H2169" s="10" t="str">
        <f t="shared" si="67"/>
        <v>Friday</v>
      </c>
    </row>
    <row r="2170" spans="1:8">
      <c r="A2170" s="9">
        <v>153085868</v>
      </c>
      <c r="B2170" s="6">
        <v>45079</v>
      </c>
      <c r="C2170" s="6">
        <v>45106</v>
      </c>
      <c r="D2170" s="1" t="s">
        <v>7</v>
      </c>
      <c r="E2170" s="1">
        <v>39</v>
      </c>
      <c r="F2170" s="1" t="s">
        <v>6</v>
      </c>
      <c r="G2170" s="44">
        <f t="shared" si="66"/>
        <v>27</v>
      </c>
      <c r="H2170" s="10" t="str">
        <f t="shared" si="67"/>
        <v>Friday</v>
      </c>
    </row>
    <row r="2171" spans="1:8">
      <c r="A2171" s="9">
        <v>156702204</v>
      </c>
      <c r="B2171" s="6">
        <v>45079</v>
      </c>
      <c r="C2171" s="6">
        <v>45109</v>
      </c>
      <c r="D2171" s="1" t="s">
        <v>7</v>
      </c>
      <c r="E2171" s="1">
        <v>39</v>
      </c>
      <c r="F2171" s="1" t="s">
        <v>6</v>
      </c>
      <c r="G2171" s="44">
        <f t="shared" si="66"/>
        <v>30</v>
      </c>
      <c r="H2171" s="10" t="str">
        <f t="shared" si="67"/>
        <v>Friday</v>
      </c>
    </row>
    <row r="2172" spans="1:8">
      <c r="A2172" s="9">
        <v>158177676</v>
      </c>
      <c r="B2172" s="6">
        <v>45079</v>
      </c>
      <c r="C2172" s="6">
        <v>45104</v>
      </c>
      <c r="D2172" s="1" t="s">
        <v>7</v>
      </c>
      <c r="E2172" s="1">
        <v>39</v>
      </c>
      <c r="F2172" s="1" t="s">
        <v>6</v>
      </c>
      <c r="G2172" s="44">
        <f t="shared" si="66"/>
        <v>25</v>
      </c>
      <c r="H2172" s="10" t="str">
        <f t="shared" si="67"/>
        <v>Friday</v>
      </c>
    </row>
    <row r="2173" spans="1:8">
      <c r="A2173" s="9">
        <v>216423972</v>
      </c>
      <c r="B2173" s="6">
        <v>45079</v>
      </c>
      <c r="C2173" s="6">
        <v>45121</v>
      </c>
      <c r="D2173" s="1" t="s">
        <v>7</v>
      </c>
      <c r="E2173" s="1">
        <v>39</v>
      </c>
      <c r="F2173" s="1" t="s">
        <v>6</v>
      </c>
      <c r="G2173" s="44">
        <f t="shared" si="66"/>
        <v>42</v>
      </c>
      <c r="H2173" s="10" t="str">
        <f t="shared" si="67"/>
        <v>Friday</v>
      </c>
    </row>
    <row r="2174" spans="1:8">
      <c r="A2174" s="9">
        <v>216533259</v>
      </c>
      <c r="B2174" s="6">
        <v>45080</v>
      </c>
      <c r="C2174" s="1"/>
      <c r="D2174" s="1" t="s">
        <v>7</v>
      </c>
      <c r="E2174" s="1">
        <v>39</v>
      </c>
      <c r="F2174" s="1" t="s">
        <v>6</v>
      </c>
      <c r="G2174" s="44" t="str">
        <f t="shared" si="66"/>
        <v/>
      </c>
      <c r="H2174" s="10" t="str">
        <f t="shared" si="67"/>
        <v>Saturday</v>
      </c>
    </row>
    <row r="2175" spans="1:8">
      <c r="A2175" s="9">
        <v>204953211</v>
      </c>
      <c r="B2175" s="6">
        <v>45080</v>
      </c>
      <c r="C2175" s="1"/>
      <c r="D2175" s="1" t="s">
        <v>7</v>
      </c>
      <c r="E2175" s="1">
        <v>39</v>
      </c>
      <c r="F2175" s="1" t="s">
        <v>6</v>
      </c>
      <c r="G2175" s="44" t="str">
        <f t="shared" si="66"/>
        <v/>
      </c>
      <c r="H2175" s="10" t="str">
        <f t="shared" si="67"/>
        <v>Saturday</v>
      </c>
    </row>
    <row r="2176" spans="1:8">
      <c r="A2176" s="9">
        <v>149112756</v>
      </c>
      <c r="B2176" s="6">
        <v>45080</v>
      </c>
      <c r="C2176" s="1"/>
      <c r="D2176" s="1" t="s">
        <v>7</v>
      </c>
      <c r="E2176" s="1">
        <v>39</v>
      </c>
      <c r="F2176" s="1" t="s">
        <v>6</v>
      </c>
      <c r="G2176" s="44" t="str">
        <f t="shared" si="66"/>
        <v/>
      </c>
      <c r="H2176" s="10" t="str">
        <f t="shared" si="67"/>
        <v>Saturday</v>
      </c>
    </row>
    <row r="2177" spans="1:8">
      <c r="A2177" s="9">
        <v>216674420</v>
      </c>
      <c r="B2177" s="6">
        <v>45080</v>
      </c>
      <c r="C2177" s="6">
        <v>45081</v>
      </c>
      <c r="D2177" s="1" t="s">
        <v>8</v>
      </c>
      <c r="E2177" s="1">
        <v>39</v>
      </c>
      <c r="F2177" s="1" t="s">
        <v>6</v>
      </c>
      <c r="G2177" s="44">
        <f t="shared" si="66"/>
        <v>1</v>
      </c>
      <c r="H2177" s="10" t="str">
        <f t="shared" si="67"/>
        <v>Saturday</v>
      </c>
    </row>
    <row r="2178" spans="1:8">
      <c r="A2178" s="9">
        <v>148225450</v>
      </c>
      <c r="B2178" s="6">
        <v>45080</v>
      </c>
      <c r="C2178" s="6">
        <v>45106</v>
      </c>
      <c r="D2178" s="1" t="s">
        <v>7</v>
      </c>
      <c r="E2178" s="1">
        <v>39</v>
      </c>
      <c r="F2178" s="1" t="s">
        <v>6</v>
      </c>
      <c r="G2178" s="44">
        <f t="shared" si="66"/>
        <v>26</v>
      </c>
      <c r="H2178" s="10" t="str">
        <f t="shared" si="67"/>
        <v>Saturday</v>
      </c>
    </row>
    <row r="2179" spans="1:8">
      <c r="A2179" s="9">
        <v>216720172</v>
      </c>
      <c r="B2179" s="6">
        <v>45080</v>
      </c>
      <c r="C2179" s="6">
        <v>45097</v>
      </c>
      <c r="D2179" s="1" t="s">
        <v>7</v>
      </c>
      <c r="E2179" s="1">
        <v>39</v>
      </c>
      <c r="F2179" s="1" t="s">
        <v>6</v>
      </c>
      <c r="G2179" s="44">
        <f t="shared" ref="G2179:G2242" si="68">IF(C2179="", "", DATEDIF(B2179, C2179, "D"))</f>
        <v>17</v>
      </c>
      <c r="H2179" s="10" t="str">
        <f t="shared" ref="H2179:H2242" si="69">TEXT(B2179, "dddd")</f>
        <v>Saturday</v>
      </c>
    </row>
    <row r="2180" spans="1:8">
      <c r="A2180" s="9">
        <v>204750804</v>
      </c>
      <c r="B2180" s="6">
        <v>45080</v>
      </c>
      <c r="C2180" s="6">
        <v>45104</v>
      </c>
      <c r="D2180" s="1" t="s">
        <v>7</v>
      </c>
      <c r="E2180" s="1">
        <v>39</v>
      </c>
      <c r="F2180" s="1" t="s">
        <v>6</v>
      </c>
      <c r="G2180" s="44">
        <f t="shared" si="68"/>
        <v>24</v>
      </c>
      <c r="H2180" s="10" t="str">
        <f t="shared" si="69"/>
        <v>Saturday</v>
      </c>
    </row>
    <row r="2181" spans="1:8">
      <c r="A2181" s="9">
        <v>147798395</v>
      </c>
      <c r="B2181" s="6">
        <v>45081</v>
      </c>
      <c r="C2181" s="1"/>
      <c r="D2181" s="1" t="s">
        <v>7</v>
      </c>
      <c r="E2181" s="1">
        <v>39</v>
      </c>
      <c r="F2181" s="1" t="s">
        <v>6</v>
      </c>
      <c r="G2181" s="44" t="str">
        <f t="shared" si="68"/>
        <v/>
      </c>
      <c r="H2181" s="10" t="str">
        <f t="shared" si="69"/>
        <v>Sunday</v>
      </c>
    </row>
    <row r="2182" spans="1:8">
      <c r="A2182" s="9">
        <v>216560949</v>
      </c>
      <c r="B2182" s="6">
        <v>45081</v>
      </c>
      <c r="C2182" s="6">
        <v>45112</v>
      </c>
      <c r="D2182" s="1" t="s">
        <v>7</v>
      </c>
      <c r="E2182" s="1">
        <v>39</v>
      </c>
      <c r="F2182" s="1" t="s">
        <v>6</v>
      </c>
      <c r="G2182" s="44">
        <f t="shared" si="68"/>
        <v>31</v>
      </c>
      <c r="H2182" s="10" t="str">
        <f t="shared" si="69"/>
        <v>Sunday</v>
      </c>
    </row>
    <row r="2183" spans="1:8">
      <c r="A2183" s="9">
        <v>216743053</v>
      </c>
      <c r="B2183" s="6">
        <v>45081</v>
      </c>
      <c r="C2183" s="6">
        <v>45121</v>
      </c>
      <c r="D2183" s="1" t="s">
        <v>7</v>
      </c>
      <c r="E2183" s="1">
        <v>39</v>
      </c>
      <c r="F2183" s="1" t="s">
        <v>6</v>
      </c>
      <c r="G2183" s="44">
        <f t="shared" si="68"/>
        <v>40</v>
      </c>
      <c r="H2183" s="10" t="str">
        <f t="shared" si="69"/>
        <v>Sunday</v>
      </c>
    </row>
    <row r="2184" spans="1:8">
      <c r="A2184" s="9">
        <v>149040748</v>
      </c>
      <c r="B2184" s="6">
        <v>45082</v>
      </c>
      <c r="C2184" s="1"/>
      <c r="D2184" s="1" t="s">
        <v>7</v>
      </c>
      <c r="E2184" s="1">
        <v>39</v>
      </c>
      <c r="F2184" s="1" t="s">
        <v>6</v>
      </c>
      <c r="G2184" s="44" t="str">
        <f t="shared" si="68"/>
        <v/>
      </c>
      <c r="H2184" s="10" t="str">
        <f t="shared" si="69"/>
        <v>Monday</v>
      </c>
    </row>
    <row r="2185" spans="1:8">
      <c r="A2185" s="9">
        <v>206939746</v>
      </c>
      <c r="B2185" s="6">
        <v>45082</v>
      </c>
      <c r="C2185" s="1"/>
      <c r="D2185" s="1" t="s">
        <v>7</v>
      </c>
      <c r="E2185" s="1">
        <v>39</v>
      </c>
      <c r="F2185" s="1" t="s">
        <v>6</v>
      </c>
      <c r="G2185" s="44" t="str">
        <f t="shared" si="68"/>
        <v/>
      </c>
      <c r="H2185" s="10" t="str">
        <f t="shared" si="69"/>
        <v>Monday</v>
      </c>
    </row>
    <row r="2186" spans="1:8">
      <c r="A2186" s="9">
        <v>216845223</v>
      </c>
      <c r="B2186" s="6">
        <v>45082</v>
      </c>
      <c r="C2186" s="1"/>
      <c r="D2186" s="1" t="s">
        <v>7</v>
      </c>
      <c r="E2186" s="1">
        <v>39</v>
      </c>
      <c r="F2186" s="1" t="s">
        <v>6</v>
      </c>
      <c r="G2186" s="44" t="str">
        <f t="shared" si="68"/>
        <v/>
      </c>
      <c r="H2186" s="10" t="str">
        <f t="shared" si="69"/>
        <v>Monday</v>
      </c>
    </row>
    <row r="2187" spans="1:8">
      <c r="A2187" s="9">
        <v>124876382</v>
      </c>
      <c r="B2187" s="6">
        <v>45082</v>
      </c>
      <c r="C2187" s="6">
        <v>45150</v>
      </c>
      <c r="D2187" s="1" t="s">
        <v>7</v>
      </c>
      <c r="E2187" s="1">
        <v>39</v>
      </c>
      <c r="F2187" s="1" t="s">
        <v>6</v>
      </c>
      <c r="G2187" s="44">
        <f t="shared" si="68"/>
        <v>68</v>
      </c>
      <c r="H2187" s="10" t="str">
        <f t="shared" si="69"/>
        <v>Monday</v>
      </c>
    </row>
    <row r="2188" spans="1:8">
      <c r="A2188" s="9">
        <v>168485609</v>
      </c>
      <c r="B2188" s="6">
        <v>45082</v>
      </c>
      <c r="C2188" s="6">
        <v>45158</v>
      </c>
      <c r="D2188" s="1" t="s">
        <v>7</v>
      </c>
      <c r="E2188" s="1">
        <v>39</v>
      </c>
      <c r="F2188" s="1" t="s">
        <v>6</v>
      </c>
      <c r="G2188" s="44">
        <f t="shared" si="68"/>
        <v>76</v>
      </c>
      <c r="H2188" s="10" t="str">
        <f t="shared" si="69"/>
        <v>Monday</v>
      </c>
    </row>
    <row r="2189" spans="1:8">
      <c r="A2189" s="9">
        <v>216888206</v>
      </c>
      <c r="B2189" s="6">
        <v>45082</v>
      </c>
      <c r="C2189" s="6">
        <v>45172</v>
      </c>
      <c r="D2189" s="1" t="s">
        <v>7</v>
      </c>
      <c r="E2189" s="1">
        <v>39</v>
      </c>
      <c r="F2189" s="1" t="s">
        <v>6</v>
      </c>
      <c r="G2189" s="44">
        <f t="shared" si="68"/>
        <v>90</v>
      </c>
      <c r="H2189" s="10" t="str">
        <f t="shared" si="69"/>
        <v>Monday</v>
      </c>
    </row>
    <row r="2190" spans="1:8">
      <c r="A2190" s="9">
        <v>216957502</v>
      </c>
      <c r="B2190" s="6">
        <v>45083</v>
      </c>
      <c r="C2190" s="1"/>
      <c r="D2190" s="1" t="s">
        <v>7</v>
      </c>
      <c r="E2190" s="1">
        <v>39</v>
      </c>
      <c r="F2190" s="1" t="s">
        <v>6</v>
      </c>
      <c r="G2190" s="44" t="str">
        <f t="shared" si="68"/>
        <v/>
      </c>
      <c r="H2190" s="10" t="str">
        <f t="shared" si="69"/>
        <v>Tuesday</v>
      </c>
    </row>
    <row r="2191" spans="1:8">
      <c r="A2191" s="9">
        <v>215840282</v>
      </c>
      <c r="B2191" s="6">
        <v>45083</v>
      </c>
      <c r="C2191" s="1"/>
      <c r="D2191" s="1" t="s">
        <v>7</v>
      </c>
      <c r="E2191" s="1">
        <v>39</v>
      </c>
      <c r="F2191" s="1" t="s">
        <v>6</v>
      </c>
      <c r="G2191" s="44" t="str">
        <f t="shared" si="68"/>
        <v/>
      </c>
      <c r="H2191" s="10" t="str">
        <f t="shared" si="69"/>
        <v>Tuesday</v>
      </c>
    </row>
    <row r="2192" spans="1:8">
      <c r="A2192" s="9">
        <v>216311456</v>
      </c>
      <c r="B2192" s="6">
        <v>45083</v>
      </c>
      <c r="C2192" s="1"/>
      <c r="D2192" s="1" t="s">
        <v>7</v>
      </c>
      <c r="E2192" s="1">
        <v>39</v>
      </c>
      <c r="F2192" s="1" t="s">
        <v>6</v>
      </c>
      <c r="G2192" s="44" t="str">
        <f t="shared" si="68"/>
        <v/>
      </c>
      <c r="H2192" s="10" t="str">
        <f t="shared" si="69"/>
        <v>Tuesday</v>
      </c>
    </row>
    <row r="2193" spans="1:8">
      <c r="A2193" s="9">
        <v>155088727</v>
      </c>
      <c r="B2193" s="6">
        <v>45083</v>
      </c>
      <c r="C2193" s="1"/>
      <c r="D2193" s="1" t="s">
        <v>7</v>
      </c>
      <c r="E2193" s="1">
        <v>39</v>
      </c>
      <c r="F2193" s="1" t="s">
        <v>6</v>
      </c>
      <c r="G2193" s="44" t="str">
        <f t="shared" si="68"/>
        <v/>
      </c>
      <c r="H2193" s="10" t="str">
        <f t="shared" si="69"/>
        <v>Tuesday</v>
      </c>
    </row>
    <row r="2194" spans="1:8">
      <c r="A2194" s="9">
        <v>216925191</v>
      </c>
      <c r="B2194" s="6">
        <v>45083</v>
      </c>
      <c r="C2194" s="6">
        <v>45090</v>
      </c>
      <c r="D2194" s="1" t="s">
        <v>7</v>
      </c>
      <c r="E2194" s="1">
        <v>39</v>
      </c>
      <c r="F2194" s="1" t="s">
        <v>6</v>
      </c>
      <c r="G2194" s="44">
        <f t="shared" si="68"/>
        <v>7</v>
      </c>
      <c r="H2194" s="10" t="str">
        <f t="shared" si="69"/>
        <v>Tuesday</v>
      </c>
    </row>
    <row r="2195" spans="1:8">
      <c r="A2195" s="9">
        <v>216924741</v>
      </c>
      <c r="B2195" s="6">
        <v>45083</v>
      </c>
      <c r="C2195" s="6">
        <v>45160</v>
      </c>
      <c r="D2195" s="1" t="s">
        <v>7</v>
      </c>
      <c r="E2195" s="1">
        <v>39</v>
      </c>
      <c r="F2195" s="1" t="s">
        <v>6</v>
      </c>
      <c r="G2195" s="44">
        <f t="shared" si="68"/>
        <v>77</v>
      </c>
      <c r="H2195" s="10" t="str">
        <f t="shared" si="69"/>
        <v>Tuesday</v>
      </c>
    </row>
    <row r="2196" spans="1:8">
      <c r="A2196" s="9">
        <v>194347007</v>
      </c>
      <c r="B2196" s="6">
        <v>45083</v>
      </c>
      <c r="C2196" s="6">
        <v>45120</v>
      </c>
      <c r="D2196" s="1" t="s">
        <v>7</v>
      </c>
      <c r="E2196" s="1">
        <v>39</v>
      </c>
      <c r="F2196" s="1" t="s">
        <v>6</v>
      </c>
      <c r="G2196" s="44">
        <f t="shared" si="68"/>
        <v>37</v>
      </c>
      <c r="H2196" s="10" t="str">
        <f t="shared" si="69"/>
        <v>Tuesday</v>
      </c>
    </row>
    <row r="2197" spans="1:8">
      <c r="A2197" s="9">
        <v>217067696</v>
      </c>
      <c r="B2197" s="6">
        <v>45084</v>
      </c>
      <c r="C2197" s="1"/>
      <c r="D2197" s="1" t="s">
        <v>7</v>
      </c>
      <c r="E2197" s="1">
        <v>39</v>
      </c>
      <c r="F2197" s="1" t="s">
        <v>6</v>
      </c>
      <c r="G2197" s="44" t="str">
        <f t="shared" si="68"/>
        <v/>
      </c>
      <c r="H2197" s="10" t="str">
        <f t="shared" si="69"/>
        <v>Wednesday</v>
      </c>
    </row>
    <row r="2198" spans="1:8">
      <c r="A2198" s="9">
        <v>217012406</v>
      </c>
      <c r="B2198" s="6">
        <v>45084</v>
      </c>
      <c r="C2198" s="1"/>
      <c r="D2198" s="1" t="s">
        <v>7</v>
      </c>
      <c r="E2198" s="1">
        <v>39</v>
      </c>
      <c r="F2198" s="1" t="s">
        <v>6</v>
      </c>
      <c r="G2198" s="44" t="str">
        <f t="shared" si="68"/>
        <v/>
      </c>
      <c r="H2198" s="10" t="str">
        <f t="shared" si="69"/>
        <v>Wednesday</v>
      </c>
    </row>
    <row r="2199" spans="1:8">
      <c r="A2199" s="9">
        <v>216345770</v>
      </c>
      <c r="B2199" s="6">
        <v>45084</v>
      </c>
      <c r="C2199" s="1"/>
      <c r="D2199" s="1" t="s">
        <v>7</v>
      </c>
      <c r="E2199" s="1">
        <v>39</v>
      </c>
      <c r="F2199" s="1" t="s">
        <v>6</v>
      </c>
      <c r="G2199" s="44" t="str">
        <f t="shared" si="68"/>
        <v/>
      </c>
      <c r="H2199" s="10" t="str">
        <f t="shared" si="69"/>
        <v>Wednesday</v>
      </c>
    </row>
    <row r="2200" spans="1:8">
      <c r="A2200" s="9">
        <v>215654770</v>
      </c>
      <c r="B2200" s="6">
        <v>45084</v>
      </c>
      <c r="C2200" s="1"/>
      <c r="D2200" s="1" t="s">
        <v>7</v>
      </c>
      <c r="E2200" s="1">
        <v>39</v>
      </c>
      <c r="F2200" s="1" t="s">
        <v>6</v>
      </c>
      <c r="G2200" s="44" t="str">
        <f t="shared" si="68"/>
        <v/>
      </c>
      <c r="H2200" s="10" t="str">
        <f t="shared" si="69"/>
        <v>Wednesday</v>
      </c>
    </row>
    <row r="2201" spans="1:8">
      <c r="A2201" s="9">
        <v>217044528</v>
      </c>
      <c r="B2201" s="6">
        <v>45084</v>
      </c>
      <c r="C2201" s="1"/>
      <c r="D2201" s="1" t="s">
        <v>7</v>
      </c>
      <c r="E2201" s="1">
        <v>39</v>
      </c>
      <c r="F2201" s="1" t="s">
        <v>6</v>
      </c>
      <c r="G2201" s="44" t="str">
        <f t="shared" si="68"/>
        <v/>
      </c>
      <c r="H2201" s="10" t="str">
        <f t="shared" si="69"/>
        <v>Wednesday</v>
      </c>
    </row>
    <row r="2202" spans="1:8">
      <c r="A2202" s="9">
        <v>217031352</v>
      </c>
      <c r="B2202" s="6">
        <v>45084</v>
      </c>
      <c r="C2202" s="1"/>
      <c r="D2202" s="1" t="s">
        <v>7</v>
      </c>
      <c r="E2202" s="1">
        <v>39</v>
      </c>
      <c r="F2202" s="1" t="s">
        <v>6</v>
      </c>
      <c r="G2202" s="44" t="str">
        <f t="shared" si="68"/>
        <v/>
      </c>
      <c r="H2202" s="10" t="str">
        <f t="shared" si="69"/>
        <v>Wednesday</v>
      </c>
    </row>
    <row r="2203" spans="1:8">
      <c r="A2203" s="9">
        <v>146450388</v>
      </c>
      <c r="B2203" s="6">
        <v>45084</v>
      </c>
      <c r="C2203" s="1"/>
      <c r="D2203" s="1" t="s">
        <v>7</v>
      </c>
      <c r="E2203" s="1">
        <v>39</v>
      </c>
      <c r="F2203" s="1" t="s">
        <v>6</v>
      </c>
      <c r="G2203" s="44" t="str">
        <f t="shared" si="68"/>
        <v/>
      </c>
      <c r="H2203" s="10" t="str">
        <f t="shared" si="69"/>
        <v>Wednesday</v>
      </c>
    </row>
    <row r="2204" spans="1:8">
      <c r="A2204" s="9">
        <v>153374748</v>
      </c>
      <c r="B2204" s="6">
        <v>45084</v>
      </c>
      <c r="C2204" s="6">
        <v>45169</v>
      </c>
      <c r="D2204" s="1" t="s">
        <v>7</v>
      </c>
      <c r="E2204" s="1">
        <v>39</v>
      </c>
      <c r="F2204" s="1" t="s">
        <v>6</v>
      </c>
      <c r="G2204" s="44">
        <f t="shared" si="68"/>
        <v>85</v>
      </c>
      <c r="H2204" s="10" t="str">
        <f t="shared" si="69"/>
        <v>Wednesday</v>
      </c>
    </row>
    <row r="2205" spans="1:8">
      <c r="A2205" s="9">
        <v>217065874</v>
      </c>
      <c r="B2205" s="6">
        <v>45084</v>
      </c>
      <c r="C2205" s="6">
        <v>45106</v>
      </c>
      <c r="D2205" s="1" t="s">
        <v>7</v>
      </c>
      <c r="E2205" s="1">
        <v>39</v>
      </c>
      <c r="F2205" s="1" t="s">
        <v>6</v>
      </c>
      <c r="G2205" s="44">
        <f t="shared" si="68"/>
        <v>22</v>
      </c>
      <c r="H2205" s="10" t="str">
        <f t="shared" si="69"/>
        <v>Wednesday</v>
      </c>
    </row>
    <row r="2206" spans="1:8">
      <c r="A2206" s="9">
        <v>216622895</v>
      </c>
      <c r="B2206" s="6">
        <v>45084</v>
      </c>
      <c r="C2206" s="6">
        <v>45152</v>
      </c>
      <c r="D2206" s="1" t="s">
        <v>7</v>
      </c>
      <c r="E2206" s="1">
        <v>39</v>
      </c>
      <c r="F2206" s="1" t="s">
        <v>6</v>
      </c>
      <c r="G2206" s="44">
        <f t="shared" si="68"/>
        <v>68</v>
      </c>
      <c r="H2206" s="10" t="str">
        <f t="shared" si="69"/>
        <v>Wednesday</v>
      </c>
    </row>
    <row r="2207" spans="1:8">
      <c r="A2207" s="9">
        <v>216907852</v>
      </c>
      <c r="B2207" s="6">
        <v>45084</v>
      </c>
      <c r="C2207" s="6">
        <v>45116</v>
      </c>
      <c r="D2207" s="1" t="s">
        <v>7</v>
      </c>
      <c r="E2207" s="1">
        <v>39</v>
      </c>
      <c r="F2207" s="1" t="s">
        <v>6</v>
      </c>
      <c r="G2207" s="44">
        <f t="shared" si="68"/>
        <v>32</v>
      </c>
      <c r="H2207" s="10" t="str">
        <f t="shared" si="69"/>
        <v>Wednesday</v>
      </c>
    </row>
    <row r="2208" spans="1:8">
      <c r="A2208" s="9">
        <v>217054126</v>
      </c>
      <c r="B2208" s="6">
        <v>45085</v>
      </c>
      <c r="C2208" s="1"/>
      <c r="D2208" s="1" t="s">
        <v>7</v>
      </c>
      <c r="E2208" s="1">
        <v>39</v>
      </c>
      <c r="F2208" s="1" t="s">
        <v>6</v>
      </c>
      <c r="G2208" s="44" t="str">
        <f t="shared" si="68"/>
        <v/>
      </c>
      <c r="H2208" s="10" t="str">
        <f t="shared" si="69"/>
        <v>Thursday</v>
      </c>
    </row>
    <row r="2209" spans="1:8">
      <c r="A2209" s="9">
        <v>206001231</v>
      </c>
      <c r="B2209" s="6">
        <v>45085</v>
      </c>
      <c r="C2209" s="1"/>
      <c r="D2209" s="1" t="s">
        <v>7</v>
      </c>
      <c r="E2209" s="1">
        <v>39</v>
      </c>
      <c r="F2209" s="1" t="s">
        <v>6</v>
      </c>
      <c r="G2209" s="44" t="str">
        <f t="shared" si="68"/>
        <v/>
      </c>
      <c r="H2209" s="10" t="str">
        <f t="shared" si="69"/>
        <v>Thursday</v>
      </c>
    </row>
    <row r="2210" spans="1:8">
      <c r="A2210" s="9">
        <v>216925136</v>
      </c>
      <c r="B2210" s="6">
        <v>45085</v>
      </c>
      <c r="C2210" s="1"/>
      <c r="D2210" s="1" t="s">
        <v>7</v>
      </c>
      <c r="E2210" s="1">
        <v>39</v>
      </c>
      <c r="F2210" s="1" t="s">
        <v>6</v>
      </c>
      <c r="G2210" s="44" t="str">
        <f t="shared" si="68"/>
        <v/>
      </c>
      <c r="H2210" s="10" t="str">
        <f t="shared" si="69"/>
        <v>Thursday</v>
      </c>
    </row>
    <row r="2211" spans="1:8">
      <c r="A2211" s="9">
        <v>217094352</v>
      </c>
      <c r="B2211" s="6">
        <v>45085</v>
      </c>
      <c r="C2211" s="6">
        <v>45109</v>
      </c>
      <c r="D2211" s="1" t="s">
        <v>7</v>
      </c>
      <c r="E2211" s="1">
        <v>39</v>
      </c>
      <c r="F2211" s="1" t="s">
        <v>6</v>
      </c>
      <c r="G2211" s="44">
        <f t="shared" si="68"/>
        <v>24</v>
      </c>
      <c r="H2211" s="10" t="str">
        <f t="shared" si="69"/>
        <v>Thursday</v>
      </c>
    </row>
    <row r="2212" spans="1:8">
      <c r="A2212" s="9">
        <v>206891818</v>
      </c>
      <c r="B2212" s="6">
        <v>45085</v>
      </c>
      <c r="C2212" s="6">
        <v>45105</v>
      </c>
      <c r="D2212" s="1" t="s">
        <v>7</v>
      </c>
      <c r="E2212" s="1">
        <v>39</v>
      </c>
      <c r="F2212" s="1" t="s">
        <v>6</v>
      </c>
      <c r="G2212" s="44">
        <f t="shared" si="68"/>
        <v>20</v>
      </c>
      <c r="H2212" s="10" t="str">
        <f t="shared" si="69"/>
        <v>Thursday</v>
      </c>
    </row>
    <row r="2213" spans="1:8">
      <c r="A2213" s="9">
        <v>217084888</v>
      </c>
      <c r="B2213" s="6">
        <v>45085</v>
      </c>
      <c r="C2213" s="6">
        <v>45085</v>
      </c>
      <c r="D2213" s="1" t="s">
        <v>7</v>
      </c>
      <c r="E2213" s="1">
        <v>39</v>
      </c>
      <c r="F2213" s="1" t="s">
        <v>6</v>
      </c>
      <c r="G2213" s="44">
        <f t="shared" si="68"/>
        <v>0</v>
      </c>
      <c r="H2213" s="10" t="str">
        <f t="shared" si="69"/>
        <v>Thursday</v>
      </c>
    </row>
    <row r="2214" spans="1:8">
      <c r="A2214" s="9">
        <v>216624401</v>
      </c>
      <c r="B2214" s="6">
        <v>45085</v>
      </c>
      <c r="C2214" s="6">
        <v>45105</v>
      </c>
      <c r="D2214" s="1" t="s">
        <v>7</v>
      </c>
      <c r="E2214" s="1">
        <v>39</v>
      </c>
      <c r="F2214" s="1" t="s">
        <v>6</v>
      </c>
      <c r="G2214" s="44">
        <f t="shared" si="68"/>
        <v>20</v>
      </c>
      <c r="H2214" s="10" t="str">
        <f t="shared" si="69"/>
        <v>Thursday</v>
      </c>
    </row>
    <row r="2215" spans="1:8">
      <c r="A2215" s="9">
        <v>216795282</v>
      </c>
      <c r="B2215" s="6">
        <v>45085</v>
      </c>
      <c r="C2215" s="6">
        <v>45130</v>
      </c>
      <c r="D2215" s="1" t="s">
        <v>7</v>
      </c>
      <c r="E2215" s="1">
        <v>39</v>
      </c>
      <c r="F2215" s="1" t="s">
        <v>6</v>
      </c>
      <c r="G2215" s="44">
        <f t="shared" si="68"/>
        <v>45</v>
      </c>
      <c r="H2215" s="10" t="str">
        <f t="shared" si="69"/>
        <v>Thursday</v>
      </c>
    </row>
    <row r="2216" spans="1:8">
      <c r="A2216" s="9">
        <v>174646924</v>
      </c>
      <c r="B2216" s="6">
        <v>45086</v>
      </c>
      <c r="C2216" s="1"/>
      <c r="D2216" s="1" t="s">
        <v>7</v>
      </c>
      <c r="E2216" s="1">
        <v>39</v>
      </c>
      <c r="F2216" s="1" t="s">
        <v>6</v>
      </c>
      <c r="G2216" s="44" t="str">
        <f t="shared" si="68"/>
        <v/>
      </c>
      <c r="H2216" s="10" t="str">
        <f t="shared" si="69"/>
        <v>Friday</v>
      </c>
    </row>
    <row r="2217" spans="1:8">
      <c r="A2217" s="9">
        <v>217123644</v>
      </c>
      <c r="B2217" s="6">
        <v>45086</v>
      </c>
      <c r="C2217" s="1"/>
      <c r="D2217" s="1" t="s">
        <v>7</v>
      </c>
      <c r="E2217" s="1">
        <v>39</v>
      </c>
      <c r="F2217" s="1" t="s">
        <v>6</v>
      </c>
      <c r="G2217" s="44" t="str">
        <f t="shared" si="68"/>
        <v/>
      </c>
      <c r="H2217" s="10" t="str">
        <f t="shared" si="69"/>
        <v>Friday</v>
      </c>
    </row>
    <row r="2218" spans="1:8">
      <c r="A2218" s="9">
        <v>217104490</v>
      </c>
      <c r="B2218" s="6">
        <v>45086</v>
      </c>
      <c r="C2218" s="1"/>
      <c r="D2218" s="1" t="s">
        <v>7</v>
      </c>
      <c r="E2218" s="1">
        <v>39</v>
      </c>
      <c r="F2218" s="1" t="s">
        <v>6</v>
      </c>
      <c r="G2218" s="44" t="str">
        <f t="shared" si="68"/>
        <v/>
      </c>
      <c r="H2218" s="10" t="str">
        <f t="shared" si="69"/>
        <v>Friday</v>
      </c>
    </row>
    <row r="2219" spans="1:8">
      <c r="A2219" s="9">
        <v>153349708</v>
      </c>
      <c r="B2219" s="6">
        <v>45086</v>
      </c>
      <c r="C2219" s="1"/>
      <c r="D2219" s="1" t="s">
        <v>7</v>
      </c>
      <c r="E2219" s="1">
        <v>39</v>
      </c>
      <c r="F2219" s="1" t="s">
        <v>6</v>
      </c>
      <c r="G2219" s="44" t="str">
        <f t="shared" si="68"/>
        <v/>
      </c>
      <c r="H2219" s="10" t="str">
        <f t="shared" si="69"/>
        <v>Friday</v>
      </c>
    </row>
    <row r="2220" spans="1:8">
      <c r="A2220" s="9">
        <v>153876204</v>
      </c>
      <c r="B2220" s="6">
        <v>45086</v>
      </c>
      <c r="C2220" s="6">
        <v>45087</v>
      </c>
      <c r="D2220" s="1" t="s">
        <v>7</v>
      </c>
      <c r="E2220" s="1">
        <v>39</v>
      </c>
      <c r="F2220" s="1" t="s">
        <v>6</v>
      </c>
      <c r="G2220" s="44">
        <f t="shared" si="68"/>
        <v>1</v>
      </c>
      <c r="H2220" s="10" t="str">
        <f t="shared" si="69"/>
        <v>Friday</v>
      </c>
    </row>
    <row r="2221" spans="1:8">
      <c r="A2221" s="9">
        <v>132442956</v>
      </c>
      <c r="B2221" s="6">
        <v>45086</v>
      </c>
      <c r="C2221" s="6">
        <v>45135</v>
      </c>
      <c r="D2221" s="1" t="s">
        <v>7</v>
      </c>
      <c r="E2221" s="1">
        <v>39</v>
      </c>
      <c r="F2221" s="1" t="s">
        <v>6</v>
      </c>
      <c r="G2221" s="44">
        <f t="shared" si="68"/>
        <v>49</v>
      </c>
      <c r="H2221" s="10" t="str">
        <f t="shared" si="69"/>
        <v>Friday</v>
      </c>
    </row>
    <row r="2222" spans="1:8">
      <c r="A2222" s="9">
        <v>130331160</v>
      </c>
      <c r="B2222" s="6">
        <v>45086</v>
      </c>
      <c r="C2222" s="6">
        <v>45109</v>
      </c>
      <c r="D2222" s="1" t="s">
        <v>7</v>
      </c>
      <c r="E2222" s="1">
        <v>39</v>
      </c>
      <c r="F2222" s="1" t="s">
        <v>6</v>
      </c>
      <c r="G2222" s="44">
        <f t="shared" si="68"/>
        <v>23</v>
      </c>
      <c r="H2222" s="10" t="str">
        <f t="shared" si="69"/>
        <v>Friday</v>
      </c>
    </row>
    <row r="2223" spans="1:8">
      <c r="A2223" s="9">
        <v>216225148</v>
      </c>
      <c r="B2223" s="6">
        <v>45086</v>
      </c>
      <c r="C2223" s="6">
        <v>45086</v>
      </c>
      <c r="D2223" s="1" t="s">
        <v>7</v>
      </c>
      <c r="E2223" s="1">
        <v>39</v>
      </c>
      <c r="F2223" s="1" t="s">
        <v>6</v>
      </c>
      <c r="G2223" s="44">
        <f t="shared" si="68"/>
        <v>0</v>
      </c>
      <c r="H2223" s="10" t="str">
        <f t="shared" si="69"/>
        <v>Friday</v>
      </c>
    </row>
    <row r="2224" spans="1:8">
      <c r="A2224" s="9">
        <v>161187748</v>
      </c>
      <c r="B2224" s="6">
        <v>45086</v>
      </c>
      <c r="C2224" s="6">
        <v>45131</v>
      </c>
      <c r="D2224" s="1" t="s">
        <v>7</v>
      </c>
      <c r="E2224" s="1">
        <v>39</v>
      </c>
      <c r="F2224" s="1" t="s">
        <v>6</v>
      </c>
      <c r="G2224" s="44">
        <f t="shared" si="68"/>
        <v>45</v>
      </c>
      <c r="H2224" s="10" t="str">
        <f t="shared" si="69"/>
        <v>Friday</v>
      </c>
    </row>
    <row r="2225" spans="1:8">
      <c r="A2225" s="9">
        <v>217137211</v>
      </c>
      <c r="B2225" s="6">
        <v>45086</v>
      </c>
      <c r="C2225" s="6">
        <v>45123</v>
      </c>
      <c r="D2225" s="1" t="s">
        <v>7</v>
      </c>
      <c r="E2225" s="1">
        <v>39</v>
      </c>
      <c r="F2225" s="1" t="s">
        <v>6</v>
      </c>
      <c r="G2225" s="44">
        <f t="shared" si="68"/>
        <v>37</v>
      </c>
      <c r="H2225" s="10" t="str">
        <f t="shared" si="69"/>
        <v>Friday</v>
      </c>
    </row>
    <row r="2226" spans="1:8">
      <c r="A2226" s="9">
        <v>180796559</v>
      </c>
      <c r="B2226" s="6">
        <v>45086</v>
      </c>
      <c r="C2226" s="6">
        <v>45123</v>
      </c>
      <c r="D2226" s="1" t="s">
        <v>7</v>
      </c>
      <c r="E2226" s="1">
        <v>39</v>
      </c>
      <c r="F2226" s="1" t="s">
        <v>6</v>
      </c>
      <c r="G2226" s="44">
        <f t="shared" si="68"/>
        <v>37</v>
      </c>
      <c r="H2226" s="10" t="str">
        <f t="shared" si="69"/>
        <v>Friday</v>
      </c>
    </row>
    <row r="2227" spans="1:8">
      <c r="A2227" s="9">
        <v>168200039</v>
      </c>
      <c r="B2227" s="6">
        <v>45087</v>
      </c>
      <c r="C2227" s="6">
        <v>45088</v>
      </c>
      <c r="D2227" s="1" t="s">
        <v>7</v>
      </c>
      <c r="E2227" s="1">
        <v>39</v>
      </c>
      <c r="F2227" s="1" t="s">
        <v>6</v>
      </c>
      <c r="G2227" s="44">
        <f t="shared" si="68"/>
        <v>1</v>
      </c>
      <c r="H2227" s="10" t="str">
        <f t="shared" si="69"/>
        <v>Saturday</v>
      </c>
    </row>
    <row r="2228" spans="1:8">
      <c r="A2228" s="9">
        <v>217110396</v>
      </c>
      <c r="B2228" s="6">
        <v>45087</v>
      </c>
      <c r="C2228" s="6">
        <v>45101</v>
      </c>
      <c r="D2228" s="1" t="s">
        <v>7</v>
      </c>
      <c r="E2228" s="1">
        <v>39</v>
      </c>
      <c r="F2228" s="1" t="s">
        <v>6</v>
      </c>
      <c r="G2228" s="44">
        <f t="shared" si="68"/>
        <v>14</v>
      </c>
      <c r="H2228" s="10" t="str">
        <f t="shared" si="69"/>
        <v>Saturday</v>
      </c>
    </row>
    <row r="2229" spans="1:8">
      <c r="A2229" s="9">
        <v>217159016</v>
      </c>
      <c r="B2229" s="6">
        <v>45087</v>
      </c>
      <c r="C2229" s="6">
        <v>45149</v>
      </c>
      <c r="D2229" s="1" t="s">
        <v>7</v>
      </c>
      <c r="E2229" s="1">
        <v>39</v>
      </c>
      <c r="F2229" s="1" t="s">
        <v>6</v>
      </c>
      <c r="G2229" s="44">
        <f t="shared" si="68"/>
        <v>62</v>
      </c>
      <c r="H2229" s="10" t="str">
        <f t="shared" si="69"/>
        <v>Saturday</v>
      </c>
    </row>
    <row r="2230" spans="1:8">
      <c r="A2230" s="9">
        <v>217215106</v>
      </c>
      <c r="B2230" s="6">
        <v>45088</v>
      </c>
      <c r="C2230" s="1"/>
      <c r="D2230" s="1" t="s">
        <v>7</v>
      </c>
      <c r="E2230" s="1">
        <v>39</v>
      </c>
      <c r="F2230" s="1" t="s">
        <v>6</v>
      </c>
      <c r="G2230" s="44" t="str">
        <f t="shared" si="68"/>
        <v/>
      </c>
      <c r="H2230" s="10" t="str">
        <f t="shared" si="69"/>
        <v>Sunday</v>
      </c>
    </row>
    <row r="2231" spans="1:8">
      <c r="A2231" s="9">
        <v>129819604</v>
      </c>
      <c r="B2231" s="6">
        <v>45088</v>
      </c>
      <c r="C2231" s="6">
        <v>45125</v>
      </c>
      <c r="D2231" s="1" t="s">
        <v>7</v>
      </c>
      <c r="E2231" s="1">
        <v>39</v>
      </c>
      <c r="F2231" s="1" t="s">
        <v>6</v>
      </c>
      <c r="G2231" s="44">
        <f t="shared" si="68"/>
        <v>37</v>
      </c>
      <c r="H2231" s="10" t="str">
        <f t="shared" si="69"/>
        <v>Sunday</v>
      </c>
    </row>
    <row r="2232" spans="1:8">
      <c r="A2232" s="9">
        <v>217208086</v>
      </c>
      <c r="B2232" s="6">
        <v>45088</v>
      </c>
      <c r="C2232" s="6">
        <v>45133</v>
      </c>
      <c r="D2232" s="1" t="s">
        <v>7</v>
      </c>
      <c r="E2232" s="1">
        <v>39</v>
      </c>
      <c r="F2232" s="1" t="s">
        <v>6</v>
      </c>
      <c r="G2232" s="44">
        <f t="shared" si="68"/>
        <v>45</v>
      </c>
      <c r="H2232" s="10" t="str">
        <f t="shared" si="69"/>
        <v>Sunday</v>
      </c>
    </row>
    <row r="2233" spans="1:8">
      <c r="A2233" s="9">
        <v>215534470</v>
      </c>
      <c r="B2233" s="6">
        <v>45088</v>
      </c>
      <c r="C2233" s="6">
        <v>45125</v>
      </c>
      <c r="D2233" s="1" t="s">
        <v>7</v>
      </c>
      <c r="E2233" s="1">
        <v>39</v>
      </c>
      <c r="F2233" s="1" t="s">
        <v>6</v>
      </c>
      <c r="G2233" s="44">
        <f t="shared" si="68"/>
        <v>37</v>
      </c>
      <c r="H2233" s="10" t="str">
        <f t="shared" si="69"/>
        <v>Sunday</v>
      </c>
    </row>
    <row r="2234" spans="1:8">
      <c r="A2234" s="9">
        <v>217277033</v>
      </c>
      <c r="B2234" s="6">
        <v>45089</v>
      </c>
      <c r="C2234" s="1"/>
      <c r="D2234" s="1" t="s">
        <v>7</v>
      </c>
      <c r="E2234" s="1">
        <v>39</v>
      </c>
      <c r="F2234" s="1" t="s">
        <v>6</v>
      </c>
      <c r="G2234" s="44" t="str">
        <f t="shared" si="68"/>
        <v/>
      </c>
      <c r="H2234" s="10" t="str">
        <f t="shared" si="69"/>
        <v>Monday</v>
      </c>
    </row>
    <row r="2235" spans="1:8">
      <c r="A2235" s="9">
        <v>136199071</v>
      </c>
      <c r="B2235" s="6">
        <v>45089</v>
      </c>
      <c r="C2235" s="1"/>
      <c r="D2235" s="1" t="s">
        <v>7</v>
      </c>
      <c r="E2235" s="1">
        <v>39</v>
      </c>
      <c r="F2235" s="1" t="s">
        <v>6</v>
      </c>
      <c r="G2235" s="44" t="str">
        <f t="shared" si="68"/>
        <v/>
      </c>
      <c r="H2235" s="10" t="str">
        <f t="shared" si="69"/>
        <v>Monday</v>
      </c>
    </row>
    <row r="2236" spans="1:8">
      <c r="A2236" s="9">
        <v>217102618</v>
      </c>
      <c r="B2236" s="6">
        <v>45089</v>
      </c>
      <c r="C2236" s="1"/>
      <c r="D2236" s="1" t="s">
        <v>7</v>
      </c>
      <c r="E2236" s="1">
        <v>39</v>
      </c>
      <c r="F2236" s="1" t="s">
        <v>6</v>
      </c>
      <c r="G2236" s="44" t="str">
        <f t="shared" si="68"/>
        <v/>
      </c>
      <c r="H2236" s="10" t="str">
        <f t="shared" si="69"/>
        <v>Monday</v>
      </c>
    </row>
    <row r="2237" spans="1:8">
      <c r="A2237" s="9">
        <v>217252136</v>
      </c>
      <c r="B2237" s="6">
        <v>45089</v>
      </c>
      <c r="C2237" s="1"/>
      <c r="D2237" s="1" t="s">
        <v>7</v>
      </c>
      <c r="E2237" s="1">
        <v>39</v>
      </c>
      <c r="F2237" s="1" t="s">
        <v>6</v>
      </c>
      <c r="G2237" s="44" t="str">
        <f t="shared" si="68"/>
        <v/>
      </c>
      <c r="H2237" s="10" t="str">
        <f t="shared" si="69"/>
        <v>Monday</v>
      </c>
    </row>
    <row r="2238" spans="1:8">
      <c r="A2238" s="9">
        <v>215856743</v>
      </c>
      <c r="B2238" s="6">
        <v>45089</v>
      </c>
      <c r="C2238" s="1"/>
      <c r="D2238" s="1" t="s">
        <v>7</v>
      </c>
      <c r="E2238" s="1">
        <v>39</v>
      </c>
      <c r="F2238" s="1" t="s">
        <v>6</v>
      </c>
      <c r="G2238" s="44" t="str">
        <f t="shared" si="68"/>
        <v/>
      </c>
      <c r="H2238" s="10" t="str">
        <f t="shared" si="69"/>
        <v>Monday</v>
      </c>
    </row>
    <row r="2239" spans="1:8">
      <c r="A2239" s="9">
        <v>217260184</v>
      </c>
      <c r="B2239" s="6">
        <v>45089</v>
      </c>
      <c r="C2239" s="6">
        <v>45090</v>
      </c>
      <c r="D2239" s="1" t="s">
        <v>8</v>
      </c>
      <c r="E2239" s="1">
        <v>39</v>
      </c>
      <c r="F2239" s="1" t="s">
        <v>6</v>
      </c>
      <c r="G2239" s="44">
        <f t="shared" si="68"/>
        <v>1</v>
      </c>
      <c r="H2239" s="10" t="str">
        <f t="shared" si="69"/>
        <v>Monday</v>
      </c>
    </row>
    <row r="2240" spans="1:8">
      <c r="A2240" s="9">
        <v>140371292</v>
      </c>
      <c r="B2240" s="6">
        <v>45089</v>
      </c>
      <c r="C2240" s="6">
        <v>45117</v>
      </c>
      <c r="D2240" s="1" t="s">
        <v>7</v>
      </c>
      <c r="E2240" s="1">
        <v>39</v>
      </c>
      <c r="F2240" s="1" t="s">
        <v>6</v>
      </c>
      <c r="G2240" s="44">
        <f t="shared" si="68"/>
        <v>28</v>
      </c>
      <c r="H2240" s="10" t="str">
        <f t="shared" si="69"/>
        <v>Monday</v>
      </c>
    </row>
    <row r="2241" spans="1:8">
      <c r="A2241" s="9">
        <v>164903790</v>
      </c>
      <c r="B2241" s="6">
        <v>45089</v>
      </c>
      <c r="C2241" s="6">
        <v>45127</v>
      </c>
      <c r="D2241" s="1" t="s">
        <v>7</v>
      </c>
      <c r="E2241" s="1">
        <v>39</v>
      </c>
      <c r="F2241" s="1" t="s">
        <v>6</v>
      </c>
      <c r="G2241" s="44">
        <f t="shared" si="68"/>
        <v>38</v>
      </c>
      <c r="H2241" s="10" t="str">
        <f t="shared" si="69"/>
        <v>Monday</v>
      </c>
    </row>
    <row r="2242" spans="1:8">
      <c r="A2242" s="9">
        <v>217206158</v>
      </c>
      <c r="B2242" s="6">
        <v>45089</v>
      </c>
      <c r="C2242" s="6">
        <v>45149</v>
      </c>
      <c r="D2242" s="1" t="s">
        <v>7</v>
      </c>
      <c r="E2242" s="1">
        <v>39</v>
      </c>
      <c r="F2242" s="1" t="s">
        <v>6</v>
      </c>
      <c r="G2242" s="44">
        <f t="shared" si="68"/>
        <v>60</v>
      </c>
      <c r="H2242" s="10" t="str">
        <f t="shared" si="69"/>
        <v>Monday</v>
      </c>
    </row>
    <row r="2243" spans="1:8">
      <c r="A2243" s="9">
        <v>215180470</v>
      </c>
      <c r="B2243" s="6">
        <v>45089</v>
      </c>
      <c r="C2243" s="6">
        <v>45144</v>
      </c>
      <c r="D2243" s="1" t="s">
        <v>7</v>
      </c>
      <c r="E2243" s="1">
        <v>39</v>
      </c>
      <c r="F2243" s="1" t="s">
        <v>6</v>
      </c>
      <c r="G2243" s="44">
        <f t="shared" ref="G2243:G2306" si="70">IF(C2243="", "", DATEDIF(B2243, C2243, "D"))</f>
        <v>55</v>
      </c>
      <c r="H2243" s="10" t="str">
        <f t="shared" ref="H2243:H2306" si="71">TEXT(B2243, "dddd")</f>
        <v>Monday</v>
      </c>
    </row>
    <row r="2244" spans="1:8">
      <c r="A2244" s="9">
        <v>217246611</v>
      </c>
      <c r="B2244" s="6">
        <v>45089</v>
      </c>
      <c r="C2244" s="6">
        <v>45113</v>
      </c>
      <c r="D2244" s="1" t="s">
        <v>7</v>
      </c>
      <c r="E2244" s="1">
        <v>39</v>
      </c>
      <c r="F2244" s="1" t="s">
        <v>6</v>
      </c>
      <c r="G2244" s="44">
        <f t="shared" si="70"/>
        <v>24</v>
      </c>
      <c r="H2244" s="10" t="str">
        <f t="shared" si="71"/>
        <v>Monday</v>
      </c>
    </row>
    <row r="2245" spans="1:8">
      <c r="A2245" s="9">
        <v>217080066</v>
      </c>
      <c r="B2245" s="6">
        <v>45089</v>
      </c>
      <c r="C2245" s="6">
        <v>45119</v>
      </c>
      <c r="D2245" s="1" t="s">
        <v>7</v>
      </c>
      <c r="E2245" s="1">
        <v>39</v>
      </c>
      <c r="F2245" s="1" t="s">
        <v>6</v>
      </c>
      <c r="G2245" s="44">
        <f t="shared" si="70"/>
        <v>30</v>
      </c>
      <c r="H2245" s="10" t="str">
        <f t="shared" si="71"/>
        <v>Monday</v>
      </c>
    </row>
    <row r="2246" spans="1:8">
      <c r="A2246" s="9">
        <v>214510838</v>
      </c>
      <c r="B2246" s="6">
        <v>45090</v>
      </c>
      <c r="C2246" s="1"/>
      <c r="D2246" s="1" t="s">
        <v>7</v>
      </c>
      <c r="E2246" s="1">
        <v>39</v>
      </c>
      <c r="F2246" s="1" t="s">
        <v>6</v>
      </c>
      <c r="G2246" s="44" t="str">
        <f t="shared" si="70"/>
        <v/>
      </c>
      <c r="H2246" s="10" t="str">
        <f t="shared" si="71"/>
        <v>Tuesday</v>
      </c>
    </row>
    <row r="2247" spans="1:8">
      <c r="A2247" s="9">
        <v>217241338</v>
      </c>
      <c r="B2247" s="6">
        <v>45090</v>
      </c>
      <c r="C2247" s="1"/>
      <c r="D2247" s="1" t="s">
        <v>7</v>
      </c>
      <c r="E2247" s="1">
        <v>39</v>
      </c>
      <c r="F2247" s="1" t="s">
        <v>6</v>
      </c>
      <c r="G2247" s="44" t="str">
        <f t="shared" si="70"/>
        <v/>
      </c>
      <c r="H2247" s="10" t="str">
        <f t="shared" si="71"/>
        <v>Tuesday</v>
      </c>
    </row>
    <row r="2248" spans="1:8">
      <c r="A2248" s="9">
        <v>215447681</v>
      </c>
      <c r="B2248" s="6">
        <v>45090</v>
      </c>
      <c r="C2248" s="1"/>
      <c r="D2248" s="1" t="s">
        <v>7</v>
      </c>
      <c r="E2248" s="1">
        <v>39</v>
      </c>
      <c r="F2248" s="1" t="s">
        <v>6</v>
      </c>
      <c r="G2248" s="44" t="str">
        <f t="shared" si="70"/>
        <v/>
      </c>
      <c r="H2248" s="10" t="str">
        <f t="shared" si="71"/>
        <v>Tuesday</v>
      </c>
    </row>
    <row r="2249" spans="1:8">
      <c r="A2249" s="9">
        <v>214746385</v>
      </c>
      <c r="B2249" s="6">
        <v>45090</v>
      </c>
      <c r="C2249" s="1"/>
      <c r="D2249" s="1" t="s">
        <v>7</v>
      </c>
      <c r="E2249" s="1">
        <v>39</v>
      </c>
      <c r="F2249" s="1" t="s">
        <v>6</v>
      </c>
      <c r="G2249" s="44" t="str">
        <f t="shared" si="70"/>
        <v/>
      </c>
      <c r="H2249" s="10" t="str">
        <f t="shared" si="71"/>
        <v>Tuesday</v>
      </c>
    </row>
    <row r="2250" spans="1:8">
      <c r="A2250" s="9">
        <v>217279595</v>
      </c>
      <c r="B2250" s="6">
        <v>45090</v>
      </c>
      <c r="C2250" s="1"/>
      <c r="D2250" s="1" t="s">
        <v>7</v>
      </c>
      <c r="E2250" s="1">
        <v>39</v>
      </c>
      <c r="F2250" s="1" t="s">
        <v>6</v>
      </c>
      <c r="G2250" s="44" t="str">
        <f t="shared" si="70"/>
        <v/>
      </c>
      <c r="H2250" s="10" t="str">
        <f t="shared" si="71"/>
        <v>Tuesday</v>
      </c>
    </row>
    <row r="2251" spans="1:8">
      <c r="A2251" s="9">
        <v>138725699</v>
      </c>
      <c r="B2251" s="6">
        <v>45090</v>
      </c>
      <c r="C2251" s="6">
        <v>45091</v>
      </c>
      <c r="D2251" s="1" t="s">
        <v>7</v>
      </c>
      <c r="E2251" s="1">
        <v>39</v>
      </c>
      <c r="F2251" s="1" t="s">
        <v>6</v>
      </c>
      <c r="G2251" s="44">
        <f t="shared" si="70"/>
        <v>1</v>
      </c>
      <c r="H2251" s="10" t="str">
        <f t="shared" si="71"/>
        <v>Tuesday</v>
      </c>
    </row>
    <row r="2252" spans="1:8">
      <c r="A2252" s="9">
        <v>199464176</v>
      </c>
      <c r="B2252" s="6">
        <v>45090</v>
      </c>
      <c r="C2252" s="6">
        <v>45138</v>
      </c>
      <c r="D2252" s="1" t="s">
        <v>7</v>
      </c>
      <c r="E2252" s="1">
        <v>39</v>
      </c>
      <c r="F2252" s="1" t="s">
        <v>6</v>
      </c>
      <c r="G2252" s="44">
        <f t="shared" si="70"/>
        <v>48</v>
      </c>
      <c r="H2252" s="10" t="str">
        <f t="shared" si="71"/>
        <v>Tuesday</v>
      </c>
    </row>
    <row r="2253" spans="1:8">
      <c r="A2253" s="9">
        <v>217269788</v>
      </c>
      <c r="B2253" s="6">
        <v>45090</v>
      </c>
      <c r="C2253" s="6">
        <v>45128</v>
      </c>
      <c r="D2253" s="1" t="s">
        <v>7</v>
      </c>
      <c r="E2253" s="1">
        <v>39</v>
      </c>
      <c r="F2253" s="1" t="s">
        <v>6</v>
      </c>
      <c r="G2253" s="44">
        <f t="shared" si="70"/>
        <v>38</v>
      </c>
      <c r="H2253" s="10" t="str">
        <f t="shared" si="71"/>
        <v>Tuesday</v>
      </c>
    </row>
    <row r="2254" spans="1:8">
      <c r="A2254" s="9">
        <v>217210206</v>
      </c>
      <c r="B2254" s="6">
        <v>45090</v>
      </c>
      <c r="C2254" s="6">
        <v>45112</v>
      </c>
      <c r="D2254" s="1" t="s">
        <v>7</v>
      </c>
      <c r="E2254" s="1">
        <v>39</v>
      </c>
      <c r="F2254" s="1" t="s">
        <v>6</v>
      </c>
      <c r="G2254" s="44">
        <f t="shared" si="70"/>
        <v>22</v>
      </c>
      <c r="H2254" s="10" t="str">
        <f t="shared" si="71"/>
        <v>Tuesday</v>
      </c>
    </row>
    <row r="2255" spans="1:8">
      <c r="A2255" s="9">
        <v>217276264</v>
      </c>
      <c r="B2255" s="6">
        <v>45091</v>
      </c>
      <c r="C2255" s="1"/>
      <c r="D2255" s="1" t="s">
        <v>7</v>
      </c>
      <c r="E2255" s="1">
        <v>39</v>
      </c>
      <c r="F2255" s="1" t="s">
        <v>6</v>
      </c>
      <c r="G2255" s="44" t="str">
        <f t="shared" si="70"/>
        <v/>
      </c>
      <c r="H2255" s="10" t="str">
        <f t="shared" si="71"/>
        <v>Wednesday</v>
      </c>
    </row>
    <row r="2256" spans="1:8">
      <c r="A2256" s="9">
        <v>217242854</v>
      </c>
      <c r="B2256" s="6">
        <v>45091</v>
      </c>
      <c r="C2256" s="1"/>
      <c r="D2256" s="1" t="s">
        <v>7</v>
      </c>
      <c r="E2256" s="1">
        <v>39</v>
      </c>
      <c r="F2256" s="1" t="s">
        <v>6</v>
      </c>
      <c r="G2256" s="44" t="str">
        <f t="shared" si="70"/>
        <v/>
      </c>
      <c r="H2256" s="10" t="str">
        <f t="shared" si="71"/>
        <v>Wednesday</v>
      </c>
    </row>
    <row r="2257" spans="1:8">
      <c r="A2257" s="9">
        <v>140062581</v>
      </c>
      <c r="B2257" s="6">
        <v>45091</v>
      </c>
      <c r="C2257" s="6">
        <v>45092</v>
      </c>
      <c r="D2257" s="1" t="s">
        <v>7</v>
      </c>
      <c r="E2257" s="1">
        <v>39</v>
      </c>
      <c r="F2257" s="1" t="s">
        <v>6</v>
      </c>
      <c r="G2257" s="44">
        <f t="shared" si="70"/>
        <v>1</v>
      </c>
      <c r="H2257" s="10" t="str">
        <f t="shared" si="71"/>
        <v>Wednesday</v>
      </c>
    </row>
    <row r="2258" spans="1:8">
      <c r="A2258" s="9">
        <v>217340338</v>
      </c>
      <c r="B2258" s="6">
        <v>45091</v>
      </c>
      <c r="C2258" s="6">
        <v>45091</v>
      </c>
      <c r="D2258" s="1" t="s">
        <v>8</v>
      </c>
      <c r="E2258" s="1">
        <v>39</v>
      </c>
      <c r="F2258" s="1" t="s">
        <v>6</v>
      </c>
      <c r="G2258" s="44">
        <f t="shared" si="70"/>
        <v>0</v>
      </c>
      <c r="H2258" s="10" t="str">
        <f t="shared" si="71"/>
        <v>Wednesday</v>
      </c>
    </row>
    <row r="2259" spans="1:8">
      <c r="A2259" s="9">
        <v>157435806</v>
      </c>
      <c r="B2259" s="6">
        <v>45091</v>
      </c>
      <c r="C2259" s="6">
        <v>45121</v>
      </c>
      <c r="D2259" s="1" t="s">
        <v>7</v>
      </c>
      <c r="E2259" s="1">
        <v>39</v>
      </c>
      <c r="F2259" s="1" t="s">
        <v>6</v>
      </c>
      <c r="G2259" s="44">
        <f t="shared" si="70"/>
        <v>30</v>
      </c>
      <c r="H2259" s="10" t="str">
        <f t="shared" si="71"/>
        <v>Wednesday</v>
      </c>
    </row>
    <row r="2260" spans="1:8">
      <c r="A2260" s="9">
        <v>217358299</v>
      </c>
      <c r="B2260" s="6">
        <v>45091</v>
      </c>
      <c r="C2260" s="6">
        <v>45149</v>
      </c>
      <c r="D2260" s="1" t="s">
        <v>7</v>
      </c>
      <c r="E2260" s="1">
        <v>39</v>
      </c>
      <c r="F2260" s="1" t="s">
        <v>6</v>
      </c>
      <c r="G2260" s="44">
        <f t="shared" si="70"/>
        <v>58</v>
      </c>
      <c r="H2260" s="10" t="str">
        <f t="shared" si="71"/>
        <v>Wednesday</v>
      </c>
    </row>
    <row r="2261" spans="1:8">
      <c r="A2261" s="9">
        <v>217330046</v>
      </c>
      <c r="B2261" s="6">
        <v>45091</v>
      </c>
      <c r="C2261" s="6">
        <v>45108</v>
      </c>
      <c r="D2261" s="1" t="s">
        <v>7</v>
      </c>
      <c r="E2261" s="1">
        <v>39</v>
      </c>
      <c r="F2261" s="1" t="s">
        <v>6</v>
      </c>
      <c r="G2261" s="44">
        <f t="shared" si="70"/>
        <v>17</v>
      </c>
      <c r="H2261" s="10" t="str">
        <f t="shared" si="71"/>
        <v>Wednesday</v>
      </c>
    </row>
    <row r="2262" spans="1:8">
      <c r="A2262" s="9">
        <v>216945894</v>
      </c>
      <c r="B2262" s="6">
        <v>45092</v>
      </c>
      <c r="C2262" s="1"/>
      <c r="D2262" s="1" t="s">
        <v>7</v>
      </c>
      <c r="E2262" s="1">
        <v>39</v>
      </c>
      <c r="F2262" s="1" t="s">
        <v>6</v>
      </c>
      <c r="G2262" s="44" t="str">
        <f t="shared" si="70"/>
        <v/>
      </c>
      <c r="H2262" s="10" t="str">
        <f t="shared" si="71"/>
        <v>Thursday</v>
      </c>
    </row>
    <row r="2263" spans="1:8">
      <c r="A2263" s="9">
        <v>150178354</v>
      </c>
      <c r="B2263" s="6">
        <v>45092</v>
      </c>
      <c r="C2263" s="1"/>
      <c r="D2263" s="1" t="s">
        <v>7</v>
      </c>
      <c r="E2263" s="1">
        <v>39</v>
      </c>
      <c r="F2263" s="1" t="s">
        <v>6</v>
      </c>
      <c r="G2263" s="44" t="str">
        <f t="shared" si="70"/>
        <v/>
      </c>
      <c r="H2263" s="10" t="str">
        <f t="shared" si="71"/>
        <v>Thursday</v>
      </c>
    </row>
    <row r="2264" spans="1:8">
      <c r="A2264" s="9">
        <v>153942818</v>
      </c>
      <c r="B2264" s="6">
        <v>45092</v>
      </c>
      <c r="C2264" s="1"/>
      <c r="D2264" s="1" t="s">
        <v>7</v>
      </c>
      <c r="E2264" s="1">
        <v>39</v>
      </c>
      <c r="F2264" s="1" t="s">
        <v>6</v>
      </c>
      <c r="G2264" s="44" t="str">
        <f t="shared" si="70"/>
        <v/>
      </c>
      <c r="H2264" s="10" t="str">
        <f t="shared" si="71"/>
        <v>Thursday</v>
      </c>
    </row>
    <row r="2265" spans="1:8">
      <c r="A2265" s="9">
        <v>150728848</v>
      </c>
      <c r="B2265" s="6">
        <v>45092</v>
      </c>
      <c r="C2265" s="1"/>
      <c r="D2265" s="1" t="s">
        <v>7</v>
      </c>
      <c r="E2265" s="1">
        <v>39</v>
      </c>
      <c r="F2265" s="1" t="s">
        <v>6</v>
      </c>
      <c r="G2265" s="44" t="str">
        <f t="shared" si="70"/>
        <v/>
      </c>
      <c r="H2265" s="10" t="str">
        <f t="shared" si="71"/>
        <v>Thursday</v>
      </c>
    </row>
    <row r="2266" spans="1:8">
      <c r="A2266" s="9">
        <v>138725699</v>
      </c>
      <c r="B2266" s="6">
        <v>45092</v>
      </c>
      <c r="C2266" s="1"/>
      <c r="D2266" s="1" t="s">
        <v>7</v>
      </c>
      <c r="E2266" s="1">
        <v>39</v>
      </c>
      <c r="F2266" s="1" t="s">
        <v>6</v>
      </c>
      <c r="G2266" s="44" t="str">
        <f t="shared" si="70"/>
        <v/>
      </c>
      <c r="H2266" s="10" t="str">
        <f t="shared" si="71"/>
        <v>Thursday</v>
      </c>
    </row>
    <row r="2267" spans="1:8">
      <c r="A2267" s="9">
        <v>217207926</v>
      </c>
      <c r="B2267" s="6">
        <v>45092</v>
      </c>
      <c r="C2267" s="1"/>
      <c r="D2267" s="1" t="s">
        <v>7</v>
      </c>
      <c r="E2267" s="1">
        <v>39</v>
      </c>
      <c r="F2267" s="1" t="s">
        <v>6</v>
      </c>
      <c r="G2267" s="44" t="str">
        <f t="shared" si="70"/>
        <v/>
      </c>
      <c r="H2267" s="10" t="str">
        <f t="shared" si="71"/>
        <v>Thursday</v>
      </c>
    </row>
    <row r="2268" spans="1:8">
      <c r="A2268" s="9">
        <v>217370233</v>
      </c>
      <c r="B2268" s="6">
        <v>45092</v>
      </c>
      <c r="C2268" s="1"/>
      <c r="D2268" s="1" t="s">
        <v>7</v>
      </c>
      <c r="E2268" s="1">
        <v>39</v>
      </c>
      <c r="F2268" s="1" t="s">
        <v>6</v>
      </c>
      <c r="G2268" s="44" t="str">
        <f t="shared" si="70"/>
        <v/>
      </c>
      <c r="H2268" s="10" t="str">
        <f t="shared" si="71"/>
        <v>Thursday</v>
      </c>
    </row>
    <row r="2269" spans="1:8">
      <c r="A2269" s="9">
        <v>205464540</v>
      </c>
      <c r="B2269" s="6">
        <v>45092</v>
      </c>
      <c r="C2269" s="6">
        <v>45129</v>
      </c>
      <c r="D2269" s="1" t="s">
        <v>7</v>
      </c>
      <c r="E2269" s="1">
        <v>39</v>
      </c>
      <c r="F2269" s="1" t="s">
        <v>6</v>
      </c>
      <c r="G2269" s="44">
        <f t="shared" si="70"/>
        <v>37</v>
      </c>
      <c r="H2269" s="10" t="str">
        <f t="shared" si="71"/>
        <v>Thursday</v>
      </c>
    </row>
    <row r="2270" spans="1:8">
      <c r="A2270" s="9">
        <v>167403892</v>
      </c>
      <c r="B2270" s="6">
        <v>45092</v>
      </c>
      <c r="C2270" s="6">
        <v>45160</v>
      </c>
      <c r="D2270" s="1" t="s">
        <v>7</v>
      </c>
      <c r="E2270" s="1">
        <v>39</v>
      </c>
      <c r="F2270" s="1" t="s">
        <v>6</v>
      </c>
      <c r="G2270" s="44">
        <f t="shared" si="70"/>
        <v>68</v>
      </c>
      <c r="H2270" s="10" t="str">
        <f t="shared" si="71"/>
        <v>Thursday</v>
      </c>
    </row>
    <row r="2271" spans="1:8">
      <c r="A2271" s="9">
        <v>217326821</v>
      </c>
      <c r="B2271" s="6">
        <v>45092</v>
      </c>
      <c r="C2271" s="6">
        <v>45160</v>
      </c>
      <c r="D2271" s="1" t="s">
        <v>7</v>
      </c>
      <c r="E2271" s="1">
        <v>39</v>
      </c>
      <c r="F2271" s="1" t="s">
        <v>6</v>
      </c>
      <c r="G2271" s="44">
        <f t="shared" si="70"/>
        <v>68</v>
      </c>
      <c r="H2271" s="10" t="str">
        <f t="shared" si="71"/>
        <v>Thursday</v>
      </c>
    </row>
    <row r="2272" spans="1:8">
      <c r="A2272" s="9">
        <v>214918906</v>
      </c>
      <c r="B2272" s="6">
        <v>45092</v>
      </c>
      <c r="C2272" s="6">
        <v>45129</v>
      </c>
      <c r="D2272" s="1" t="s">
        <v>7</v>
      </c>
      <c r="E2272" s="1">
        <v>39</v>
      </c>
      <c r="F2272" s="1" t="s">
        <v>6</v>
      </c>
      <c r="G2272" s="44">
        <f t="shared" si="70"/>
        <v>37</v>
      </c>
      <c r="H2272" s="10" t="str">
        <f t="shared" si="71"/>
        <v>Thursday</v>
      </c>
    </row>
    <row r="2273" spans="1:8">
      <c r="A2273" s="9">
        <v>216983668</v>
      </c>
      <c r="B2273" s="6">
        <v>45092</v>
      </c>
      <c r="C2273" s="6">
        <v>45122</v>
      </c>
      <c r="D2273" s="1" t="s">
        <v>7</v>
      </c>
      <c r="E2273" s="1">
        <v>39</v>
      </c>
      <c r="F2273" s="1" t="s">
        <v>6</v>
      </c>
      <c r="G2273" s="44">
        <f t="shared" si="70"/>
        <v>30</v>
      </c>
      <c r="H2273" s="10" t="str">
        <f t="shared" si="71"/>
        <v>Thursday</v>
      </c>
    </row>
    <row r="2274" spans="1:8">
      <c r="A2274" s="9">
        <v>217454204</v>
      </c>
      <c r="B2274" s="6">
        <v>45093</v>
      </c>
      <c r="C2274" s="1"/>
      <c r="D2274" s="1" t="s">
        <v>7</v>
      </c>
      <c r="E2274" s="1">
        <v>39</v>
      </c>
      <c r="F2274" s="1" t="s">
        <v>6</v>
      </c>
      <c r="G2274" s="44" t="str">
        <f t="shared" si="70"/>
        <v/>
      </c>
      <c r="H2274" s="10" t="str">
        <f t="shared" si="71"/>
        <v>Friday</v>
      </c>
    </row>
    <row r="2275" spans="1:8">
      <c r="A2275" s="9">
        <v>206049284</v>
      </c>
      <c r="B2275" s="6">
        <v>45093</v>
      </c>
      <c r="C2275" s="1"/>
      <c r="D2275" s="1" t="s">
        <v>7</v>
      </c>
      <c r="E2275" s="1">
        <v>39</v>
      </c>
      <c r="F2275" s="1" t="s">
        <v>6</v>
      </c>
      <c r="G2275" s="44" t="str">
        <f t="shared" si="70"/>
        <v/>
      </c>
      <c r="H2275" s="10" t="str">
        <f t="shared" si="71"/>
        <v>Friday</v>
      </c>
    </row>
    <row r="2276" spans="1:8">
      <c r="A2276" s="9">
        <v>132852439</v>
      </c>
      <c r="B2276" s="6">
        <v>45093</v>
      </c>
      <c r="C2276" s="1"/>
      <c r="D2276" s="1" t="s">
        <v>7</v>
      </c>
      <c r="E2276" s="1">
        <v>39</v>
      </c>
      <c r="F2276" s="1" t="s">
        <v>6</v>
      </c>
      <c r="G2276" s="44" t="str">
        <f t="shared" si="70"/>
        <v/>
      </c>
      <c r="H2276" s="10" t="str">
        <f t="shared" si="71"/>
        <v>Friday</v>
      </c>
    </row>
    <row r="2277" spans="1:8">
      <c r="A2277" s="9">
        <v>217233198</v>
      </c>
      <c r="B2277" s="6">
        <v>45093</v>
      </c>
      <c r="C2277" s="1"/>
      <c r="D2277" s="1" t="s">
        <v>7</v>
      </c>
      <c r="E2277" s="1">
        <v>39</v>
      </c>
      <c r="F2277" s="1" t="s">
        <v>6</v>
      </c>
      <c r="G2277" s="44" t="str">
        <f t="shared" si="70"/>
        <v/>
      </c>
      <c r="H2277" s="10" t="str">
        <f t="shared" si="71"/>
        <v>Friday</v>
      </c>
    </row>
    <row r="2278" spans="1:8">
      <c r="A2278" s="9">
        <v>188197564</v>
      </c>
      <c r="B2278" s="6">
        <v>45093</v>
      </c>
      <c r="C2278" s="6">
        <v>45094</v>
      </c>
      <c r="D2278" s="1" t="s">
        <v>7</v>
      </c>
      <c r="E2278" s="1">
        <v>39</v>
      </c>
      <c r="F2278" s="1" t="s">
        <v>6</v>
      </c>
      <c r="G2278" s="44">
        <f t="shared" si="70"/>
        <v>1</v>
      </c>
      <c r="H2278" s="10" t="str">
        <f t="shared" si="71"/>
        <v>Friday</v>
      </c>
    </row>
    <row r="2279" spans="1:8">
      <c r="A2279" s="9">
        <v>146952862</v>
      </c>
      <c r="B2279" s="6">
        <v>45093</v>
      </c>
      <c r="C2279" s="6">
        <v>45119</v>
      </c>
      <c r="D2279" s="1" t="s">
        <v>7</v>
      </c>
      <c r="E2279" s="1">
        <v>39</v>
      </c>
      <c r="F2279" s="1" t="s">
        <v>6</v>
      </c>
      <c r="G2279" s="44">
        <f t="shared" si="70"/>
        <v>26</v>
      </c>
      <c r="H2279" s="10" t="str">
        <f t="shared" si="71"/>
        <v>Friday</v>
      </c>
    </row>
    <row r="2280" spans="1:8">
      <c r="A2280" s="9">
        <v>152846561</v>
      </c>
      <c r="B2280" s="6">
        <v>45093</v>
      </c>
      <c r="C2280" s="6">
        <v>45130</v>
      </c>
      <c r="D2280" s="1" t="s">
        <v>7</v>
      </c>
      <c r="E2280" s="1">
        <v>39</v>
      </c>
      <c r="F2280" s="1" t="s">
        <v>6</v>
      </c>
      <c r="G2280" s="44">
        <f t="shared" si="70"/>
        <v>37</v>
      </c>
      <c r="H2280" s="10" t="str">
        <f t="shared" si="71"/>
        <v>Friday</v>
      </c>
    </row>
    <row r="2281" spans="1:8">
      <c r="A2281" s="9">
        <v>132867770</v>
      </c>
      <c r="B2281" s="6">
        <v>45093</v>
      </c>
      <c r="C2281" s="6">
        <v>45131</v>
      </c>
      <c r="D2281" s="1" t="s">
        <v>7</v>
      </c>
      <c r="E2281" s="1">
        <v>39</v>
      </c>
      <c r="F2281" s="1" t="s">
        <v>6</v>
      </c>
      <c r="G2281" s="44">
        <f t="shared" si="70"/>
        <v>38</v>
      </c>
      <c r="H2281" s="10" t="str">
        <f t="shared" si="71"/>
        <v>Friday</v>
      </c>
    </row>
    <row r="2282" spans="1:8">
      <c r="A2282" s="9">
        <v>206370330</v>
      </c>
      <c r="B2282" s="6">
        <v>45093</v>
      </c>
      <c r="C2282" s="6">
        <v>45153</v>
      </c>
      <c r="D2282" s="1" t="s">
        <v>7</v>
      </c>
      <c r="E2282" s="1">
        <v>39</v>
      </c>
      <c r="F2282" s="1" t="s">
        <v>6</v>
      </c>
      <c r="G2282" s="44">
        <f t="shared" si="70"/>
        <v>60</v>
      </c>
      <c r="H2282" s="10" t="str">
        <f t="shared" si="71"/>
        <v>Friday</v>
      </c>
    </row>
    <row r="2283" spans="1:8">
      <c r="A2283" s="9">
        <v>217438230</v>
      </c>
      <c r="B2283" s="6">
        <v>45093</v>
      </c>
      <c r="C2283" s="6">
        <v>45120</v>
      </c>
      <c r="D2283" s="1" t="s">
        <v>7</v>
      </c>
      <c r="E2283" s="1">
        <v>39</v>
      </c>
      <c r="F2283" s="1" t="s">
        <v>6</v>
      </c>
      <c r="G2283" s="44">
        <f t="shared" si="70"/>
        <v>27</v>
      </c>
      <c r="H2283" s="10" t="str">
        <f t="shared" si="71"/>
        <v>Friday</v>
      </c>
    </row>
    <row r="2284" spans="1:8">
      <c r="A2284" s="9">
        <v>217426939</v>
      </c>
      <c r="B2284" s="6">
        <v>45093</v>
      </c>
      <c r="C2284" s="6">
        <v>45123</v>
      </c>
      <c r="D2284" s="1" t="s">
        <v>7</v>
      </c>
      <c r="E2284" s="1">
        <v>39</v>
      </c>
      <c r="F2284" s="1" t="s">
        <v>6</v>
      </c>
      <c r="G2284" s="44">
        <f t="shared" si="70"/>
        <v>30</v>
      </c>
      <c r="H2284" s="10" t="str">
        <f t="shared" si="71"/>
        <v>Friday</v>
      </c>
    </row>
    <row r="2285" spans="1:8">
      <c r="A2285" s="9">
        <v>205785520</v>
      </c>
      <c r="B2285" s="6">
        <v>45094</v>
      </c>
      <c r="C2285" s="1"/>
      <c r="D2285" s="1" t="s">
        <v>7</v>
      </c>
      <c r="E2285" s="1">
        <v>39</v>
      </c>
      <c r="F2285" s="1" t="s">
        <v>6</v>
      </c>
      <c r="G2285" s="44" t="str">
        <f t="shared" si="70"/>
        <v/>
      </c>
      <c r="H2285" s="10" t="str">
        <f t="shared" si="71"/>
        <v>Saturday</v>
      </c>
    </row>
    <row r="2286" spans="1:8">
      <c r="A2286" s="9">
        <v>154284527</v>
      </c>
      <c r="B2286" s="6">
        <v>45094</v>
      </c>
      <c r="C2286" s="6">
        <v>45131</v>
      </c>
      <c r="D2286" s="1" t="s">
        <v>7</v>
      </c>
      <c r="E2286" s="1">
        <v>39</v>
      </c>
      <c r="F2286" s="1" t="s">
        <v>6</v>
      </c>
      <c r="G2286" s="44">
        <f t="shared" si="70"/>
        <v>37</v>
      </c>
      <c r="H2286" s="10" t="str">
        <f t="shared" si="71"/>
        <v>Saturday</v>
      </c>
    </row>
    <row r="2287" spans="1:8">
      <c r="A2287" s="9">
        <v>214105912</v>
      </c>
      <c r="B2287" s="6">
        <v>45094</v>
      </c>
      <c r="C2287" s="6">
        <v>45131</v>
      </c>
      <c r="D2287" s="1" t="s">
        <v>7</v>
      </c>
      <c r="E2287" s="1">
        <v>39</v>
      </c>
      <c r="F2287" s="1" t="s">
        <v>6</v>
      </c>
      <c r="G2287" s="44">
        <f t="shared" si="70"/>
        <v>37</v>
      </c>
      <c r="H2287" s="10" t="str">
        <f t="shared" si="71"/>
        <v>Saturday</v>
      </c>
    </row>
    <row r="2288" spans="1:8">
      <c r="A2288" s="9">
        <v>200909190</v>
      </c>
      <c r="B2288" s="6">
        <v>45094</v>
      </c>
      <c r="C2288" s="6">
        <v>45162</v>
      </c>
      <c r="D2288" s="1" t="s">
        <v>7</v>
      </c>
      <c r="E2288" s="1">
        <v>39</v>
      </c>
      <c r="F2288" s="1" t="s">
        <v>6</v>
      </c>
      <c r="G2288" s="44">
        <f t="shared" si="70"/>
        <v>68</v>
      </c>
      <c r="H2288" s="10" t="str">
        <f t="shared" si="71"/>
        <v>Saturday</v>
      </c>
    </row>
    <row r="2289" spans="1:8">
      <c r="A2289" s="9">
        <v>151633468</v>
      </c>
      <c r="B2289" s="6">
        <v>45094</v>
      </c>
      <c r="C2289" s="6">
        <v>45139</v>
      </c>
      <c r="D2289" s="1" t="s">
        <v>7</v>
      </c>
      <c r="E2289" s="1">
        <v>39</v>
      </c>
      <c r="F2289" s="1" t="s">
        <v>6</v>
      </c>
      <c r="G2289" s="44">
        <f t="shared" si="70"/>
        <v>45</v>
      </c>
      <c r="H2289" s="10" t="str">
        <f t="shared" si="71"/>
        <v>Saturday</v>
      </c>
    </row>
    <row r="2290" spans="1:8">
      <c r="A2290" s="9">
        <v>207010976</v>
      </c>
      <c r="B2290" s="6">
        <v>45094</v>
      </c>
      <c r="C2290" s="6">
        <v>45162</v>
      </c>
      <c r="D2290" s="1" t="s">
        <v>7</v>
      </c>
      <c r="E2290" s="1">
        <v>39</v>
      </c>
      <c r="F2290" s="1" t="s">
        <v>6</v>
      </c>
      <c r="G2290" s="44">
        <f t="shared" si="70"/>
        <v>68</v>
      </c>
      <c r="H2290" s="10" t="str">
        <f t="shared" si="71"/>
        <v>Saturday</v>
      </c>
    </row>
    <row r="2291" spans="1:8">
      <c r="A2291" s="9">
        <v>217487776</v>
      </c>
      <c r="B2291" s="6">
        <v>45094</v>
      </c>
      <c r="C2291" s="6">
        <v>45127</v>
      </c>
      <c r="D2291" s="1" t="s">
        <v>7</v>
      </c>
      <c r="E2291" s="1">
        <v>39</v>
      </c>
      <c r="F2291" s="1" t="s">
        <v>6</v>
      </c>
      <c r="G2291" s="44">
        <f t="shared" si="70"/>
        <v>33</v>
      </c>
      <c r="H2291" s="10" t="str">
        <f t="shared" si="71"/>
        <v>Saturday</v>
      </c>
    </row>
    <row r="2292" spans="1:8">
      <c r="A2292" s="9">
        <v>217484551</v>
      </c>
      <c r="B2292" s="6">
        <v>45094</v>
      </c>
      <c r="C2292" s="6">
        <v>45131</v>
      </c>
      <c r="D2292" s="1" t="s">
        <v>7</v>
      </c>
      <c r="E2292" s="1">
        <v>39</v>
      </c>
      <c r="F2292" s="1" t="s">
        <v>6</v>
      </c>
      <c r="G2292" s="44">
        <f t="shared" si="70"/>
        <v>37</v>
      </c>
      <c r="H2292" s="10" t="str">
        <f t="shared" si="71"/>
        <v>Saturday</v>
      </c>
    </row>
    <row r="2293" spans="1:8">
      <c r="A2293" s="9">
        <v>217498202</v>
      </c>
      <c r="B2293" s="6">
        <v>45095</v>
      </c>
      <c r="C2293" s="1"/>
      <c r="D2293" s="1" t="s">
        <v>7</v>
      </c>
      <c r="E2293" s="1">
        <v>39</v>
      </c>
      <c r="F2293" s="1" t="s">
        <v>6</v>
      </c>
      <c r="G2293" s="44" t="str">
        <f t="shared" si="70"/>
        <v/>
      </c>
      <c r="H2293" s="10" t="str">
        <f t="shared" si="71"/>
        <v>Sunday</v>
      </c>
    </row>
    <row r="2294" spans="1:8">
      <c r="A2294" s="9">
        <v>217234603</v>
      </c>
      <c r="B2294" s="6">
        <v>45095</v>
      </c>
      <c r="C2294" s="1"/>
      <c r="D2294" s="1" t="s">
        <v>7</v>
      </c>
      <c r="E2294" s="1">
        <v>39</v>
      </c>
      <c r="F2294" s="1" t="s">
        <v>6</v>
      </c>
      <c r="G2294" s="44" t="str">
        <f t="shared" si="70"/>
        <v/>
      </c>
      <c r="H2294" s="10" t="str">
        <f t="shared" si="71"/>
        <v>Sunday</v>
      </c>
    </row>
    <row r="2295" spans="1:8">
      <c r="A2295" s="9">
        <v>217264148</v>
      </c>
      <c r="B2295" s="6">
        <v>45095</v>
      </c>
      <c r="C2295" s="1"/>
      <c r="D2295" s="1" t="s">
        <v>7</v>
      </c>
      <c r="E2295" s="1">
        <v>39</v>
      </c>
      <c r="F2295" s="1" t="s">
        <v>6</v>
      </c>
      <c r="G2295" s="44" t="str">
        <f t="shared" si="70"/>
        <v/>
      </c>
      <c r="H2295" s="10" t="str">
        <f t="shared" si="71"/>
        <v>Sunday</v>
      </c>
    </row>
    <row r="2296" spans="1:8">
      <c r="A2296" s="9">
        <v>217513366</v>
      </c>
      <c r="B2296" s="6">
        <v>45095</v>
      </c>
      <c r="C2296" s="1"/>
      <c r="D2296" s="1" t="s">
        <v>7</v>
      </c>
      <c r="E2296" s="1">
        <v>39</v>
      </c>
      <c r="F2296" s="1" t="s">
        <v>6</v>
      </c>
      <c r="G2296" s="44" t="str">
        <f t="shared" si="70"/>
        <v/>
      </c>
      <c r="H2296" s="10" t="str">
        <f t="shared" si="71"/>
        <v>Sunday</v>
      </c>
    </row>
    <row r="2297" spans="1:8">
      <c r="A2297" s="9">
        <v>217503737</v>
      </c>
      <c r="B2297" s="6">
        <v>45095</v>
      </c>
      <c r="C2297" s="1"/>
      <c r="D2297" s="1" t="s">
        <v>7</v>
      </c>
      <c r="E2297" s="1">
        <v>39</v>
      </c>
      <c r="F2297" s="1" t="s">
        <v>6</v>
      </c>
      <c r="G2297" s="44" t="str">
        <f t="shared" si="70"/>
        <v/>
      </c>
      <c r="H2297" s="10" t="str">
        <f t="shared" si="71"/>
        <v>Sunday</v>
      </c>
    </row>
    <row r="2298" spans="1:8">
      <c r="A2298" s="9">
        <v>151540809</v>
      </c>
      <c r="B2298" s="6">
        <v>45095</v>
      </c>
      <c r="C2298" s="1"/>
      <c r="D2298" s="1" t="s">
        <v>7</v>
      </c>
      <c r="E2298" s="1">
        <v>39</v>
      </c>
      <c r="F2298" s="1" t="s">
        <v>6</v>
      </c>
      <c r="G2298" s="44" t="str">
        <f t="shared" si="70"/>
        <v/>
      </c>
      <c r="H2298" s="10" t="str">
        <f t="shared" si="71"/>
        <v>Sunday</v>
      </c>
    </row>
    <row r="2299" spans="1:8">
      <c r="A2299" s="9">
        <v>217526421</v>
      </c>
      <c r="B2299" s="6">
        <v>45095</v>
      </c>
      <c r="C2299" s="6">
        <v>45164</v>
      </c>
      <c r="D2299" s="1" t="s">
        <v>7</v>
      </c>
      <c r="E2299" s="1">
        <v>39</v>
      </c>
      <c r="F2299" s="1" t="s">
        <v>6</v>
      </c>
      <c r="G2299" s="44">
        <f t="shared" si="70"/>
        <v>69</v>
      </c>
      <c r="H2299" s="10" t="str">
        <f t="shared" si="71"/>
        <v>Sunday</v>
      </c>
    </row>
    <row r="2300" spans="1:8">
      <c r="A2300" s="9">
        <v>217418580</v>
      </c>
      <c r="B2300" s="6">
        <v>45095</v>
      </c>
      <c r="C2300" s="6">
        <v>45121</v>
      </c>
      <c r="D2300" s="1" t="s">
        <v>7</v>
      </c>
      <c r="E2300" s="1">
        <v>39</v>
      </c>
      <c r="F2300" s="1" t="s">
        <v>6</v>
      </c>
      <c r="G2300" s="44">
        <f t="shared" si="70"/>
        <v>26</v>
      </c>
      <c r="H2300" s="10" t="str">
        <f t="shared" si="71"/>
        <v>Sunday</v>
      </c>
    </row>
    <row r="2301" spans="1:8">
      <c r="A2301" s="9">
        <v>217426015</v>
      </c>
      <c r="B2301" s="6">
        <v>45096</v>
      </c>
      <c r="C2301" s="1"/>
      <c r="D2301" s="1" t="s">
        <v>7</v>
      </c>
      <c r="E2301" s="1">
        <v>39</v>
      </c>
      <c r="F2301" s="1" t="s">
        <v>6</v>
      </c>
      <c r="G2301" s="44" t="str">
        <f t="shared" si="70"/>
        <v/>
      </c>
      <c r="H2301" s="10" t="str">
        <f t="shared" si="71"/>
        <v>Monday</v>
      </c>
    </row>
    <row r="2302" spans="1:8">
      <c r="A2302" s="9">
        <v>217557584</v>
      </c>
      <c r="B2302" s="6">
        <v>45096</v>
      </c>
      <c r="C2302" s="1"/>
      <c r="D2302" s="1" t="s">
        <v>7</v>
      </c>
      <c r="E2302" s="1">
        <v>39</v>
      </c>
      <c r="F2302" s="1" t="s">
        <v>6</v>
      </c>
      <c r="G2302" s="44" t="str">
        <f t="shared" si="70"/>
        <v/>
      </c>
      <c r="H2302" s="10" t="str">
        <f t="shared" si="71"/>
        <v>Monday</v>
      </c>
    </row>
    <row r="2303" spans="1:8">
      <c r="A2303" s="9">
        <v>217406489</v>
      </c>
      <c r="B2303" s="6">
        <v>45096</v>
      </c>
      <c r="C2303" s="1"/>
      <c r="D2303" s="1" t="s">
        <v>7</v>
      </c>
      <c r="E2303" s="1">
        <v>39</v>
      </c>
      <c r="F2303" s="1" t="s">
        <v>6</v>
      </c>
      <c r="G2303" s="44" t="str">
        <f t="shared" si="70"/>
        <v/>
      </c>
      <c r="H2303" s="10" t="str">
        <f t="shared" si="71"/>
        <v>Monday</v>
      </c>
    </row>
    <row r="2304" spans="1:8">
      <c r="A2304" s="9">
        <v>217536534</v>
      </c>
      <c r="B2304" s="6">
        <v>45096</v>
      </c>
      <c r="C2304" s="1"/>
      <c r="D2304" s="1" t="s">
        <v>7</v>
      </c>
      <c r="E2304" s="1">
        <v>39</v>
      </c>
      <c r="F2304" s="1" t="s">
        <v>6</v>
      </c>
      <c r="G2304" s="44" t="str">
        <f t="shared" si="70"/>
        <v/>
      </c>
      <c r="H2304" s="10" t="str">
        <f t="shared" si="71"/>
        <v>Monday</v>
      </c>
    </row>
    <row r="2305" spans="1:8">
      <c r="A2305" s="9">
        <v>217557082</v>
      </c>
      <c r="B2305" s="6">
        <v>45096</v>
      </c>
      <c r="C2305" s="1"/>
      <c r="D2305" s="1" t="s">
        <v>7</v>
      </c>
      <c r="E2305" s="1">
        <v>39</v>
      </c>
      <c r="F2305" s="1" t="s">
        <v>6</v>
      </c>
      <c r="G2305" s="44" t="str">
        <f t="shared" si="70"/>
        <v/>
      </c>
      <c r="H2305" s="10" t="str">
        <f t="shared" si="71"/>
        <v>Monday</v>
      </c>
    </row>
    <row r="2306" spans="1:8">
      <c r="A2306" s="9">
        <v>176024207</v>
      </c>
      <c r="B2306" s="6">
        <v>45096</v>
      </c>
      <c r="C2306" s="6">
        <v>45145</v>
      </c>
      <c r="D2306" s="1" t="s">
        <v>7</v>
      </c>
      <c r="E2306" s="1">
        <v>39</v>
      </c>
      <c r="F2306" s="1" t="s">
        <v>6</v>
      </c>
      <c r="G2306" s="44">
        <f t="shared" si="70"/>
        <v>49</v>
      </c>
      <c r="H2306" s="10" t="str">
        <f t="shared" si="71"/>
        <v>Monday</v>
      </c>
    </row>
    <row r="2307" spans="1:8">
      <c r="A2307" s="9">
        <v>160598122</v>
      </c>
      <c r="B2307" s="6">
        <v>45096</v>
      </c>
      <c r="C2307" s="6">
        <v>45133</v>
      </c>
      <c r="D2307" s="1" t="s">
        <v>7</v>
      </c>
      <c r="E2307" s="1">
        <v>39</v>
      </c>
      <c r="F2307" s="1" t="s">
        <v>6</v>
      </c>
      <c r="G2307" s="44">
        <f t="shared" ref="G2307:G2370" si="72">IF(C2307="", "", DATEDIF(B2307, C2307, "D"))</f>
        <v>37</v>
      </c>
      <c r="H2307" s="10" t="str">
        <f t="shared" ref="H2307:H2370" si="73">TEXT(B2307, "dddd")</f>
        <v>Monday</v>
      </c>
    </row>
    <row r="2308" spans="1:8">
      <c r="A2308" s="9">
        <v>217378430</v>
      </c>
      <c r="B2308" s="6">
        <v>45096</v>
      </c>
      <c r="C2308" s="6">
        <v>45144</v>
      </c>
      <c r="D2308" s="1" t="s">
        <v>7</v>
      </c>
      <c r="E2308" s="1">
        <v>39</v>
      </c>
      <c r="F2308" s="1" t="s">
        <v>6</v>
      </c>
      <c r="G2308" s="44">
        <f t="shared" si="72"/>
        <v>48</v>
      </c>
      <c r="H2308" s="10" t="str">
        <f t="shared" si="73"/>
        <v>Monday</v>
      </c>
    </row>
    <row r="2309" spans="1:8">
      <c r="A2309" s="9">
        <v>193680187</v>
      </c>
      <c r="B2309" s="6">
        <v>45096</v>
      </c>
      <c r="C2309" s="6">
        <v>45097</v>
      </c>
      <c r="D2309" s="1" t="s">
        <v>7</v>
      </c>
      <c r="E2309" s="1">
        <v>39</v>
      </c>
      <c r="F2309" s="1" t="s">
        <v>6</v>
      </c>
      <c r="G2309" s="44">
        <f t="shared" si="72"/>
        <v>1</v>
      </c>
      <c r="H2309" s="10" t="str">
        <f t="shared" si="73"/>
        <v>Monday</v>
      </c>
    </row>
    <row r="2310" spans="1:8">
      <c r="A2310" s="9">
        <v>180424442</v>
      </c>
      <c r="B2310" s="6">
        <v>45096</v>
      </c>
      <c r="C2310" s="6">
        <v>45133</v>
      </c>
      <c r="D2310" s="1" t="s">
        <v>7</v>
      </c>
      <c r="E2310" s="1">
        <v>39</v>
      </c>
      <c r="F2310" s="1" t="s">
        <v>6</v>
      </c>
      <c r="G2310" s="44">
        <f t="shared" si="72"/>
        <v>37</v>
      </c>
      <c r="H2310" s="10" t="str">
        <f t="shared" si="73"/>
        <v>Monday</v>
      </c>
    </row>
    <row r="2311" spans="1:8">
      <c r="A2311" s="9">
        <v>217612796</v>
      </c>
      <c r="B2311" s="6">
        <v>45097</v>
      </c>
      <c r="C2311" s="1"/>
      <c r="D2311" s="1" t="s">
        <v>7</v>
      </c>
      <c r="E2311" s="1">
        <v>39</v>
      </c>
      <c r="F2311" s="1" t="s">
        <v>6</v>
      </c>
      <c r="G2311" s="44" t="str">
        <f t="shared" si="72"/>
        <v/>
      </c>
      <c r="H2311" s="10" t="str">
        <f t="shared" si="73"/>
        <v>Tuesday</v>
      </c>
    </row>
    <row r="2312" spans="1:8">
      <c r="A2312" s="9">
        <v>217601263</v>
      </c>
      <c r="B2312" s="6">
        <v>45097</v>
      </c>
      <c r="C2312" s="1"/>
      <c r="D2312" s="1" t="s">
        <v>7</v>
      </c>
      <c r="E2312" s="1">
        <v>39</v>
      </c>
      <c r="F2312" s="1" t="s">
        <v>6</v>
      </c>
      <c r="G2312" s="44" t="str">
        <f t="shared" si="72"/>
        <v/>
      </c>
      <c r="H2312" s="10" t="str">
        <f t="shared" si="73"/>
        <v>Tuesday</v>
      </c>
    </row>
    <row r="2313" spans="1:8">
      <c r="A2313" s="9">
        <v>217594148</v>
      </c>
      <c r="B2313" s="6">
        <v>45097</v>
      </c>
      <c r="C2313" s="1"/>
      <c r="D2313" s="1" t="s">
        <v>7</v>
      </c>
      <c r="E2313" s="1">
        <v>39</v>
      </c>
      <c r="F2313" s="1" t="s">
        <v>6</v>
      </c>
      <c r="G2313" s="44" t="str">
        <f t="shared" si="72"/>
        <v/>
      </c>
      <c r="H2313" s="10" t="str">
        <f t="shared" si="73"/>
        <v>Tuesday</v>
      </c>
    </row>
    <row r="2314" spans="1:8">
      <c r="A2314" s="9">
        <v>217598396</v>
      </c>
      <c r="B2314" s="6">
        <v>45097</v>
      </c>
      <c r="C2314" s="1"/>
      <c r="D2314" s="1" t="s">
        <v>7</v>
      </c>
      <c r="E2314" s="1">
        <v>39</v>
      </c>
      <c r="F2314" s="1" t="s">
        <v>6</v>
      </c>
      <c r="G2314" s="44" t="str">
        <f t="shared" si="72"/>
        <v/>
      </c>
      <c r="H2314" s="10" t="str">
        <f t="shared" si="73"/>
        <v>Tuesday</v>
      </c>
    </row>
    <row r="2315" spans="1:8">
      <c r="A2315" s="9">
        <v>206647130</v>
      </c>
      <c r="B2315" s="6">
        <v>45097</v>
      </c>
      <c r="C2315" s="1"/>
      <c r="D2315" s="1" t="s">
        <v>7</v>
      </c>
      <c r="E2315" s="1">
        <v>39</v>
      </c>
      <c r="F2315" s="1" t="s">
        <v>6</v>
      </c>
      <c r="G2315" s="44" t="str">
        <f t="shared" si="72"/>
        <v/>
      </c>
      <c r="H2315" s="10" t="str">
        <f t="shared" si="73"/>
        <v>Tuesday</v>
      </c>
    </row>
    <row r="2316" spans="1:8">
      <c r="A2316" s="9">
        <v>207099222</v>
      </c>
      <c r="B2316" s="6">
        <v>45097</v>
      </c>
      <c r="C2316" s="1"/>
      <c r="D2316" s="1" t="s">
        <v>7</v>
      </c>
      <c r="E2316" s="1">
        <v>39</v>
      </c>
      <c r="F2316" s="1" t="s">
        <v>6</v>
      </c>
      <c r="G2316" s="44" t="str">
        <f t="shared" si="72"/>
        <v/>
      </c>
      <c r="H2316" s="10" t="str">
        <f t="shared" si="73"/>
        <v>Tuesday</v>
      </c>
    </row>
    <row r="2317" spans="1:8">
      <c r="A2317" s="9">
        <v>207079318</v>
      </c>
      <c r="B2317" s="6">
        <v>45097</v>
      </c>
      <c r="C2317" s="1"/>
      <c r="D2317" s="1" t="s">
        <v>7</v>
      </c>
      <c r="E2317" s="1">
        <v>39</v>
      </c>
      <c r="F2317" s="1" t="s">
        <v>6</v>
      </c>
      <c r="G2317" s="44" t="str">
        <f t="shared" si="72"/>
        <v/>
      </c>
      <c r="H2317" s="10" t="str">
        <f t="shared" si="73"/>
        <v>Tuesday</v>
      </c>
    </row>
    <row r="2318" spans="1:8">
      <c r="A2318" s="9">
        <v>217580362</v>
      </c>
      <c r="B2318" s="6">
        <v>45097</v>
      </c>
      <c r="C2318" s="1"/>
      <c r="D2318" s="1" t="s">
        <v>7</v>
      </c>
      <c r="E2318" s="1">
        <v>39</v>
      </c>
      <c r="F2318" s="1" t="s">
        <v>6</v>
      </c>
      <c r="G2318" s="44" t="str">
        <f t="shared" si="72"/>
        <v/>
      </c>
      <c r="H2318" s="10" t="str">
        <f t="shared" si="73"/>
        <v>Tuesday</v>
      </c>
    </row>
    <row r="2319" spans="1:8">
      <c r="A2319" s="9">
        <v>217438678</v>
      </c>
      <c r="B2319" s="6">
        <v>45097</v>
      </c>
      <c r="C2319" s="1"/>
      <c r="D2319" s="1" t="s">
        <v>7</v>
      </c>
      <c r="E2319" s="1">
        <v>39</v>
      </c>
      <c r="F2319" s="1" t="s">
        <v>6</v>
      </c>
      <c r="G2319" s="44" t="str">
        <f t="shared" si="72"/>
        <v/>
      </c>
      <c r="H2319" s="10" t="str">
        <f t="shared" si="73"/>
        <v>Tuesday</v>
      </c>
    </row>
    <row r="2320" spans="1:8">
      <c r="A2320" s="9">
        <v>215963364</v>
      </c>
      <c r="B2320" s="6">
        <v>45097</v>
      </c>
      <c r="C2320" s="6">
        <v>45098</v>
      </c>
      <c r="D2320" s="1" t="s">
        <v>7</v>
      </c>
      <c r="E2320" s="1">
        <v>39</v>
      </c>
      <c r="F2320" s="1" t="s">
        <v>6</v>
      </c>
      <c r="G2320" s="44">
        <f t="shared" si="72"/>
        <v>1</v>
      </c>
      <c r="H2320" s="10" t="str">
        <f t="shared" si="73"/>
        <v>Tuesday</v>
      </c>
    </row>
    <row r="2321" spans="1:8">
      <c r="A2321" s="9">
        <v>153876204</v>
      </c>
      <c r="B2321" s="6">
        <v>45097</v>
      </c>
      <c r="C2321" s="6">
        <v>45130</v>
      </c>
      <c r="D2321" s="1" t="s">
        <v>7</v>
      </c>
      <c r="E2321" s="1">
        <v>39</v>
      </c>
      <c r="F2321" s="1" t="s">
        <v>6</v>
      </c>
      <c r="G2321" s="44">
        <f t="shared" si="72"/>
        <v>33</v>
      </c>
      <c r="H2321" s="10" t="str">
        <f t="shared" si="73"/>
        <v>Tuesday</v>
      </c>
    </row>
    <row r="2322" spans="1:8">
      <c r="A2322" s="9">
        <v>153828803</v>
      </c>
      <c r="B2322" s="6">
        <v>45097</v>
      </c>
      <c r="C2322" s="6">
        <v>45099</v>
      </c>
      <c r="D2322" s="1" t="s">
        <v>7</v>
      </c>
      <c r="E2322" s="1">
        <v>39</v>
      </c>
      <c r="F2322" s="1" t="s">
        <v>6</v>
      </c>
      <c r="G2322" s="44">
        <f t="shared" si="72"/>
        <v>2</v>
      </c>
      <c r="H2322" s="10" t="str">
        <f t="shared" si="73"/>
        <v>Tuesday</v>
      </c>
    </row>
    <row r="2323" spans="1:8">
      <c r="A2323" s="9">
        <v>217595865</v>
      </c>
      <c r="B2323" s="6">
        <v>45097</v>
      </c>
      <c r="C2323" s="6">
        <v>45134</v>
      </c>
      <c r="D2323" s="1" t="s">
        <v>7</v>
      </c>
      <c r="E2323" s="1">
        <v>39</v>
      </c>
      <c r="F2323" s="1" t="s">
        <v>6</v>
      </c>
      <c r="G2323" s="44">
        <f t="shared" si="72"/>
        <v>37</v>
      </c>
      <c r="H2323" s="10" t="str">
        <f t="shared" si="73"/>
        <v>Tuesday</v>
      </c>
    </row>
    <row r="2324" spans="1:8">
      <c r="A2324" s="9">
        <v>216158153</v>
      </c>
      <c r="B2324" s="6">
        <v>45097</v>
      </c>
      <c r="C2324" s="6">
        <v>45131</v>
      </c>
      <c r="D2324" s="1" t="s">
        <v>7</v>
      </c>
      <c r="E2324" s="1">
        <v>39</v>
      </c>
      <c r="F2324" s="1" t="s">
        <v>6</v>
      </c>
      <c r="G2324" s="44">
        <f t="shared" si="72"/>
        <v>34</v>
      </c>
      <c r="H2324" s="10" t="str">
        <f t="shared" si="73"/>
        <v>Tuesday</v>
      </c>
    </row>
    <row r="2325" spans="1:8">
      <c r="A2325" s="9">
        <v>217548173</v>
      </c>
      <c r="B2325" s="6">
        <v>45097</v>
      </c>
      <c r="C2325" s="6">
        <v>45126</v>
      </c>
      <c r="D2325" s="1" t="s">
        <v>7</v>
      </c>
      <c r="E2325" s="1">
        <v>39</v>
      </c>
      <c r="F2325" s="1" t="s">
        <v>6</v>
      </c>
      <c r="G2325" s="44">
        <f t="shared" si="72"/>
        <v>29</v>
      </c>
      <c r="H2325" s="10" t="str">
        <f t="shared" si="73"/>
        <v>Tuesday</v>
      </c>
    </row>
    <row r="2326" spans="1:8">
      <c r="A2326" s="9">
        <v>217533118</v>
      </c>
      <c r="B2326" s="6">
        <v>45098</v>
      </c>
      <c r="C2326" s="1"/>
      <c r="D2326" s="1" t="s">
        <v>7</v>
      </c>
      <c r="E2326" s="1">
        <v>39</v>
      </c>
      <c r="F2326" s="1" t="s">
        <v>6</v>
      </c>
      <c r="G2326" s="44" t="str">
        <f t="shared" si="72"/>
        <v/>
      </c>
      <c r="H2326" s="10" t="str">
        <f t="shared" si="73"/>
        <v>Wednesday</v>
      </c>
    </row>
    <row r="2327" spans="1:8">
      <c r="A2327" s="9">
        <v>205128906</v>
      </c>
      <c r="B2327" s="6">
        <v>45098</v>
      </c>
      <c r="C2327" s="1"/>
      <c r="D2327" s="1" t="s">
        <v>7</v>
      </c>
      <c r="E2327" s="1">
        <v>39</v>
      </c>
      <c r="F2327" s="1" t="s">
        <v>6</v>
      </c>
      <c r="G2327" s="44" t="str">
        <f t="shared" si="72"/>
        <v/>
      </c>
      <c r="H2327" s="10" t="str">
        <f t="shared" si="73"/>
        <v>Wednesday</v>
      </c>
    </row>
    <row r="2328" spans="1:8">
      <c r="A2328" s="9">
        <v>205812132</v>
      </c>
      <c r="B2328" s="6">
        <v>45098</v>
      </c>
      <c r="C2328" s="1"/>
      <c r="D2328" s="1" t="s">
        <v>7</v>
      </c>
      <c r="E2328" s="1">
        <v>39</v>
      </c>
      <c r="F2328" s="1" t="s">
        <v>6</v>
      </c>
      <c r="G2328" s="44" t="str">
        <f t="shared" si="72"/>
        <v/>
      </c>
      <c r="H2328" s="10" t="str">
        <f t="shared" si="73"/>
        <v>Wednesday</v>
      </c>
    </row>
    <row r="2329" spans="1:8">
      <c r="A2329" s="9">
        <v>216907554</v>
      </c>
      <c r="B2329" s="6">
        <v>45098</v>
      </c>
      <c r="C2329" s="1"/>
      <c r="D2329" s="1" t="s">
        <v>7</v>
      </c>
      <c r="E2329" s="1">
        <v>39</v>
      </c>
      <c r="F2329" s="1" t="s">
        <v>6</v>
      </c>
      <c r="G2329" s="44" t="str">
        <f t="shared" si="72"/>
        <v/>
      </c>
      <c r="H2329" s="10" t="str">
        <f t="shared" si="73"/>
        <v>Wednesday</v>
      </c>
    </row>
    <row r="2330" spans="1:8">
      <c r="A2330" s="9">
        <v>215113542</v>
      </c>
      <c r="B2330" s="6">
        <v>45098</v>
      </c>
      <c r="C2330" s="1"/>
      <c r="D2330" s="1" t="s">
        <v>7</v>
      </c>
      <c r="E2330" s="1">
        <v>39</v>
      </c>
      <c r="F2330" s="1" t="s">
        <v>6</v>
      </c>
      <c r="G2330" s="44" t="str">
        <f t="shared" si="72"/>
        <v/>
      </c>
      <c r="H2330" s="10" t="str">
        <f t="shared" si="73"/>
        <v>Wednesday</v>
      </c>
    </row>
    <row r="2331" spans="1:8">
      <c r="A2331" s="9">
        <v>204772797</v>
      </c>
      <c r="B2331" s="6">
        <v>45098</v>
      </c>
      <c r="C2331" s="1"/>
      <c r="D2331" s="1" t="s">
        <v>7</v>
      </c>
      <c r="E2331" s="1">
        <v>39</v>
      </c>
      <c r="F2331" s="1" t="s">
        <v>6</v>
      </c>
      <c r="G2331" s="44" t="str">
        <f t="shared" si="72"/>
        <v/>
      </c>
      <c r="H2331" s="10" t="str">
        <f t="shared" si="73"/>
        <v>Wednesday</v>
      </c>
    </row>
    <row r="2332" spans="1:8">
      <c r="A2332" s="9">
        <v>217627630</v>
      </c>
      <c r="B2332" s="6">
        <v>45098</v>
      </c>
      <c r="C2332" s="1"/>
      <c r="D2332" s="1" t="s">
        <v>7</v>
      </c>
      <c r="E2332" s="1">
        <v>39</v>
      </c>
      <c r="F2332" s="1" t="s">
        <v>6</v>
      </c>
      <c r="G2332" s="44" t="str">
        <f t="shared" si="72"/>
        <v/>
      </c>
      <c r="H2332" s="10" t="str">
        <f t="shared" si="73"/>
        <v>Wednesday</v>
      </c>
    </row>
    <row r="2333" spans="1:8">
      <c r="A2333" s="9">
        <v>217635272</v>
      </c>
      <c r="B2333" s="6">
        <v>45098</v>
      </c>
      <c r="C2333" s="1"/>
      <c r="D2333" s="1" t="s">
        <v>7</v>
      </c>
      <c r="E2333" s="1">
        <v>39</v>
      </c>
      <c r="F2333" s="1" t="s">
        <v>6</v>
      </c>
      <c r="G2333" s="44" t="str">
        <f t="shared" si="72"/>
        <v/>
      </c>
      <c r="H2333" s="10" t="str">
        <f t="shared" si="73"/>
        <v>Wednesday</v>
      </c>
    </row>
    <row r="2334" spans="1:8">
      <c r="A2334" s="9">
        <v>217543308</v>
      </c>
      <c r="B2334" s="6">
        <v>45098</v>
      </c>
      <c r="C2334" s="6">
        <v>45099</v>
      </c>
      <c r="D2334" s="1" t="s">
        <v>7</v>
      </c>
      <c r="E2334" s="1">
        <v>39</v>
      </c>
      <c r="F2334" s="1" t="s">
        <v>6</v>
      </c>
      <c r="G2334" s="44">
        <f t="shared" si="72"/>
        <v>1</v>
      </c>
      <c r="H2334" s="10" t="str">
        <f t="shared" si="73"/>
        <v>Wednesday</v>
      </c>
    </row>
    <row r="2335" spans="1:8">
      <c r="A2335" s="9">
        <v>217626870</v>
      </c>
      <c r="B2335" s="6">
        <v>45098</v>
      </c>
      <c r="C2335" s="6">
        <v>45099</v>
      </c>
      <c r="D2335" s="1" t="s">
        <v>8</v>
      </c>
      <c r="E2335" s="1">
        <v>39</v>
      </c>
      <c r="F2335" s="1" t="s">
        <v>6</v>
      </c>
      <c r="G2335" s="44">
        <f t="shared" si="72"/>
        <v>1</v>
      </c>
      <c r="H2335" s="10" t="str">
        <f t="shared" si="73"/>
        <v>Wednesday</v>
      </c>
    </row>
    <row r="2336" spans="1:8">
      <c r="A2336" s="9">
        <v>217246912</v>
      </c>
      <c r="B2336" s="6">
        <v>45098</v>
      </c>
      <c r="C2336" s="6">
        <v>45099</v>
      </c>
      <c r="D2336" s="1" t="s">
        <v>8</v>
      </c>
      <c r="E2336" s="1">
        <v>39</v>
      </c>
      <c r="F2336" s="1" t="s">
        <v>6</v>
      </c>
      <c r="G2336" s="44">
        <f t="shared" si="72"/>
        <v>1</v>
      </c>
      <c r="H2336" s="10" t="str">
        <f t="shared" si="73"/>
        <v>Wednesday</v>
      </c>
    </row>
    <row r="2337" spans="1:8">
      <c r="A2337" s="9">
        <v>217223132</v>
      </c>
      <c r="B2337" s="6">
        <v>45098</v>
      </c>
      <c r="C2337" s="6">
        <v>45156</v>
      </c>
      <c r="D2337" s="1" t="s">
        <v>7</v>
      </c>
      <c r="E2337" s="1">
        <v>39</v>
      </c>
      <c r="F2337" s="1" t="s">
        <v>6</v>
      </c>
      <c r="G2337" s="44">
        <f t="shared" si="72"/>
        <v>58</v>
      </c>
      <c r="H2337" s="10" t="str">
        <f t="shared" si="73"/>
        <v>Wednesday</v>
      </c>
    </row>
    <row r="2338" spans="1:8">
      <c r="A2338" s="9">
        <v>217650160</v>
      </c>
      <c r="B2338" s="6">
        <v>45098</v>
      </c>
      <c r="C2338" s="6">
        <v>45148</v>
      </c>
      <c r="D2338" s="1" t="s">
        <v>7</v>
      </c>
      <c r="E2338" s="1">
        <v>39</v>
      </c>
      <c r="F2338" s="1" t="s">
        <v>6</v>
      </c>
      <c r="G2338" s="44">
        <f t="shared" si="72"/>
        <v>50</v>
      </c>
      <c r="H2338" s="10" t="str">
        <f t="shared" si="73"/>
        <v>Wednesday</v>
      </c>
    </row>
    <row r="2339" spans="1:8">
      <c r="A2339" s="9">
        <v>149856123</v>
      </c>
      <c r="B2339" s="6">
        <v>45098</v>
      </c>
      <c r="C2339" s="6">
        <v>45124</v>
      </c>
      <c r="D2339" s="1" t="s">
        <v>7</v>
      </c>
      <c r="E2339" s="1">
        <v>39</v>
      </c>
      <c r="F2339" s="1" t="s">
        <v>6</v>
      </c>
      <c r="G2339" s="44">
        <f t="shared" si="72"/>
        <v>26</v>
      </c>
      <c r="H2339" s="10" t="str">
        <f t="shared" si="73"/>
        <v>Wednesday</v>
      </c>
    </row>
    <row r="2340" spans="1:8">
      <c r="A2340" s="9">
        <v>217657148</v>
      </c>
      <c r="B2340" s="6">
        <v>45098</v>
      </c>
      <c r="C2340" s="6">
        <v>45107</v>
      </c>
      <c r="D2340" s="1" t="s">
        <v>7</v>
      </c>
      <c r="E2340" s="1">
        <v>39</v>
      </c>
      <c r="F2340" s="1" t="s">
        <v>6</v>
      </c>
      <c r="G2340" s="44">
        <f t="shared" si="72"/>
        <v>9</v>
      </c>
      <c r="H2340" s="10" t="str">
        <f t="shared" si="73"/>
        <v>Wednesday</v>
      </c>
    </row>
    <row r="2341" spans="1:8">
      <c r="A2341" s="9">
        <v>217386658</v>
      </c>
      <c r="B2341" s="6">
        <v>45098</v>
      </c>
      <c r="C2341" s="6">
        <v>45132</v>
      </c>
      <c r="D2341" s="1" t="s">
        <v>7</v>
      </c>
      <c r="E2341" s="1">
        <v>39</v>
      </c>
      <c r="F2341" s="1" t="s">
        <v>6</v>
      </c>
      <c r="G2341" s="44">
        <f t="shared" si="72"/>
        <v>34</v>
      </c>
      <c r="H2341" s="10" t="str">
        <f t="shared" si="73"/>
        <v>Wednesday</v>
      </c>
    </row>
    <row r="2342" spans="1:8">
      <c r="A2342" s="9">
        <v>202563999</v>
      </c>
      <c r="B2342" s="6">
        <v>45099</v>
      </c>
      <c r="C2342" s="1"/>
      <c r="D2342" s="1" t="s">
        <v>7</v>
      </c>
      <c r="E2342" s="1">
        <v>39</v>
      </c>
      <c r="F2342" s="1" t="s">
        <v>6</v>
      </c>
      <c r="G2342" s="44" t="str">
        <f t="shared" si="72"/>
        <v/>
      </c>
      <c r="H2342" s="10" t="str">
        <f t="shared" si="73"/>
        <v>Thursday</v>
      </c>
    </row>
    <row r="2343" spans="1:8">
      <c r="A2343" s="9">
        <v>137195650</v>
      </c>
      <c r="B2343" s="6">
        <v>45099</v>
      </c>
      <c r="C2343" s="1"/>
      <c r="D2343" s="1" t="s">
        <v>7</v>
      </c>
      <c r="E2343" s="1">
        <v>39</v>
      </c>
      <c r="F2343" s="1" t="s">
        <v>6</v>
      </c>
      <c r="G2343" s="44" t="str">
        <f t="shared" si="72"/>
        <v/>
      </c>
      <c r="H2343" s="10" t="str">
        <f t="shared" si="73"/>
        <v>Thursday</v>
      </c>
    </row>
    <row r="2344" spans="1:8">
      <c r="A2344" s="9">
        <v>138372112</v>
      </c>
      <c r="B2344" s="6">
        <v>45099</v>
      </c>
      <c r="C2344" s="1"/>
      <c r="D2344" s="1" t="s">
        <v>7</v>
      </c>
      <c r="E2344" s="1">
        <v>39</v>
      </c>
      <c r="F2344" s="1" t="s">
        <v>6</v>
      </c>
      <c r="G2344" s="44" t="str">
        <f t="shared" si="72"/>
        <v/>
      </c>
      <c r="H2344" s="10" t="str">
        <f t="shared" si="73"/>
        <v>Thursday</v>
      </c>
    </row>
    <row r="2345" spans="1:8">
      <c r="A2345" s="9">
        <v>217692419</v>
      </c>
      <c r="B2345" s="6">
        <v>45099</v>
      </c>
      <c r="C2345" s="1"/>
      <c r="D2345" s="1" t="s">
        <v>7</v>
      </c>
      <c r="E2345" s="1">
        <v>39</v>
      </c>
      <c r="F2345" s="1" t="s">
        <v>6</v>
      </c>
      <c r="G2345" s="44" t="str">
        <f t="shared" si="72"/>
        <v/>
      </c>
      <c r="H2345" s="10" t="str">
        <f t="shared" si="73"/>
        <v>Thursday</v>
      </c>
    </row>
    <row r="2346" spans="1:8">
      <c r="A2346" s="9">
        <v>217610905</v>
      </c>
      <c r="B2346" s="6">
        <v>45099</v>
      </c>
      <c r="C2346" s="1"/>
      <c r="D2346" s="1" t="s">
        <v>7</v>
      </c>
      <c r="E2346" s="1">
        <v>39</v>
      </c>
      <c r="F2346" s="1" t="s">
        <v>6</v>
      </c>
      <c r="G2346" s="44" t="str">
        <f t="shared" si="72"/>
        <v/>
      </c>
      <c r="H2346" s="10" t="str">
        <f t="shared" si="73"/>
        <v>Thursday</v>
      </c>
    </row>
    <row r="2347" spans="1:8">
      <c r="A2347" s="9">
        <v>217618558</v>
      </c>
      <c r="B2347" s="6">
        <v>45099</v>
      </c>
      <c r="C2347" s="1"/>
      <c r="D2347" s="1" t="s">
        <v>7</v>
      </c>
      <c r="E2347" s="1">
        <v>39</v>
      </c>
      <c r="F2347" s="1" t="s">
        <v>6</v>
      </c>
      <c r="G2347" s="44" t="str">
        <f t="shared" si="72"/>
        <v/>
      </c>
      <c r="H2347" s="10" t="str">
        <f t="shared" si="73"/>
        <v>Thursday</v>
      </c>
    </row>
    <row r="2348" spans="1:8">
      <c r="A2348" s="9">
        <v>190490555</v>
      </c>
      <c r="B2348" s="6">
        <v>45099</v>
      </c>
      <c r="C2348" s="1"/>
      <c r="D2348" s="1" t="s">
        <v>7</v>
      </c>
      <c r="E2348" s="1">
        <v>39</v>
      </c>
      <c r="F2348" s="1" t="s">
        <v>6</v>
      </c>
      <c r="G2348" s="44" t="str">
        <f t="shared" si="72"/>
        <v/>
      </c>
      <c r="H2348" s="10" t="str">
        <f t="shared" si="73"/>
        <v>Thursday</v>
      </c>
    </row>
    <row r="2349" spans="1:8">
      <c r="A2349" s="9">
        <v>122169020</v>
      </c>
      <c r="B2349" s="6">
        <v>45099</v>
      </c>
      <c r="C2349" s="6">
        <v>45100</v>
      </c>
      <c r="D2349" s="1" t="s">
        <v>7</v>
      </c>
      <c r="E2349" s="1">
        <v>39</v>
      </c>
      <c r="F2349" s="1" t="s">
        <v>6</v>
      </c>
      <c r="G2349" s="44">
        <f t="shared" si="72"/>
        <v>1</v>
      </c>
      <c r="H2349" s="10" t="str">
        <f t="shared" si="73"/>
        <v>Thursday</v>
      </c>
    </row>
    <row r="2350" spans="1:8">
      <c r="A2350" s="9">
        <v>217628239</v>
      </c>
      <c r="B2350" s="6">
        <v>45099</v>
      </c>
      <c r="C2350" s="6">
        <v>45100</v>
      </c>
      <c r="D2350" s="1" t="s">
        <v>8</v>
      </c>
      <c r="E2350" s="1">
        <v>39</v>
      </c>
      <c r="F2350" s="1" t="s">
        <v>6</v>
      </c>
      <c r="G2350" s="44">
        <f t="shared" si="72"/>
        <v>1</v>
      </c>
      <c r="H2350" s="10" t="str">
        <f t="shared" si="73"/>
        <v>Thursday</v>
      </c>
    </row>
    <row r="2351" spans="1:8">
      <c r="A2351" s="9">
        <v>148062219</v>
      </c>
      <c r="B2351" s="6">
        <v>45099</v>
      </c>
      <c r="C2351" s="6">
        <v>45126</v>
      </c>
      <c r="D2351" s="1" t="s">
        <v>7</v>
      </c>
      <c r="E2351" s="1">
        <v>39</v>
      </c>
      <c r="F2351" s="1" t="s">
        <v>6</v>
      </c>
      <c r="G2351" s="44">
        <f t="shared" si="72"/>
        <v>27</v>
      </c>
      <c r="H2351" s="10" t="str">
        <f t="shared" si="73"/>
        <v>Thursday</v>
      </c>
    </row>
    <row r="2352" spans="1:8">
      <c r="A2352" s="9">
        <v>131505988</v>
      </c>
      <c r="B2352" s="6">
        <v>45099</v>
      </c>
      <c r="C2352" s="6">
        <v>45113</v>
      </c>
      <c r="D2352" s="1" t="s">
        <v>7</v>
      </c>
      <c r="E2352" s="1">
        <v>39</v>
      </c>
      <c r="F2352" s="1" t="s">
        <v>6</v>
      </c>
      <c r="G2352" s="44">
        <f t="shared" si="72"/>
        <v>14</v>
      </c>
      <c r="H2352" s="10" t="str">
        <f t="shared" si="73"/>
        <v>Thursday</v>
      </c>
    </row>
    <row r="2353" spans="1:8">
      <c r="A2353" s="9">
        <v>215489398</v>
      </c>
      <c r="B2353" s="6">
        <v>45099</v>
      </c>
      <c r="C2353" s="6">
        <v>45099</v>
      </c>
      <c r="D2353" s="1" t="s">
        <v>7</v>
      </c>
      <c r="E2353" s="1">
        <v>39</v>
      </c>
      <c r="F2353" s="1" t="s">
        <v>6</v>
      </c>
      <c r="G2353" s="44">
        <f t="shared" si="72"/>
        <v>0</v>
      </c>
      <c r="H2353" s="10" t="str">
        <f t="shared" si="73"/>
        <v>Thursday</v>
      </c>
    </row>
    <row r="2354" spans="1:8">
      <c r="A2354" s="9">
        <v>195285936</v>
      </c>
      <c r="B2354" s="6">
        <v>45099</v>
      </c>
      <c r="C2354" s="6">
        <v>45156</v>
      </c>
      <c r="D2354" s="1" t="s">
        <v>7</v>
      </c>
      <c r="E2354" s="1">
        <v>39</v>
      </c>
      <c r="F2354" s="1" t="s">
        <v>6</v>
      </c>
      <c r="G2354" s="44">
        <f t="shared" si="72"/>
        <v>57</v>
      </c>
      <c r="H2354" s="10" t="str">
        <f t="shared" si="73"/>
        <v>Thursday</v>
      </c>
    </row>
    <row r="2355" spans="1:8">
      <c r="A2355" s="9">
        <v>217725764</v>
      </c>
      <c r="B2355" s="6">
        <v>45099</v>
      </c>
      <c r="C2355" s="6">
        <v>45104</v>
      </c>
      <c r="D2355" s="1" t="s">
        <v>7</v>
      </c>
      <c r="E2355" s="1">
        <v>39</v>
      </c>
      <c r="F2355" s="1" t="s">
        <v>6</v>
      </c>
      <c r="G2355" s="44">
        <f t="shared" si="72"/>
        <v>5</v>
      </c>
      <c r="H2355" s="10" t="str">
        <f t="shared" si="73"/>
        <v>Thursday</v>
      </c>
    </row>
    <row r="2356" spans="1:8">
      <c r="A2356" s="9">
        <v>217730944</v>
      </c>
      <c r="B2356" s="6">
        <v>45099</v>
      </c>
      <c r="C2356" s="6">
        <v>45113</v>
      </c>
      <c r="D2356" s="1" t="s">
        <v>7</v>
      </c>
      <c r="E2356" s="1">
        <v>39</v>
      </c>
      <c r="F2356" s="1" t="s">
        <v>6</v>
      </c>
      <c r="G2356" s="44">
        <f t="shared" si="72"/>
        <v>14</v>
      </c>
      <c r="H2356" s="10" t="str">
        <f t="shared" si="73"/>
        <v>Thursday</v>
      </c>
    </row>
    <row r="2357" spans="1:8">
      <c r="A2357" s="9">
        <v>205548571</v>
      </c>
      <c r="B2357" s="6">
        <v>45100</v>
      </c>
      <c r="C2357" s="1"/>
      <c r="D2357" s="1" t="s">
        <v>7</v>
      </c>
      <c r="E2357" s="1">
        <v>39</v>
      </c>
      <c r="F2357" s="1" t="s">
        <v>6</v>
      </c>
      <c r="G2357" s="44" t="str">
        <f t="shared" si="72"/>
        <v/>
      </c>
      <c r="H2357" s="10" t="str">
        <f t="shared" si="73"/>
        <v>Friday</v>
      </c>
    </row>
    <row r="2358" spans="1:8">
      <c r="A2358" s="9">
        <v>188085249</v>
      </c>
      <c r="B2358" s="6">
        <v>45100</v>
      </c>
      <c r="C2358" s="1"/>
      <c r="D2358" s="1" t="s">
        <v>7</v>
      </c>
      <c r="E2358" s="1">
        <v>39</v>
      </c>
      <c r="F2358" s="1" t="s">
        <v>6</v>
      </c>
      <c r="G2358" s="44" t="str">
        <f t="shared" si="72"/>
        <v/>
      </c>
      <c r="H2358" s="10" t="str">
        <f t="shared" si="73"/>
        <v>Friday</v>
      </c>
    </row>
    <row r="2359" spans="1:8">
      <c r="A2359" s="9">
        <v>206697535</v>
      </c>
      <c r="B2359" s="6">
        <v>45100</v>
      </c>
      <c r="C2359" s="1"/>
      <c r="D2359" s="1" t="s">
        <v>7</v>
      </c>
      <c r="E2359" s="1">
        <v>39</v>
      </c>
      <c r="F2359" s="1" t="s">
        <v>6</v>
      </c>
      <c r="G2359" s="44" t="str">
        <f t="shared" si="72"/>
        <v/>
      </c>
      <c r="H2359" s="10" t="str">
        <f t="shared" si="73"/>
        <v>Friday</v>
      </c>
    </row>
    <row r="2360" spans="1:8">
      <c r="A2360" s="9">
        <v>152705871</v>
      </c>
      <c r="B2360" s="6">
        <v>45100</v>
      </c>
      <c r="C2360" s="1"/>
      <c r="D2360" s="1" t="s">
        <v>7</v>
      </c>
      <c r="E2360" s="1">
        <v>39</v>
      </c>
      <c r="F2360" s="1" t="s">
        <v>6</v>
      </c>
      <c r="G2360" s="44" t="str">
        <f t="shared" si="72"/>
        <v/>
      </c>
      <c r="H2360" s="10" t="str">
        <f t="shared" si="73"/>
        <v>Friday</v>
      </c>
    </row>
    <row r="2361" spans="1:8">
      <c r="A2361" s="9">
        <v>216139584</v>
      </c>
      <c r="B2361" s="6">
        <v>45100</v>
      </c>
      <c r="C2361" s="1"/>
      <c r="D2361" s="1" t="s">
        <v>7</v>
      </c>
      <c r="E2361" s="1">
        <v>39</v>
      </c>
      <c r="F2361" s="1" t="s">
        <v>6</v>
      </c>
      <c r="G2361" s="44" t="str">
        <f t="shared" si="72"/>
        <v/>
      </c>
      <c r="H2361" s="10" t="str">
        <f t="shared" si="73"/>
        <v>Friday</v>
      </c>
    </row>
    <row r="2362" spans="1:8">
      <c r="A2362" s="9">
        <v>127716285</v>
      </c>
      <c r="B2362" s="6">
        <v>45100</v>
      </c>
      <c r="C2362" s="1"/>
      <c r="D2362" s="1" t="s">
        <v>7</v>
      </c>
      <c r="E2362" s="1">
        <v>39</v>
      </c>
      <c r="F2362" s="1" t="s">
        <v>6</v>
      </c>
      <c r="G2362" s="44" t="str">
        <f t="shared" si="72"/>
        <v/>
      </c>
      <c r="H2362" s="10" t="str">
        <f t="shared" si="73"/>
        <v>Friday</v>
      </c>
    </row>
    <row r="2363" spans="1:8">
      <c r="A2363" s="9">
        <v>138535334</v>
      </c>
      <c r="B2363" s="6">
        <v>45100</v>
      </c>
      <c r="C2363" s="6">
        <v>45161</v>
      </c>
      <c r="D2363" s="1" t="s">
        <v>7</v>
      </c>
      <c r="E2363" s="1">
        <v>39</v>
      </c>
      <c r="F2363" s="1" t="s">
        <v>6</v>
      </c>
      <c r="G2363" s="44">
        <f t="shared" si="72"/>
        <v>61</v>
      </c>
      <c r="H2363" s="10" t="str">
        <f t="shared" si="73"/>
        <v>Friday</v>
      </c>
    </row>
    <row r="2364" spans="1:8">
      <c r="A2364" s="9">
        <v>205869717</v>
      </c>
      <c r="B2364" s="6">
        <v>45100</v>
      </c>
      <c r="C2364" s="6">
        <v>45168</v>
      </c>
      <c r="D2364" s="1" t="s">
        <v>7</v>
      </c>
      <c r="E2364" s="1">
        <v>39</v>
      </c>
      <c r="F2364" s="1" t="s">
        <v>6</v>
      </c>
      <c r="G2364" s="44">
        <f t="shared" si="72"/>
        <v>68</v>
      </c>
      <c r="H2364" s="10" t="str">
        <f t="shared" si="73"/>
        <v>Friday</v>
      </c>
    </row>
    <row r="2365" spans="1:8">
      <c r="A2365" s="9">
        <v>204985013</v>
      </c>
      <c r="B2365" s="6">
        <v>45100</v>
      </c>
      <c r="C2365" s="6">
        <v>45150</v>
      </c>
      <c r="D2365" s="1" t="s">
        <v>7</v>
      </c>
      <c r="E2365" s="1">
        <v>39</v>
      </c>
      <c r="F2365" s="1" t="s">
        <v>6</v>
      </c>
      <c r="G2365" s="44">
        <f t="shared" si="72"/>
        <v>50</v>
      </c>
      <c r="H2365" s="10" t="str">
        <f t="shared" si="73"/>
        <v>Friday</v>
      </c>
    </row>
    <row r="2366" spans="1:8">
      <c r="A2366" s="9">
        <v>217763600</v>
      </c>
      <c r="B2366" s="6">
        <v>45101</v>
      </c>
      <c r="C2366" s="1"/>
      <c r="D2366" s="1" t="s">
        <v>7</v>
      </c>
      <c r="E2366" s="1">
        <v>39</v>
      </c>
      <c r="F2366" s="1" t="s">
        <v>6</v>
      </c>
      <c r="G2366" s="44" t="str">
        <f t="shared" si="72"/>
        <v/>
      </c>
      <c r="H2366" s="10" t="str">
        <f t="shared" si="73"/>
        <v>Saturday</v>
      </c>
    </row>
    <row r="2367" spans="1:8">
      <c r="A2367" s="9">
        <v>217808731</v>
      </c>
      <c r="B2367" s="6">
        <v>45101</v>
      </c>
      <c r="C2367" s="6">
        <v>45102</v>
      </c>
      <c r="D2367" s="1" t="s">
        <v>8</v>
      </c>
      <c r="E2367" s="1">
        <v>39</v>
      </c>
      <c r="F2367" s="1" t="s">
        <v>6</v>
      </c>
      <c r="G2367" s="44">
        <f t="shared" si="72"/>
        <v>1</v>
      </c>
      <c r="H2367" s="10" t="str">
        <f t="shared" si="73"/>
        <v>Saturday</v>
      </c>
    </row>
    <row r="2368" spans="1:8">
      <c r="A2368" s="9">
        <v>217822232</v>
      </c>
      <c r="B2368" s="6">
        <v>45101</v>
      </c>
      <c r="C2368" s="6">
        <v>45143</v>
      </c>
      <c r="D2368" s="1" t="s">
        <v>7</v>
      </c>
      <c r="E2368" s="1">
        <v>39</v>
      </c>
      <c r="F2368" s="1" t="s">
        <v>6</v>
      </c>
      <c r="G2368" s="44">
        <f t="shared" si="72"/>
        <v>42</v>
      </c>
      <c r="H2368" s="10" t="str">
        <f t="shared" si="73"/>
        <v>Saturday</v>
      </c>
    </row>
    <row r="2369" spans="1:8">
      <c r="A2369" s="9">
        <v>217718093</v>
      </c>
      <c r="B2369" s="6">
        <v>45102</v>
      </c>
      <c r="C2369" s="1"/>
      <c r="D2369" s="1" t="s">
        <v>7</v>
      </c>
      <c r="E2369" s="1">
        <v>39</v>
      </c>
      <c r="F2369" s="1" t="s">
        <v>6</v>
      </c>
      <c r="G2369" s="44" t="str">
        <f t="shared" si="72"/>
        <v/>
      </c>
      <c r="H2369" s="10" t="str">
        <f t="shared" si="73"/>
        <v>Sunday</v>
      </c>
    </row>
    <row r="2370" spans="1:8">
      <c r="A2370" s="9">
        <v>217555660</v>
      </c>
      <c r="B2370" s="6">
        <v>45102</v>
      </c>
      <c r="C2370" s="1"/>
      <c r="D2370" s="1" t="s">
        <v>7</v>
      </c>
      <c r="E2370" s="1">
        <v>39</v>
      </c>
      <c r="F2370" s="1" t="s">
        <v>6</v>
      </c>
      <c r="G2370" s="44" t="str">
        <f t="shared" si="72"/>
        <v/>
      </c>
      <c r="H2370" s="10" t="str">
        <f t="shared" si="73"/>
        <v>Sunday</v>
      </c>
    </row>
    <row r="2371" spans="1:8">
      <c r="A2371" s="9">
        <v>154535908</v>
      </c>
      <c r="B2371" s="6">
        <v>45102</v>
      </c>
      <c r="C2371" s="1"/>
      <c r="D2371" s="1" t="s">
        <v>7</v>
      </c>
      <c r="E2371" s="1">
        <v>39</v>
      </c>
      <c r="F2371" s="1" t="s">
        <v>6</v>
      </c>
      <c r="G2371" s="44" t="str">
        <f t="shared" ref="G2371:G2434" si="74">IF(C2371="", "", DATEDIF(B2371, C2371, "D"))</f>
        <v/>
      </c>
      <c r="H2371" s="10" t="str">
        <f t="shared" ref="H2371:H2434" si="75">TEXT(B2371, "dddd")</f>
        <v>Sunday</v>
      </c>
    </row>
    <row r="2372" spans="1:8">
      <c r="A2372" s="9">
        <v>217554744</v>
      </c>
      <c r="B2372" s="6">
        <v>45102</v>
      </c>
      <c r="C2372" s="6">
        <v>45139</v>
      </c>
      <c r="D2372" s="1" t="s">
        <v>7</v>
      </c>
      <c r="E2372" s="1">
        <v>39</v>
      </c>
      <c r="F2372" s="1" t="s">
        <v>6</v>
      </c>
      <c r="G2372" s="44">
        <f t="shared" si="74"/>
        <v>37</v>
      </c>
      <c r="H2372" s="10" t="str">
        <f t="shared" si="75"/>
        <v>Sunday</v>
      </c>
    </row>
    <row r="2373" spans="1:8">
      <c r="A2373" s="9">
        <v>217877324</v>
      </c>
      <c r="B2373" s="6">
        <v>45102</v>
      </c>
      <c r="C2373" s="6">
        <v>45102</v>
      </c>
      <c r="D2373" s="1" t="s">
        <v>7</v>
      </c>
      <c r="E2373" s="1">
        <v>39</v>
      </c>
      <c r="F2373" s="1" t="s">
        <v>6</v>
      </c>
      <c r="G2373" s="44">
        <f t="shared" si="74"/>
        <v>0</v>
      </c>
      <c r="H2373" s="10" t="str">
        <f t="shared" si="75"/>
        <v>Sunday</v>
      </c>
    </row>
    <row r="2374" spans="1:8">
      <c r="A2374" s="9">
        <v>147765298</v>
      </c>
      <c r="B2374" s="6">
        <v>45103</v>
      </c>
      <c r="C2374" s="1"/>
      <c r="D2374" s="1" t="s">
        <v>7</v>
      </c>
      <c r="E2374" s="1">
        <v>39</v>
      </c>
      <c r="F2374" s="1" t="s">
        <v>6</v>
      </c>
      <c r="G2374" s="44" t="str">
        <f t="shared" si="74"/>
        <v/>
      </c>
      <c r="H2374" s="10" t="str">
        <f t="shared" si="75"/>
        <v>Monday</v>
      </c>
    </row>
    <row r="2375" spans="1:8">
      <c r="A2375" s="9">
        <v>217901196</v>
      </c>
      <c r="B2375" s="6">
        <v>45103</v>
      </c>
      <c r="C2375" s="1"/>
      <c r="D2375" s="1" t="s">
        <v>7</v>
      </c>
      <c r="E2375" s="1">
        <v>39</v>
      </c>
      <c r="F2375" s="1" t="s">
        <v>6</v>
      </c>
      <c r="G2375" s="44" t="str">
        <f t="shared" si="74"/>
        <v/>
      </c>
      <c r="H2375" s="10" t="str">
        <f t="shared" si="75"/>
        <v>Monday</v>
      </c>
    </row>
    <row r="2376" spans="1:8">
      <c r="A2376" s="9">
        <v>217266939</v>
      </c>
      <c r="B2376" s="6">
        <v>45103</v>
      </c>
      <c r="C2376" s="1"/>
      <c r="D2376" s="1" t="s">
        <v>7</v>
      </c>
      <c r="E2376" s="1">
        <v>39</v>
      </c>
      <c r="F2376" s="1" t="s">
        <v>6</v>
      </c>
      <c r="G2376" s="44" t="str">
        <f t="shared" si="74"/>
        <v/>
      </c>
      <c r="H2376" s="10" t="str">
        <f t="shared" si="75"/>
        <v>Monday</v>
      </c>
    </row>
    <row r="2377" spans="1:8">
      <c r="A2377" s="9">
        <v>204908076</v>
      </c>
      <c r="B2377" s="6">
        <v>45103</v>
      </c>
      <c r="C2377" s="1"/>
      <c r="D2377" s="1" t="s">
        <v>7</v>
      </c>
      <c r="E2377" s="1">
        <v>39</v>
      </c>
      <c r="F2377" s="1" t="s">
        <v>6</v>
      </c>
      <c r="G2377" s="44" t="str">
        <f t="shared" si="74"/>
        <v/>
      </c>
      <c r="H2377" s="10" t="str">
        <f t="shared" si="75"/>
        <v>Monday</v>
      </c>
    </row>
    <row r="2378" spans="1:8">
      <c r="A2378" s="9">
        <v>217698784</v>
      </c>
      <c r="B2378" s="6">
        <v>45103</v>
      </c>
      <c r="C2378" s="1"/>
      <c r="D2378" s="1" t="s">
        <v>7</v>
      </c>
      <c r="E2378" s="1">
        <v>39</v>
      </c>
      <c r="F2378" s="1" t="s">
        <v>6</v>
      </c>
      <c r="G2378" s="44" t="str">
        <f t="shared" si="74"/>
        <v/>
      </c>
      <c r="H2378" s="10" t="str">
        <f t="shared" si="75"/>
        <v>Monday</v>
      </c>
    </row>
    <row r="2379" spans="1:8">
      <c r="A2379" s="9">
        <v>217909024</v>
      </c>
      <c r="B2379" s="6">
        <v>45103</v>
      </c>
      <c r="C2379" s="1"/>
      <c r="D2379" s="1" t="s">
        <v>7</v>
      </c>
      <c r="E2379" s="1">
        <v>39</v>
      </c>
      <c r="F2379" s="1" t="s">
        <v>6</v>
      </c>
      <c r="G2379" s="44" t="str">
        <f t="shared" si="74"/>
        <v/>
      </c>
      <c r="H2379" s="10" t="str">
        <f t="shared" si="75"/>
        <v>Monday</v>
      </c>
    </row>
    <row r="2380" spans="1:8">
      <c r="A2380" s="9">
        <v>201498671</v>
      </c>
      <c r="B2380" s="6">
        <v>45103</v>
      </c>
      <c r="C2380" s="1"/>
      <c r="D2380" s="1" t="s">
        <v>7</v>
      </c>
      <c r="E2380" s="1">
        <v>39</v>
      </c>
      <c r="F2380" s="1" t="s">
        <v>6</v>
      </c>
      <c r="G2380" s="44" t="str">
        <f t="shared" si="74"/>
        <v/>
      </c>
      <c r="H2380" s="10" t="str">
        <f t="shared" si="75"/>
        <v>Monday</v>
      </c>
    </row>
    <row r="2381" spans="1:8">
      <c r="A2381" s="9">
        <v>217902650</v>
      </c>
      <c r="B2381" s="6">
        <v>45103</v>
      </c>
      <c r="C2381" s="1"/>
      <c r="D2381" s="1" t="s">
        <v>7</v>
      </c>
      <c r="E2381" s="1">
        <v>39</v>
      </c>
      <c r="F2381" s="1" t="s">
        <v>6</v>
      </c>
      <c r="G2381" s="44" t="str">
        <f t="shared" si="74"/>
        <v/>
      </c>
      <c r="H2381" s="10" t="str">
        <f t="shared" si="75"/>
        <v>Monday</v>
      </c>
    </row>
    <row r="2382" spans="1:8">
      <c r="A2382" s="9">
        <v>217896282</v>
      </c>
      <c r="B2382" s="6">
        <v>45103</v>
      </c>
      <c r="C2382" s="1"/>
      <c r="D2382" s="1" t="s">
        <v>7</v>
      </c>
      <c r="E2382" s="1">
        <v>39</v>
      </c>
      <c r="F2382" s="1" t="s">
        <v>6</v>
      </c>
      <c r="G2382" s="44" t="str">
        <f t="shared" si="74"/>
        <v/>
      </c>
      <c r="H2382" s="10" t="str">
        <f t="shared" si="75"/>
        <v>Monday</v>
      </c>
    </row>
    <row r="2383" spans="1:8">
      <c r="A2383" s="9">
        <v>217337901</v>
      </c>
      <c r="B2383" s="6">
        <v>45103</v>
      </c>
      <c r="C2383" s="1"/>
      <c r="D2383" s="1" t="s">
        <v>7</v>
      </c>
      <c r="E2383" s="1">
        <v>39</v>
      </c>
      <c r="F2383" s="1" t="s">
        <v>6</v>
      </c>
      <c r="G2383" s="44" t="str">
        <f t="shared" si="74"/>
        <v/>
      </c>
      <c r="H2383" s="10" t="str">
        <f t="shared" si="75"/>
        <v>Monday</v>
      </c>
    </row>
    <row r="2384" spans="1:8">
      <c r="A2384" s="9">
        <v>217477535</v>
      </c>
      <c r="B2384" s="6">
        <v>45103</v>
      </c>
      <c r="C2384" s="1"/>
      <c r="D2384" s="1" t="s">
        <v>7</v>
      </c>
      <c r="E2384" s="1">
        <v>39</v>
      </c>
      <c r="F2384" s="1" t="s">
        <v>6</v>
      </c>
      <c r="G2384" s="44" t="str">
        <f t="shared" si="74"/>
        <v/>
      </c>
      <c r="H2384" s="10" t="str">
        <f t="shared" si="75"/>
        <v>Monday</v>
      </c>
    </row>
    <row r="2385" spans="1:8">
      <c r="A2385" s="9">
        <v>217885621</v>
      </c>
      <c r="B2385" s="6">
        <v>45103</v>
      </c>
      <c r="C2385" s="1"/>
      <c r="D2385" s="1" t="s">
        <v>7</v>
      </c>
      <c r="E2385" s="1">
        <v>39</v>
      </c>
      <c r="F2385" s="1" t="s">
        <v>6</v>
      </c>
      <c r="G2385" s="44" t="str">
        <f t="shared" si="74"/>
        <v/>
      </c>
      <c r="H2385" s="10" t="str">
        <f t="shared" si="75"/>
        <v>Monday</v>
      </c>
    </row>
    <row r="2386" spans="1:8">
      <c r="A2386" s="9">
        <v>217714764</v>
      </c>
      <c r="B2386" s="6">
        <v>45103</v>
      </c>
      <c r="C2386" s="1"/>
      <c r="D2386" s="1" t="s">
        <v>7</v>
      </c>
      <c r="E2386" s="1">
        <v>39</v>
      </c>
      <c r="F2386" s="1" t="s">
        <v>6</v>
      </c>
      <c r="G2386" s="44" t="str">
        <f t="shared" si="74"/>
        <v/>
      </c>
      <c r="H2386" s="10" t="str">
        <f t="shared" si="75"/>
        <v>Monday</v>
      </c>
    </row>
    <row r="2387" spans="1:8">
      <c r="A2387" s="9">
        <v>217335548</v>
      </c>
      <c r="B2387" s="6">
        <v>45103</v>
      </c>
      <c r="C2387" s="6">
        <v>45175</v>
      </c>
      <c r="D2387" s="1" t="s">
        <v>7</v>
      </c>
      <c r="E2387" s="1">
        <v>39</v>
      </c>
      <c r="F2387" s="1" t="s">
        <v>6</v>
      </c>
      <c r="G2387" s="44">
        <f t="shared" si="74"/>
        <v>72</v>
      </c>
      <c r="H2387" s="10" t="str">
        <f t="shared" si="75"/>
        <v>Monday</v>
      </c>
    </row>
    <row r="2388" spans="1:8">
      <c r="A2388" s="9">
        <v>129747676</v>
      </c>
      <c r="B2388" s="6">
        <v>45103</v>
      </c>
      <c r="C2388" s="6">
        <v>45104</v>
      </c>
      <c r="D2388" s="1" t="s">
        <v>7</v>
      </c>
      <c r="E2388" s="1">
        <v>39</v>
      </c>
      <c r="F2388" s="1" t="s">
        <v>6</v>
      </c>
      <c r="G2388" s="44">
        <f t="shared" si="74"/>
        <v>1</v>
      </c>
      <c r="H2388" s="10" t="str">
        <f t="shared" si="75"/>
        <v>Monday</v>
      </c>
    </row>
    <row r="2389" spans="1:8">
      <c r="A2389" s="9">
        <v>217846698</v>
      </c>
      <c r="B2389" s="6">
        <v>45103</v>
      </c>
      <c r="C2389" s="6">
        <v>45104</v>
      </c>
      <c r="D2389" s="1" t="s">
        <v>8</v>
      </c>
      <c r="E2389" s="1">
        <v>39</v>
      </c>
      <c r="F2389" s="1" t="s">
        <v>6</v>
      </c>
      <c r="G2389" s="44">
        <f t="shared" si="74"/>
        <v>1</v>
      </c>
      <c r="H2389" s="10" t="str">
        <f t="shared" si="75"/>
        <v>Monday</v>
      </c>
    </row>
    <row r="2390" spans="1:8">
      <c r="A2390" s="9">
        <v>217965791</v>
      </c>
      <c r="B2390" s="6">
        <v>45104</v>
      </c>
      <c r="C2390" s="1"/>
      <c r="D2390" s="1" t="s">
        <v>7</v>
      </c>
      <c r="E2390" s="1">
        <v>39</v>
      </c>
      <c r="F2390" s="1" t="s">
        <v>6</v>
      </c>
      <c r="G2390" s="44" t="str">
        <f t="shared" si="74"/>
        <v/>
      </c>
      <c r="H2390" s="10" t="str">
        <f t="shared" si="75"/>
        <v>Tuesday</v>
      </c>
    </row>
    <row r="2391" spans="1:8">
      <c r="A2391" s="9">
        <v>217851124</v>
      </c>
      <c r="B2391" s="6">
        <v>45104</v>
      </c>
      <c r="C2391" s="1"/>
      <c r="D2391" s="1" t="s">
        <v>7</v>
      </c>
      <c r="E2391" s="1">
        <v>39</v>
      </c>
      <c r="F2391" s="1" t="s">
        <v>6</v>
      </c>
      <c r="G2391" s="44" t="str">
        <f t="shared" si="74"/>
        <v/>
      </c>
      <c r="H2391" s="10" t="str">
        <f t="shared" si="75"/>
        <v>Tuesday</v>
      </c>
    </row>
    <row r="2392" spans="1:8">
      <c r="A2392" s="9">
        <v>217861903</v>
      </c>
      <c r="B2392" s="6">
        <v>45104</v>
      </c>
      <c r="C2392" s="1"/>
      <c r="D2392" s="1" t="s">
        <v>7</v>
      </c>
      <c r="E2392" s="1">
        <v>39</v>
      </c>
      <c r="F2392" s="1" t="s">
        <v>6</v>
      </c>
      <c r="G2392" s="44" t="str">
        <f t="shared" si="74"/>
        <v/>
      </c>
      <c r="H2392" s="10" t="str">
        <f t="shared" si="75"/>
        <v>Tuesday</v>
      </c>
    </row>
    <row r="2393" spans="1:8">
      <c r="A2393" s="9">
        <v>217660423</v>
      </c>
      <c r="B2393" s="6">
        <v>45104</v>
      </c>
      <c r="C2393" s="1"/>
      <c r="D2393" s="1" t="s">
        <v>7</v>
      </c>
      <c r="E2393" s="1">
        <v>39</v>
      </c>
      <c r="F2393" s="1" t="s">
        <v>6</v>
      </c>
      <c r="G2393" s="44" t="str">
        <f t="shared" si="74"/>
        <v/>
      </c>
      <c r="H2393" s="10" t="str">
        <f t="shared" si="75"/>
        <v>Tuesday</v>
      </c>
    </row>
    <row r="2394" spans="1:8">
      <c r="A2394" s="9">
        <v>217814342</v>
      </c>
      <c r="B2394" s="6">
        <v>45104</v>
      </c>
      <c r="C2394" s="1"/>
      <c r="D2394" s="1" t="s">
        <v>7</v>
      </c>
      <c r="E2394" s="1">
        <v>39</v>
      </c>
      <c r="F2394" s="1" t="s">
        <v>6</v>
      </c>
      <c r="G2394" s="44" t="str">
        <f t="shared" si="74"/>
        <v/>
      </c>
      <c r="H2394" s="10" t="str">
        <f t="shared" si="75"/>
        <v>Tuesday</v>
      </c>
    </row>
    <row r="2395" spans="1:8">
      <c r="A2395" s="9">
        <v>157548765</v>
      </c>
      <c r="B2395" s="6">
        <v>45104</v>
      </c>
      <c r="C2395" s="6">
        <v>45105</v>
      </c>
      <c r="D2395" s="1" t="s">
        <v>8</v>
      </c>
      <c r="E2395" s="1">
        <v>39</v>
      </c>
      <c r="F2395" s="1" t="s">
        <v>6</v>
      </c>
      <c r="G2395" s="44">
        <f t="shared" si="74"/>
        <v>1</v>
      </c>
      <c r="H2395" s="10" t="str">
        <f t="shared" si="75"/>
        <v>Tuesday</v>
      </c>
    </row>
    <row r="2396" spans="1:8">
      <c r="A2396" s="9">
        <v>217934288</v>
      </c>
      <c r="B2396" s="6">
        <v>45104</v>
      </c>
      <c r="C2396" s="6">
        <v>45105</v>
      </c>
      <c r="D2396" s="1" t="s">
        <v>8</v>
      </c>
      <c r="E2396" s="1">
        <v>39</v>
      </c>
      <c r="F2396" s="1" t="s">
        <v>6</v>
      </c>
      <c r="G2396" s="44">
        <f t="shared" si="74"/>
        <v>1</v>
      </c>
      <c r="H2396" s="10" t="str">
        <f t="shared" si="75"/>
        <v>Tuesday</v>
      </c>
    </row>
    <row r="2397" spans="1:8">
      <c r="A2397" s="9">
        <v>217855786</v>
      </c>
      <c r="B2397" s="6">
        <v>45104</v>
      </c>
      <c r="C2397" s="6">
        <v>45105</v>
      </c>
      <c r="D2397" s="1" t="s">
        <v>8</v>
      </c>
      <c r="E2397" s="1">
        <v>39</v>
      </c>
      <c r="F2397" s="1" t="s">
        <v>6</v>
      </c>
      <c r="G2397" s="44">
        <f t="shared" si="74"/>
        <v>1</v>
      </c>
      <c r="H2397" s="10" t="str">
        <f t="shared" si="75"/>
        <v>Tuesday</v>
      </c>
    </row>
    <row r="2398" spans="1:8">
      <c r="A2398" s="9">
        <v>131753677</v>
      </c>
      <c r="B2398" s="6">
        <v>45104</v>
      </c>
      <c r="C2398" s="6">
        <v>45153</v>
      </c>
      <c r="D2398" s="1" t="s">
        <v>7</v>
      </c>
      <c r="E2398" s="1">
        <v>39</v>
      </c>
      <c r="F2398" s="1" t="s">
        <v>6</v>
      </c>
      <c r="G2398" s="44">
        <f t="shared" si="74"/>
        <v>49</v>
      </c>
      <c r="H2398" s="10" t="str">
        <f t="shared" si="75"/>
        <v>Tuesday</v>
      </c>
    </row>
    <row r="2399" spans="1:8">
      <c r="A2399" s="9">
        <v>215963364</v>
      </c>
      <c r="B2399" s="6">
        <v>45104</v>
      </c>
      <c r="C2399" s="6">
        <v>45172</v>
      </c>
      <c r="D2399" s="1" t="s">
        <v>7</v>
      </c>
      <c r="E2399" s="1">
        <v>39</v>
      </c>
      <c r="F2399" s="1" t="s">
        <v>6</v>
      </c>
      <c r="G2399" s="44">
        <f t="shared" si="74"/>
        <v>68</v>
      </c>
      <c r="H2399" s="10" t="str">
        <f t="shared" si="75"/>
        <v>Tuesday</v>
      </c>
    </row>
    <row r="2400" spans="1:8">
      <c r="A2400" s="9">
        <v>217971206</v>
      </c>
      <c r="B2400" s="6">
        <v>45104</v>
      </c>
      <c r="C2400" s="6">
        <v>45125</v>
      </c>
      <c r="D2400" s="1" t="s">
        <v>7</v>
      </c>
      <c r="E2400" s="1">
        <v>39</v>
      </c>
      <c r="F2400" s="1" t="s">
        <v>6</v>
      </c>
      <c r="G2400" s="44">
        <f t="shared" si="74"/>
        <v>21</v>
      </c>
      <c r="H2400" s="10" t="str">
        <f t="shared" si="75"/>
        <v>Tuesday</v>
      </c>
    </row>
    <row r="2401" spans="1:8">
      <c r="A2401" s="9">
        <v>217943053</v>
      </c>
      <c r="B2401" s="6">
        <v>45104</v>
      </c>
      <c r="C2401" s="6">
        <v>45124</v>
      </c>
      <c r="D2401" s="1" t="s">
        <v>7</v>
      </c>
      <c r="E2401" s="1">
        <v>39</v>
      </c>
      <c r="F2401" s="1" t="s">
        <v>6</v>
      </c>
      <c r="G2401" s="44">
        <f t="shared" si="74"/>
        <v>20</v>
      </c>
      <c r="H2401" s="10" t="str">
        <f t="shared" si="75"/>
        <v>Tuesday</v>
      </c>
    </row>
    <row r="2402" spans="1:8">
      <c r="A2402" s="9">
        <v>218004764</v>
      </c>
      <c r="B2402" s="6">
        <v>45105</v>
      </c>
      <c r="C2402" s="1"/>
      <c r="D2402" s="1" t="s">
        <v>7</v>
      </c>
      <c r="E2402" s="1">
        <v>39</v>
      </c>
      <c r="F2402" s="1" t="s">
        <v>6</v>
      </c>
      <c r="G2402" s="44" t="str">
        <f t="shared" si="74"/>
        <v/>
      </c>
      <c r="H2402" s="10" t="str">
        <f t="shared" si="75"/>
        <v>Wednesday</v>
      </c>
    </row>
    <row r="2403" spans="1:8">
      <c r="A2403" s="9">
        <v>217768772</v>
      </c>
      <c r="B2403" s="6">
        <v>45105</v>
      </c>
      <c r="C2403" s="1"/>
      <c r="D2403" s="1" t="s">
        <v>7</v>
      </c>
      <c r="E2403" s="1">
        <v>39</v>
      </c>
      <c r="F2403" s="1" t="s">
        <v>6</v>
      </c>
      <c r="G2403" s="44" t="str">
        <f t="shared" si="74"/>
        <v/>
      </c>
      <c r="H2403" s="10" t="str">
        <f t="shared" si="75"/>
        <v>Wednesday</v>
      </c>
    </row>
    <row r="2404" spans="1:8">
      <c r="A2404" s="9">
        <v>216775344</v>
      </c>
      <c r="B2404" s="6">
        <v>45105</v>
      </c>
      <c r="C2404" s="1"/>
      <c r="D2404" s="1" t="s">
        <v>7</v>
      </c>
      <c r="E2404" s="1">
        <v>39</v>
      </c>
      <c r="F2404" s="1" t="s">
        <v>6</v>
      </c>
      <c r="G2404" s="44" t="str">
        <f t="shared" si="74"/>
        <v/>
      </c>
      <c r="H2404" s="10" t="str">
        <f t="shared" si="75"/>
        <v>Wednesday</v>
      </c>
    </row>
    <row r="2405" spans="1:8">
      <c r="A2405" s="9">
        <v>135364787</v>
      </c>
      <c r="B2405" s="6">
        <v>45105</v>
      </c>
      <c r="C2405" s="1"/>
      <c r="D2405" s="1" t="s">
        <v>7</v>
      </c>
      <c r="E2405" s="1">
        <v>39</v>
      </c>
      <c r="F2405" s="1" t="s">
        <v>6</v>
      </c>
      <c r="G2405" s="44" t="str">
        <f t="shared" si="74"/>
        <v/>
      </c>
      <c r="H2405" s="10" t="str">
        <f t="shared" si="75"/>
        <v>Wednesday</v>
      </c>
    </row>
    <row r="2406" spans="1:8">
      <c r="A2406" s="9">
        <v>148107179</v>
      </c>
      <c r="B2406" s="6">
        <v>45105</v>
      </c>
      <c r="C2406" s="6">
        <v>45142</v>
      </c>
      <c r="D2406" s="1" t="s">
        <v>7</v>
      </c>
      <c r="E2406" s="1">
        <v>39</v>
      </c>
      <c r="F2406" s="1" t="s">
        <v>6</v>
      </c>
      <c r="G2406" s="44">
        <f t="shared" si="74"/>
        <v>37</v>
      </c>
      <c r="H2406" s="10" t="str">
        <f t="shared" si="75"/>
        <v>Wednesday</v>
      </c>
    </row>
    <row r="2407" spans="1:8">
      <c r="A2407" s="9">
        <v>215904194</v>
      </c>
      <c r="B2407" s="6">
        <v>45105</v>
      </c>
      <c r="C2407" s="6">
        <v>45129</v>
      </c>
      <c r="D2407" s="1" t="s">
        <v>7</v>
      </c>
      <c r="E2407" s="1">
        <v>39</v>
      </c>
      <c r="F2407" s="1" t="s">
        <v>6</v>
      </c>
      <c r="G2407" s="44">
        <f t="shared" si="74"/>
        <v>24</v>
      </c>
      <c r="H2407" s="10" t="str">
        <f t="shared" si="75"/>
        <v>Wednesday</v>
      </c>
    </row>
    <row r="2408" spans="1:8">
      <c r="A2408" s="9">
        <v>217988577</v>
      </c>
      <c r="B2408" s="6">
        <v>45105</v>
      </c>
      <c r="C2408" s="6">
        <v>45133</v>
      </c>
      <c r="D2408" s="1" t="s">
        <v>7</v>
      </c>
      <c r="E2408" s="1">
        <v>39</v>
      </c>
      <c r="F2408" s="1" t="s">
        <v>6</v>
      </c>
      <c r="G2408" s="44">
        <f t="shared" si="74"/>
        <v>28</v>
      </c>
      <c r="H2408" s="10" t="str">
        <f t="shared" si="75"/>
        <v>Wednesday</v>
      </c>
    </row>
    <row r="2409" spans="1:8">
      <c r="A2409" s="9">
        <v>146124679</v>
      </c>
      <c r="B2409" s="6">
        <v>45105</v>
      </c>
      <c r="C2409" s="6">
        <v>45135</v>
      </c>
      <c r="D2409" s="1" t="s">
        <v>7</v>
      </c>
      <c r="E2409" s="1">
        <v>39</v>
      </c>
      <c r="F2409" s="1" t="s">
        <v>6</v>
      </c>
      <c r="G2409" s="44">
        <f t="shared" si="74"/>
        <v>30</v>
      </c>
      <c r="H2409" s="10" t="str">
        <f t="shared" si="75"/>
        <v>Wednesday</v>
      </c>
    </row>
    <row r="2410" spans="1:8">
      <c r="A2410" s="9">
        <v>217819772</v>
      </c>
      <c r="B2410" s="6">
        <v>45106</v>
      </c>
      <c r="C2410" s="1"/>
      <c r="D2410" s="1" t="s">
        <v>7</v>
      </c>
      <c r="E2410" s="1">
        <v>39</v>
      </c>
      <c r="F2410" s="1" t="s">
        <v>6</v>
      </c>
      <c r="G2410" s="44" t="str">
        <f t="shared" si="74"/>
        <v/>
      </c>
      <c r="H2410" s="10" t="str">
        <f t="shared" si="75"/>
        <v>Thursday</v>
      </c>
    </row>
    <row r="2411" spans="1:8">
      <c r="A2411" s="9">
        <v>217996629</v>
      </c>
      <c r="B2411" s="6">
        <v>45106</v>
      </c>
      <c r="C2411" s="1"/>
      <c r="D2411" s="1" t="s">
        <v>7</v>
      </c>
      <c r="E2411" s="1">
        <v>39</v>
      </c>
      <c r="F2411" s="1" t="s">
        <v>6</v>
      </c>
      <c r="G2411" s="44" t="str">
        <f t="shared" si="74"/>
        <v/>
      </c>
      <c r="H2411" s="10" t="str">
        <f t="shared" si="75"/>
        <v>Thursday</v>
      </c>
    </row>
    <row r="2412" spans="1:8">
      <c r="A2412" s="9">
        <v>152621756</v>
      </c>
      <c r="B2412" s="6">
        <v>45106</v>
      </c>
      <c r="C2412" s="1"/>
      <c r="D2412" s="1" t="s">
        <v>7</v>
      </c>
      <c r="E2412" s="1">
        <v>39</v>
      </c>
      <c r="F2412" s="1" t="s">
        <v>6</v>
      </c>
      <c r="G2412" s="44" t="str">
        <f t="shared" si="74"/>
        <v/>
      </c>
      <c r="H2412" s="10" t="str">
        <f t="shared" si="75"/>
        <v>Thursday</v>
      </c>
    </row>
    <row r="2413" spans="1:8">
      <c r="A2413" s="9">
        <v>218006807</v>
      </c>
      <c r="B2413" s="6">
        <v>45106</v>
      </c>
      <c r="C2413" s="1"/>
      <c r="D2413" s="1" t="s">
        <v>7</v>
      </c>
      <c r="E2413" s="1">
        <v>39</v>
      </c>
      <c r="F2413" s="1" t="s">
        <v>6</v>
      </c>
      <c r="G2413" s="44" t="str">
        <f t="shared" si="74"/>
        <v/>
      </c>
      <c r="H2413" s="10" t="str">
        <f t="shared" si="75"/>
        <v>Thursday</v>
      </c>
    </row>
    <row r="2414" spans="1:8">
      <c r="A2414" s="9">
        <v>218045202</v>
      </c>
      <c r="B2414" s="6">
        <v>45106</v>
      </c>
      <c r="C2414" s="6">
        <v>45167</v>
      </c>
      <c r="D2414" s="1" t="s">
        <v>7</v>
      </c>
      <c r="E2414" s="1">
        <v>39</v>
      </c>
      <c r="F2414" s="1" t="s">
        <v>6</v>
      </c>
      <c r="G2414" s="44">
        <f t="shared" si="74"/>
        <v>61</v>
      </c>
      <c r="H2414" s="10" t="str">
        <f t="shared" si="75"/>
        <v>Thursday</v>
      </c>
    </row>
    <row r="2415" spans="1:8">
      <c r="A2415" s="9">
        <v>122215146</v>
      </c>
      <c r="B2415" s="6">
        <v>45106</v>
      </c>
      <c r="C2415" s="6">
        <v>45151</v>
      </c>
      <c r="D2415" s="1" t="s">
        <v>7</v>
      </c>
      <c r="E2415" s="1">
        <v>39</v>
      </c>
      <c r="F2415" s="1" t="s">
        <v>6</v>
      </c>
      <c r="G2415" s="44">
        <f t="shared" si="74"/>
        <v>45</v>
      </c>
      <c r="H2415" s="10" t="str">
        <f t="shared" si="75"/>
        <v>Thursday</v>
      </c>
    </row>
    <row r="2416" spans="1:8">
      <c r="A2416" s="9">
        <v>218003864</v>
      </c>
      <c r="B2416" s="6">
        <v>45106</v>
      </c>
      <c r="C2416" s="6">
        <v>45135</v>
      </c>
      <c r="D2416" s="1" t="s">
        <v>7</v>
      </c>
      <c r="E2416" s="1">
        <v>39</v>
      </c>
      <c r="F2416" s="1" t="s">
        <v>6</v>
      </c>
      <c r="G2416" s="44">
        <f t="shared" si="74"/>
        <v>29</v>
      </c>
      <c r="H2416" s="10" t="str">
        <f t="shared" si="75"/>
        <v>Thursday</v>
      </c>
    </row>
    <row r="2417" spans="1:8">
      <c r="A2417" s="9">
        <v>218088770</v>
      </c>
      <c r="B2417" s="6">
        <v>45107</v>
      </c>
      <c r="C2417" s="1"/>
      <c r="D2417" s="1" t="s">
        <v>7</v>
      </c>
      <c r="E2417" s="1">
        <v>39</v>
      </c>
      <c r="F2417" s="1" t="s">
        <v>6</v>
      </c>
      <c r="G2417" s="44" t="str">
        <f t="shared" si="74"/>
        <v/>
      </c>
      <c r="H2417" s="10" t="str">
        <f t="shared" si="75"/>
        <v>Friday</v>
      </c>
    </row>
    <row r="2418" spans="1:8">
      <c r="A2418" s="9">
        <v>217856893</v>
      </c>
      <c r="B2418" s="6">
        <v>45107</v>
      </c>
      <c r="C2418" s="1"/>
      <c r="D2418" s="1" t="s">
        <v>7</v>
      </c>
      <c r="E2418" s="1">
        <v>39</v>
      </c>
      <c r="F2418" s="1" t="s">
        <v>6</v>
      </c>
      <c r="G2418" s="44" t="str">
        <f t="shared" si="74"/>
        <v/>
      </c>
      <c r="H2418" s="10" t="str">
        <f t="shared" si="75"/>
        <v>Friday</v>
      </c>
    </row>
    <row r="2419" spans="1:8">
      <c r="A2419" s="9">
        <v>156054912</v>
      </c>
      <c r="B2419" s="6">
        <v>45107</v>
      </c>
      <c r="C2419" s="1"/>
      <c r="D2419" s="1" t="s">
        <v>7</v>
      </c>
      <c r="E2419" s="1">
        <v>39</v>
      </c>
      <c r="F2419" s="1" t="s">
        <v>6</v>
      </c>
      <c r="G2419" s="44" t="str">
        <f t="shared" si="74"/>
        <v/>
      </c>
      <c r="H2419" s="10" t="str">
        <f t="shared" si="75"/>
        <v>Friday</v>
      </c>
    </row>
    <row r="2420" spans="1:8">
      <c r="A2420" s="9">
        <v>218059054</v>
      </c>
      <c r="B2420" s="6">
        <v>45107</v>
      </c>
      <c r="C2420" s="1"/>
      <c r="D2420" s="1" t="s">
        <v>7</v>
      </c>
      <c r="E2420" s="1">
        <v>39</v>
      </c>
      <c r="F2420" s="1" t="s">
        <v>6</v>
      </c>
      <c r="G2420" s="44" t="str">
        <f t="shared" si="74"/>
        <v/>
      </c>
      <c r="H2420" s="10" t="str">
        <f t="shared" si="75"/>
        <v>Friday</v>
      </c>
    </row>
    <row r="2421" spans="1:8">
      <c r="A2421" s="9">
        <v>218074245</v>
      </c>
      <c r="B2421" s="6">
        <v>45107</v>
      </c>
      <c r="C2421" s="1"/>
      <c r="D2421" s="1" t="s">
        <v>7</v>
      </c>
      <c r="E2421" s="1">
        <v>39</v>
      </c>
      <c r="F2421" s="1" t="s">
        <v>6</v>
      </c>
      <c r="G2421" s="44" t="str">
        <f t="shared" si="74"/>
        <v/>
      </c>
      <c r="H2421" s="10" t="str">
        <f t="shared" si="75"/>
        <v>Friday</v>
      </c>
    </row>
    <row r="2422" spans="1:8">
      <c r="A2422" s="9">
        <v>204774586</v>
      </c>
      <c r="B2422" s="6">
        <v>45107</v>
      </c>
      <c r="C2422" s="1"/>
      <c r="D2422" s="1" t="s">
        <v>7</v>
      </c>
      <c r="E2422" s="1">
        <v>39</v>
      </c>
      <c r="F2422" s="1" t="s">
        <v>6</v>
      </c>
      <c r="G2422" s="44" t="str">
        <f t="shared" si="74"/>
        <v/>
      </c>
      <c r="H2422" s="10" t="str">
        <f t="shared" si="75"/>
        <v>Friday</v>
      </c>
    </row>
    <row r="2423" spans="1:8">
      <c r="A2423" s="9">
        <v>215941440</v>
      </c>
      <c r="B2423" s="6">
        <v>45107</v>
      </c>
      <c r="C2423" s="1"/>
      <c r="D2423" s="1" t="s">
        <v>7</v>
      </c>
      <c r="E2423" s="1">
        <v>39</v>
      </c>
      <c r="F2423" s="1" t="s">
        <v>6</v>
      </c>
      <c r="G2423" s="44" t="str">
        <f t="shared" si="74"/>
        <v/>
      </c>
      <c r="H2423" s="10" t="str">
        <f t="shared" si="75"/>
        <v>Friday</v>
      </c>
    </row>
    <row r="2424" spans="1:8">
      <c r="A2424" s="9">
        <v>205547323</v>
      </c>
      <c r="B2424" s="6">
        <v>45107</v>
      </c>
      <c r="C2424" s="1"/>
      <c r="D2424" s="1" t="s">
        <v>8</v>
      </c>
      <c r="E2424" s="1">
        <v>39</v>
      </c>
      <c r="F2424" s="1" t="s">
        <v>6</v>
      </c>
      <c r="G2424" s="44" t="str">
        <f t="shared" si="74"/>
        <v/>
      </c>
      <c r="H2424" s="10" t="str">
        <f t="shared" si="75"/>
        <v>Friday</v>
      </c>
    </row>
    <row r="2425" spans="1:8">
      <c r="A2425" s="9">
        <v>140062581</v>
      </c>
      <c r="B2425" s="6">
        <v>45107</v>
      </c>
      <c r="C2425" s="1"/>
      <c r="D2425" s="1" t="s">
        <v>7</v>
      </c>
      <c r="E2425" s="1">
        <v>39</v>
      </c>
      <c r="F2425" s="1" t="s">
        <v>6</v>
      </c>
      <c r="G2425" s="44" t="str">
        <f t="shared" si="74"/>
        <v/>
      </c>
      <c r="H2425" s="10" t="str">
        <f t="shared" si="75"/>
        <v>Friday</v>
      </c>
    </row>
    <row r="2426" spans="1:8">
      <c r="A2426" s="9">
        <v>217932519</v>
      </c>
      <c r="B2426" s="6">
        <v>45107</v>
      </c>
      <c r="C2426" s="6">
        <v>45108</v>
      </c>
      <c r="D2426" s="1" t="s">
        <v>7</v>
      </c>
      <c r="E2426" s="1">
        <v>39</v>
      </c>
      <c r="F2426" s="1" t="s">
        <v>6</v>
      </c>
      <c r="G2426" s="44">
        <f t="shared" si="74"/>
        <v>1</v>
      </c>
      <c r="H2426" s="10" t="str">
        <f t="shared" si="75"/>
        <v>Friday</v>
      </c>
    </row>
    <row r="2427" spans="1:8">
      <c r="A2427" s="9">
        <v>217982048</v>
      </c>
      <c r="B2427" s="6">
        <v>45107</v>
      </c>
      <c r="C2427" s="6">
        <v>45108</v>
      </c>
      <c r="D2427" s="1" t="s">
        <v>8</v>
      </c>
      <c r="E2427" s="1">
        <v>39</v>
      </c>
      <c r="F2427" s="1" t="s">
        <v>6</v>
      </c>
      <c r="G2427" s="44">
        <f t="shared" si="74"/>
        <v>1</v>
      </c>
      <c r="H2427" s="10" t="str">
        <f t="shared" si="75"/>
        <v>Friday</v>
      </c>
    </row>
    <row r="2428" spans="1:8">
      <c r="A2428" s="9">
        <v>218066467</v>
      </c>
      <c r="B2428" s="6">
        <v>45107</v>
      </c>
      <c r="C2428" s="6">
        <v>45169</v>
      </c>
      <c r="D2428" s="1" t="s">
        <v>7</v>
      </c>
      <c r="E2428" s="1">
        <v>39</v>
      </c>
      <c r="F2428" s="1" t="s">
        <v>6</v>
      </c>
      <c r="G2428" s="44">
        <f t="shared" si="74"/>
        <v>62</v>
      </c>
      <c r="H2428" s="10" t="str">
        <f t="shared" si="75"/>
        <v>Friday</v>
      </c>
    </row>
    <row r="2429" spans="1:8">
      <c r="A2429" s="9">
        <v>218046034</v>
      </c>
      <c r="B2429" s="6">
        <v>45107</v>
      </c>
      <c r="C2429" s="6">
        <v>45175</v>
      </c>
      <c r="D2429" s="1" t="s">
        <v>7</v>
      </c>
      <c r="E2429" s="1">
        <v>39</v>
      </c>
      <c r="F2429" s="1" t="s">
        <v>6</v>
      </c>
      <c r="G2429" s="44">
        <f t="shared" si="74"/>
        <v>68</v>
      </c>
      <c r="H2429" s="10" t="str">
        <f t="shared" si="75"/>
        <v>Friday</v>
      </c>
    </row>
    <row r="2430" spans="1:8">
      <c r="A2430" s="9">
        <v>217697744</v>
      </c>
      <c r="B2430" s="6">
        <v>45107</v>
      </c>
      <c r="C2430" s="6">
        <v>45134</v>
      </c>
      <c r="D2430" s="1" t="s">
        <v>7</v>
      </c>
      <c r="E2430" s="1">
        <v>39</v>
      </c>
      <c r="F2430" s="1" t="s">
        <v>6</v>
      </c>
      <c r="G2430" s="44">
        <f t="shared" si="74"/>
        <v>27</v>
      </c>
      <c r="H2430" s="10" t="str">
        <f t="shared" si="75"/>
        <v>Friday</v>
      </c>
    </row>
    <row r="2431" spans="1:8">
      <c r="A2431" s="9">
        <v>217942738</v>
      </c>
      <c r="B2431" s="6">
        <v>45108</v>
      </c>
      <c r="C2431" s="1"/>
      <c r="D2431" s="1" t="s">
        <v>7</v>
      </c>
      <c r="E2431" s="1">
        <v>39</v>
      </c>
      <c r="F2431" s="1" t="s">
        <v>6</v>
      </c>
      <c r="G2431" s="44" t="str">
        <f t="shared" si="74"/>
        <v/>
      </c>
      <c r="H2431" s="10" t="str">
        <f t="shared" si="75"/>
        <v>Saturday</v>
      </c>
    </row>
    <row r="2432" spans="1:8">
      <c r="A2432" s="9">
        <v>218133628</v>
      </c>
      <c r="B2432" s="6">
        <v>45108</v>
      </c>
      <c r="C2432" s="1"/>
      <c r="D2432" s="1" t="s">
        <v>7</v>
      </c>
      <c r="E2432" s="1">
        <v>39</v>
      </c>
      <c r="F2432" s="1" t="s">
        <v>6</v>
      </c>
      <c r="G2432" s="44" t="str">
        <f t="shared" si="74"/>
        <v/>
      </c>
      <c r="H2432" s="10" t="str">
        <f t="shared" si="75"/>
        <v>Saturday</v>
      </c>
    </row>
    <row r="2433" spans="1:8">
      <c r="A2433" s="9">
        <v>118508852</v>
      </c>
      <c r="B2433" s="6">
        <v>45108</v>
      </c>
      <c r="C2433" s="1"/>
      <c r="D2433" s="1" t="s">
        <v>7</v>
      </c>
      <c r="E2433" s="1">
        <v>39</v>
      </c>
      <c r="F2433" s="1" t="s">
        <v>6</v>
      </c>
      <c r="G2433" s="44" t="str">
        <f t="shared" si="74"/>
        <v/>
      </c>
      <c r="H2433" s="10" t="str">
        <f t="shared" si="75"/>
        <v>Saturday</v>
      </c>
    </row>
    <row r="2434" spans="1:8">
      <c r="A2434" s="9">
        <v>218120267</v>
      </c>
      <c r="B2434" s="6">
        <v>45108</v>
      </c>
      <c r="C2434" s="1"/>
      <c r="D2434" s="1" t="s">
        <v>7</v>
      </c>
      <c r="E2434" s="1">
        <v>39</v>
      </c>
      <c r="F2434" s="1" t="s">
        <v>6</v>
      </c>
      <c r="G2434" s="44" t="str">
        <f t="shared" si="74"/>
        <v/>
      </c>
      <c r="H2434" s="10" t="str">
        <f t="shared" si="75"/>
        <v>Saturday</v>
      </c>
    </row>
    <row r="2435" spans="1:8">
      <c r="A2435" s="9">
        <v>218095541</v>
      </c>
      <c r="B2435" s="6">
        <v>45108</v>
      </c>
      <c r="C2435" s="1"/>
      <c r="D2435" s="1" t="s">
        <v>7</v>
      </c>
      <c r="E2435" s="1">
        <v>39</v>
      </c>
      <c r="F2435" s="1" t="s">
        <v>6</v>
      </c>
      <c r="G2435" s="44" t="str">
        <f t="shared" ref="G2435:G2498" si="76">IF(C2435="", "", DATEDIF(B2435, C2435, "D"))</f>
        <v/>
      </c>
      <c r="H2435" s="10" t="str">
        <f t="shared" ref="H2435:H2498" si="77">TEXT(B2435, "dddd")</f>
        <v>Saturday</v>
      </c>
    </row>
    <row r="2436" spans="1:8">
      <c r="A2436" s="9">
        <v>217626801</v>
      </c>
      <c r="B2436" s="6">
        <v>45108</v>
      </c>
      <c r="C2436" s="1"/>
      <c r="D2436" s="1" t="s">
        <v>7</v>
      </c>
      <c r="E2436" s="1">
        <v>39</v>
      </c>
      <c r="F2436" s="1" t="s">
        <v>6</v>
      </c>
      <c r="G2436" s="44" t="str">
        <f t="shared" si="76"/>
        <v/>
      </c>
      <c r="H2436" s="10" t="str">
        <f t="shared" si="77"/>
        <v>Saturday</v>
      </c>
    </row>
    <row r="2437" spans="1:8">
      <c r="A2437" s="9">
        <v>151555660</v>
      </c>
      <c r="B2437" s="6">
        <v>45108</v>
      </c>
      <c r="C2437" s="6">
        <v>45169</v>
      </c>
      <c r="D2437" s="1" t="s">
        <v>7</v>
      </c>
      <c r="E2437" s="1">
        <v>39</v>
      </c>
      <c r="F2437" s="1" t="s">
        <v>6</v>
      </c>
      <c r="G2437" s="44">
        <f t="shared" si="76"/>
        <v>61</v>
      </c>
      <c r="H2437" s="10" t="str">
        <f t="shared" si="77"/>
        <v>Saturday</v>
      </c>
    </row>
    <row r="2438" spans="1:8">
      <c r="A2438" s="9">
        <v>217110820</v>
      </c>
      <c r="B2438" s="6">
        <v>45108</v>
      </c>
      <c r="C2438" s="6">
        <v>45142</v>
      </c>
      <c r="D2438" s="1" t="s">
        <v>7</v>
      </c>
      <c r="E2438" s="1">
        <v>39</v>
      </c>
      <c r="F2438" s="1" t="s">
        <v>6</v>
      </c>
      <c r="G2438" s="44">
        <f t="shared" si="76"/>
        <v>34</v>
      </c>
      <c r="H2438" s="10" t="str">
        <f t="shared" si="77"/>
        <v>Saturday</v>
      </c>
    </row>
    <row r="2439" spans="1:8">
      <c r="A2439" s="9">
        <v>217932519</v>
      </c>
      <c r="B2439" s="6">
        <v>45108</v>
      </c>
      <c r="C2439" s="6">
        <v>45169</v>
      </c>
      <c r="D2439" s="1" t="s">
        <v>7</v>
      </c>
      <c r="E2439" s="1">
        <v>39</v>
      </c>
      <c r="F2439" s="1" t="s">
        <v>6</v>
      </c>
      <c r="G2439" s="44">
        <f t="shared" si="76"/>
        <v>61</v>
      </c>
      <c r="H2439" s="10" t="str">
        <f t="shared" si="77"/>
        <v>Saturday</v>
      </c>
    </row>
    <row r="2440" spans="1:8">
      <c r="A2440" s="9">
        <v>218164848</v>
      </c>
      <c r="B2440" s="6">
        <v>45109</v>
      </c>
      <c r="C2440" s="1"/>
      <c r="D2440" s="1" t="s">
        <v>7</v>
      </c>
      <c r="E2440" s="1">
        <v>39</v>
      </c>
      <c r="F2440" s="1" t="s">
        <v>6</v>
      </c>
      <c r="G2440" s="44" t="str">
        <f t="shared" si="76"/>
        <v/>
      </c>
      <c r="H2440" s="10" t="str">
        <f t="shared" si="77"/>
        <v>Sunday</v>
      </c>
    </row>
    <row r="2441" spans="1:8">
      <c r="A2441" s="9">
        <v>217526484</v>
      </c>
      <c r="B2441" s="6">
        <v>45109</v>
      </c>
      <c r="C2441" s="1"/>
      <c r="D2441" s="1" t="s">
        <v>7</v>
      </c>
      <c r="E2441" s="1">
        <v>39</v>
      </c>
      <c r="F2441" s="1" t="s">
        <v>6</v>
      </c>
      <c r="G2441" s="44" t="str">
        <f t="shared" si="76"/>
        <v/>
      </c>
      <c r="H2441" s="10" t="str">
        <f t="shared" si="77"/>
        <v>Sunday</v>
      </c>
    </row>
    <row r="2442" spans="1:8">
      <c r="A2442" s="9">
        <v>214940948</v>
      </c>
      <c r="B2442" s="6">
        <v>45109</v>
      </c>
      <c r="C2442" s="1"/>
      <c r="D2442" s="1" t="s">
        <v>7</v>
      </c>
      <c r="E2442" s="1">
        <v>39</v>
      </c>
      <c r="F2442" s="1" t="s">
        <v>6</v>
      </c>
      <c r="G2442" s="44" t="str">
        <f t="shared" si="76"/>
        <v/>
      </c>
      <c r="H2442" s="10" t="str">
        <f t="shared" si="77"/>
        <v>Sunday</v>
      </c>
    </row>
    <row r="2443" spans="1:8">
      <c r="A2443" s="9">
        <v>218144586</v>
      </c>
      <c r="B2443" s="6">
        <v>45109</v>
      </c>
      <c r="C2443" s="1"/>
      <c r="D2443" s="1" t="s">
        <v>7</v>
      </c>
      <c r="E2443" s="1">
        <v>39</v>
      </c>
      <c r="F2443" s="1" t="s">
        <v>6</v>
      </c>
      <c r="G2443" s="44" t="str">
        <f t="shared" si="76"/>
        <v/>
      </c>
      <c r="H2443" s="10" t="str">
        <f t="shared" si="77"/>
        <v>Sunday</v>
      </c>
    </row>
    <row r="2444" spans="1:8">
      <c r="A2444" s="9">
        <v>217863596</v>
      </c>
      <c r="B2444" s="6">
        <v>45109</v>
      </c>
      <c r="C2444" s="6">
        <v>45158</v>
      </c>
      <c r="D2444" s="1" t="s">
        <v>7</v>
      </c>
      <c r="E2444" s="1">
        <v>39</v>
      </c>
      <c r="F2444" s="1" t="s">
        <v>6</v>
      </c>
      <c r="G2444" s="44">
        <f t="shared" si="76"/>
        <v>49</v>
      </c>
      <c r="H2444" s="10" t="str">
        <f t="shared" si="77"/>
        <v>Sunday</v>
      </c>
    </row>
    <row r="2445" spans="1:8">
      <c r="A2445" s="9">
        <v>218098580</v>
      </c>
      <c r="B2445" s="6">
        <v>45109</v>
      </c>
      <c r="C2445" s="6">
        <v>45168</v>
      </c>
      <c r="D2445" s="1" t="s">
        <v>7</v>
      </c>
      <c r="E2445" s="1">
        <v>39</v>
      </c>
      <c r="F2445" s="1" t="s">
        <v>6</v>
      </c>
      <c r="G2445" s="44">
        <f t="shared" si="76"/>
        <v>59</v>
      </c>
      <c r="H2445" s="10" t="str">
        <f t="shared" si="77"/>
        <v>Sunday</v>
      </c>
    </row>
    <row r="2446" spans="1:8">
      <c r="A2446" s="9">
        <v>215602271</v>
      </c>
      <c r="B2446" s="6">
        <v>45109</v>
      </c>
      <c r="C2446" s="6">
        <v>45134</v>
      </c>
      <c r="D2446" s="1" t="s">
        <v>7</v>
      </c>
      <c r="E2446" s="1">
        <v>39</v>
      </c>
      <c r="F2446" s="1" t="s">
        <v>6</v>
      </c>
      <c r="G2446" s="44">
        <f t="shared" si="76"/>
        <v>25</v>
      </c>
      <c r="H2446" s="10" t="str">
        <f t="shared" si="77"/>
        <v>Sunday</v>
      </c>
    </row>
    <row r="2447" spans="1:8">
      <c r="A2447" s="9">
        <v>218202086</v>
      </c>
      <c r="B2447" s="6">
        <v>45110</v>
      </c>
      <c r="C2447" s="1"/>
      <c r="D2447" s="1" t="s">
        <v>7</v>
      </c>
      <c r="E2447" s="1">
        <v>39</v>
      </c>
      <c r="F2447" s="1" t="s">
        <v>6</v>
      </c>
      <c r="G2447" s="44" t="str">
        <f t="shared" si="76"/>
        <v/>
      </c>
      <c r="H2447" s="10" t="str">
        <f t="shared" si="77"/>
        <v>Monday</v>
      </c>
    </row>
    <row r="2448" spans="1:8">
      <c r="A2448" s="9">
        <v>217927897</v>
      </c>
      <c r="B2448" s="6">
        <v>45110</v>
      </c>
      <c r="C2448" s="1"/>
      <c r="D2448" s="1" t="s">
        <v>7</v>
      </c>
      <c r="E2448" s="1">
        <v>39</v>
      </c>
      <c r="F2448" s="1" t="s">
        <v>6</v>
      </c>
      <c r="G2448" s="44" t="str">
        <f t="shared" si="76"/>
        <v/>
      </c>
      <c r="H2448" s="10" t="str">
        <f t="shared" si="77"/>
        <v>Monday</v>
      </c>
    </row>
    <row r="2449" spans="1:8">
      <c r="A2449" s="9">
        <v>217856402</v>
      </c>
      <c r="B2449" s="6">
        <v>45110</v>
      </c>
      <c r="C2449" s="1"/>
      <c r="D2449" s="1" t="s">
        <v>7</v>
      </c>
      <c r="E2449" s="1">
        <v>39</v>
      </c>
      <c r="F2449" s="1" t="s">
        <v>6</v>
      </c>
      <c r="G2449" s="44" t="str">
        <f t="shared" si="76"/>
        <v/>
      </c>
      <c r="H2449" s="10" t="str">
        <f t="shared" si="77"/>
        <v>Monday</v>
      </c>
    </row>
    <row r="2450" spans="1:8">
      <c r="A2450" s="9">
        <v>217588559</v>
      </c>
      <c r="B2450" s="6">
        <v>45110</v>
      </c>
      <c r="C2450" s="1"/>
      <c r="D2450" s="1" t="s">
        <v>7</v>
      </c>
      <c r="E2450" s="1">
        <v>39</v>
      </c>
      <c r="F2450" s="1" t="s">
        <v>6</v>
      </c>
      <c r="G2450" s="44" t="str">
        <f t="shared" si="76"/>
        <v/>
      </c>
      <c r="H2450" s="10" t="str">
        <f t="shared" si="77"/>
        <v>Monday</v>
      </c>
    </row>
    <row r="2451" spans="1:8">
      <c r="A2451" s="9">
        <v>212136438</v>
      </c>
      <c r="B2451" s="6">
        <v>45110</v>
      </c>
      <c r="C2451" s="1"/>
      <c r="D2451" s="1" t="s">
        <v>7</v>
      </c>
      <c r="E2451" s="1">
        <v>39</v>
      </c>
      <c r="F2451" s="1" t="s">
        <v>6</v>
      </c>
      <c r="G2451" s="44" t="str">
        <f t="shared" si="76"/>
        <v/>
      </c>
      <c r="H2451" s="10" t="str">
        <f t="shared" si="77"/>
        <v>Monday</v>
      </c>
    </row>
    <row r="2452" spans="1:8">
      <c r="A2452" s="9">
        <v>138548670</v>
      </c>
      <c r="B2452" s="6">
        <v>45110</v>
      </c>
      <c r="C2452" s="1"/>
      <c r="D2452" s="1" t="s">
        <v>7</v>
      </c>
      <c r="E2452" s="1">
        <v>39</v>
      </c>
      <c r="F2452" s="1" t="s">
        <v>6</v>
      </c>
      <c r="G2452" s="44" t="str">
        <f t="shared" si="76"/>
        <v/>
      </c>
      <c r="H2452" s="10" t="str">
        <f t="shared" si="77"/>
        <v>Monday</v>
      </c>
    </row>
    <row r="2453" spans="1:8">
      <c r="A2453" s="9">
        <v>217588559</v>
      </c>
      <c r="B2453" s="6">
        <v>45110</v>
      </c>
      <c r="C2453" s="6">
        <v>45110</v>
      </c>
      <c r="D2453" s="1" t="s">
        <v>7</v>
      </c>
      <c r="E2453" s="1">
        <v>39</v>
      </c>
      <c r="F2453" s="1" t="s">
        <v>6</v>
      </c>
      <c r="G2453" s="44">
        <f t="shared" si="76"/>
        <v>0</v>
      </c>
      <c r="H2453" s="10" t="str">
        <f t="shared" si="77"/>
        <v>Monday</v>
      </c>
    </row>
    <row r="2454" spans="1:8">
      <c r="A2454" s="9">
        <v>171893540</v>
      </c>
      <c r="B2454" s="6">
        <v>45110</v>
      </c>
      <c r="C2454" s="6">
        <v>45158</v>
      </c>
      <c r="D2454" s="1" t="s">
        <v>7</v>
      </c>
      <c r="E2454" s="1">
        <v>39</v>
      </c>
      <c r="F2454" s="1" t="s">
        <v>6</v>
      </c>
      <c r="G2454" s="44">
        <f t="shared" si="76"/>
        <v>48</v>
      </c>
      <c r="H2454" s="10" t="str">
        <f t="shared" si="77"/>
        <v>Monday</v>
      </c>
    </row>
    <row r="2455" spans="1:8">
      <c r="A2455" s="9">
        <v>202412363</v>
      </c>
      <c r="B2455" s="6">
        <v>45110</v>
      </c>
      <c r="C2455" s="6">
        <v>45129</v>
      </c>
      <c r="D2455" s="1" t="s">
        <v>7</v>
      </c>
      <c r="E2455" s="1">
        <v>39</v>
      </c>
      <c r="F2455" s="1" t="s">
        <v>6</v>
      </c>
      <c r="G2455" s="44">
        <f t="shared" si="76"/>
        <v>19</v>
      </c>
      <c r="H2455" s="10" t="str">
        <f t="shared" si="77"/>
        <v>Monday</v>
      </c>
    </row>
    <row r="2456" spans="1:8">
      <c r="A2456" s="9">
        <v>218129311</v>
      </c>
      <c r="B2456" s="6">
        <v>45110</v>
      </c>
      <c r="C2456" s="6">
        <v>45148</v>
      </c>
      <c r="D2456" s="1" t="s">
        <v>7</v>
      </c>
      <c r="E2456" s="1">
        <v>39</v>
      </c>
      <c r="F2456" s="1" t="s">
        <v>6</v>
      </c>
      <c r="G2456" s="44">
        <f t="shared" si="76"/>
        <v>38</v>
      </c>
      <c r="H2456" s="10" t="str">
        <f t="shared" si="77"/>
        <v>Monday</v>
      </c>
    </row>
    <row r="2457" spans="1:8">
      <c r="A2457" s="9">
        <v>218092565</v>
      </c>
      <c r="B2457" s="6">
        <v>45110</v>
      </c>
      <c r="C2457" s="6">
        <v>45148</v>
      </c>
      <c r="D2457" s="1" t="s">
        <v>7</v>
      </c>
      <c r="E2457" s="1">
        <v>39</v>
      </c>
      <c r="F2457" s="1" t="s">
        <v>6</v>
      </c>
      <c r="G2457" s="44">
        <f t="shared" si="76"/>
        <v>38</v>
      </c>
      <c r="H2457" s="10" t="str">
        <f t="shared" si="77"/>
        <v>Monday</v>
      </c>
    </row>
    <row r="2458" spans="1:8">
      <c r="A2458" s="9">
        <v>150436862</v>
      </c>
      <c r="B2458" s="6">
        <v>45111</v>
      </c>
      <c r="C2458" s="1"/>
      <c r="D2458" s="1" t="s">
        <v>7</v>
      </c>
      <c r="E2458" s="1">
        <v>39</v>
      </c>
      <c r="F2458" s="1" t="s">
        <v>6</v>
      </c>
      <c r="G2458" s="44" t="str">
        <f t="shared" si="76"/>
        <v/>
      </c>
      <c r="H2458" s="10" t="str">
        <f t="shared" si="77"/>
        <v>Tuesday</v>
      </c>
    </row>
    <row r="2459" spans="1:8">
      <c r="A2459" s="9">
        <v>218211840</v>
      </c>
      <c r="B2459" s="6">
        <v>45111</v>
      </c>
      <c r="C2459" s="1"/>
      <c r="D2459" s="1" t="s">
        <v>7</v>
      </c>
      <c r="E2459" s="1">
        <v>39</v>
      </c>
      <c r="F2459" s="1" t="s">
        <v>6</v>
      </c>
      <c r="G2459" s="44" t="str">
        <f t="shared" si="76"/>
        <v/>
      </c>
      <c r="H2459" s="10" t="str">
        <f t="shared" si="77"/>
        <v>Tuesday</v>
      </c>
    </row>
    <row r="2460" spans="1:8">
      <c r="A2460" s="9">
        <v>218235209</v>
      </c>
      <c r="B2460" s="6">
        <v>45111</v>
      </c>
      <c r="C2460" s="1"/>
      <c r="D2460" s="1" t="s">
        <v>7</v>
      </c>
      <c r="E2460" s="1">
        <v>39</v>
      </c>
      <c r="F2460" s="1" t="s">
        <v>6</v>
      </c>
      <c r="G2460" s="44" t="str">
        <f t="shared" si="76"/>
        <v/>
      </c>
      <c r="H2460" s="10" t="str">
        <f t="shared" si="77"/>
        <v>Tuesday</v>
      </c>
    </row>
    <row r="2461" spans="1:8">
      <c r="A2461" s="9">
        <v>132631414</v>
      </c>
      <c r="B2461" s="6">
        <v>45111</v>
      </c>
      <c r="C2461" s="1"/>
      <c r="D2461" s="1" t="s">
        <v>7</v>
      </c>
      <c r="E2461" s="1">
        <v>39</v>
      </c>
      <c r="F2461" s="1" t="s">
        <v>6</v>
      </c>
      <c r="G2461" s="44" t="str">
        <f t="shared" si="76"/>
        <v/>
      </c>
      <c r="H2461" s="10" t="str">
        <f t="shared" si="77"/>
        <v>Tuesday</v>
      </c>
    </row>
    <row r="2462" spans="1:8">
      <c r="A2462" s="9">
        <v>218254260</v>
      </c>
      <c r="B2462" s="6">
        <v>45111</v>
      </c>
      <c r="C2462" s="1"/>
      <c r="D2462" s="1" t="s">
        <v>7</v>
      </c>
      <c r="E2462" s="1">
        <v>39</v>
      </c>
      <c r="F2462" s="1" t="s">
        <v>6</v>
      </c>
      <c r="G2462" s="44" t="str">
        <f t="shared" si="76"/>
        <v/>
      </c>
      <c r="H2462" s="10" t="str">
        <f t="shared" si="77"/>
        <v>Tuesday</v>
      </c>
    </row>
    <row r="2463" spans="1:8">
      <c r="A2463" s="9">
        <v>218095604</v>
      </c>
      <c r="B2463" s="6">
        <v>45111</v>
      </c>
      <c r="C2463" s="1"/>
      <c r="D2463" s="1" t="s">
        <v>7</v>
      </c>
      <c r="E2463" s="1">
        <v>39</v>
      </c>
      <c r="F2463" s="1" t="s">
        <v>6</v>
      </c>
      <c r="G2463" s="44" t="str">
        <f t="shared" si="76"/>
        <v/>
      </c>
      <c r="H2463" s="10" t="str">
        <f t="shared" si="77"/>
        <v>Tuesday</v>
      </c>
    </row>
    <row r="2464" spans="1:8">
      <c r="A2464" s="9">
        <v>147845964</v>
      </c>
      <c r="B2464" s="6">
        <v>45111</v>
      </c>
      <c r="C2464" s="6">
        <v>45111</v>
      </c>
      <c r="D2464" s="1" t="s">
        <v>7</v>
      </c>
      <c r="E2464" s="1">
        <v>39</v>
      </c>
      <c r="F2464" s="1" t="s">
        <v>6</v>
      </c>
      <c r="G2464" s="44">
        <f t="shared" si="76"/>
        <v>0</v>
      </c>
      <c r="H2464" s="10" t="str">
        <f t="shared" si="77"/>
        <v>Tuesday</v>
      </c>
    </row>
    <row r="2465" spans="1:8">
      <c r="A2465" s="9">
        <v>218242871</v>
      </c>
      <c r="B2465" s="6">
        <v>45111</v>
      </c>
      <c r="C2465" s="6">
        <v>45142</v>
      </c>
      <c r="D2465" s="1" t="s">
        <v>7</v>
      </c>
      <c r="E2465" s="1">
        <v>39</v>
      </c>
      <c r="F2465" s="1" t="s">
        <v>6</v>
      </c>
      <c r="G2465" s="44">
        <f t="shared" si="76"/>
        <v>31</v>
      </c>
      <c r="H2465" s="10" t="str">
        <f t="shared" si="77"/>
        <v>Tuesday</v>
      </c>
    </row>
    <row r="2466" spans="1:8">
      <c r="A2466" s="9">
        <v>218238016</v>
      </c>
      <c r="B2466" s="6">
        <v>45111</v>
      </c>
      <c r="C2466" s="6">
        <v>45172</v>
      </c>
      <c r="D2466" s="1" t="s">
        <v>7</v>
      </c>
      <c r="E2466" s="1">
        <v>39</v>
      </c>
      <c r="F2466" s="1" t="s">
        <v>6</v>
      </c>
      <c r="G2466" s="44">
        <f t="shared" si="76"/>
        <v>61</v>
      </c>
      <c r="H2466" s="10" t="str">
        <f t="shared" si="77"/>
        <v>Tuesday</v>
      </c>
    </row>
    <row r="2467" spans="1:8">
      <c r="A2467" s="9">
        <v>217387951</v>
      </c>
      <c r="B2467" s="6">
        <v>45111</v>
      </c>
      <c r="C2467" s="6">
        <v>45142</v>
      </c>
      <c r="D2467" s="1" t="s">
        <v>7</v>
      </c>
      <c r="E2467" s="1">
        <v>39</v>
      </c>
      <c r="F2467" s="1" t="s">
        <v>6</v>
      </c>
      <c r="G2467" s="44">
        <f t="shared" si="76"/>
        <v>31</v>
      </c>
      <c r="H2467" s="10" t="str">
        <f t="shared" si="77"/>
        <v>Tuesday</v>
      </c>
    </row>
    <row r="2468" spans="1:8">
      <c r="A2468" s="9">
        <v>218236754</v>
      </c>
      <c r="B2468" s="6">
        <v>45111</v>
      </c>
      <c r="C2468" s="6">
        <v>45118</v>
      </c>
      <c r="D2468" s="1" t="s">
        <v>7</v>
      </c>
      <c r="E2468" s="1">
        <v>39</v>
      </c>
      <c r="F2468" s="1" t="s">
        <v>6</v>
      </c>
      <c r="G2468" s="44">
        <f t="shared" si="76"/>
        <v>7</v>
      </c>
      <c r="H2468" s="10" t="str">
        <f t="shared" si="77"/>
        <v>Tuesday</v>
      </c>
    </row>
    <row r="2469" spans="1:8">
      <c r="A2469" s="9">
        <v>218307564</v>
      </c>
      <c r="B2469" s="6">
        <v>45112</v>
      </c>
      <c r="C2469" s="1"/>
      <c r="D2469" s="1" t="s">
        <v>7</v>
      </c>
      <c r="E2469" s="1">
        <v>39</v>
      </c>
      <c r="F2469" s="1" t="s">
        <v>6</v>
      </c>
      <c r="G2469" s="44" t="str">
        <f t="shared" si="76"/>
        <v/>
      </c>
      <c r="H2469" s="10" t="str">
        <f t="shared" si="77"/>
        <v>Wednesday</v>
      </c>
    </row>
    <row r="2470" spans="1:8">
      <c r="A2470" s="9">
        <v>150521180</v>
      </c>
      <c r="B2470" s="6">
        <v>45112</v>
      </c>
      <c r="C2470" s="1"/>
      <c r="D2470" s="1" t="s">
        <v>7</v>
      </c>
      <c r="E2470" s="1">
        <v>39</v>
      </c>
      <c r="F2470" s="1" t="s">
        <v>6</v>
      </c>
      <c r="G2470" s="44" t="str">
        <f t="shared" si="76"/>
        <v/>
      </c>
      <c r="H2470" s="10" t="str">
        <f t="shared" si="77"/>
        <v>Wednesday</v>
      </c>
    </row>
    <row r="2471" spans="1:8">
      <c r="A2471" s="9">
        <v>135240372</v>
      </c>
      <c r="B2471" s="6">
        <v>45112</v>
      </c>
      <c r="C2471" s="1"/>
      <c r="D2471" s="1" t="s">
        <v>7</v>
      </c>
      <c r="E2471" s="1">
        <v>39</v>
      </c>
      <c r="F2471" s="1" t="s">
        <v>6</v>
      </c>
      <c r="G2471" s="44" t="str">
        <f t="shared" si="76"/>
        <v/>
      </c>
      <c r="H2471" s="10" t="str">
        <f t="shared" si="77"/>
        <v>Wednesday</v>
      </c>
    </row>
    <row r="2472" spans="1:8">
      <c r="A2472" s="9">
        <v>218275834</v>
      </c>
      <c r="B2472" s="6">
        <v>45112</v>
      </c>
      <c r="C2472" s="1"/>
      <c r="D2472" s="1" t="s">
        <v>7</v>
      </c>
      <c r="E2472" s="1">
        <v>39</v>
      </c>
      <c r="F2472" s="1" t="s">
        <v>6</v>
      </c>
      <c r="G2472" s="44" t="str">
        <f t="shared" si="76"/>
        <v/>
      </c>
      <c r="H2472" s="10" t="str">
        <f t="shared" si="77"/>
        <v>Wednesday</v>
      </c>
    </row>
    <row r="2473" spans="1:8">
      <c r="A2473" s="9">
        <v>218028076</v>
      </c>
      <c r="B2473" s="6">
        <v>45112</v>
      </c>
      <c r="C2473" s="1"/>
      <c r="D2473" s="1" t="s">
        <v>7</v>
      </c>
      <c r="E2473" s="1">
        <v>39</v>
      </c>
      <c r="F2473" s="1" t="s">
        <v>6</v>
      </c>
      <c r="G2473" s="44" t="str">
        <f t="shared" si="76"/>
        <v/>
      </c>
      <c r="H2473" s="10" t="str">
        <f t="shared" si="77"/>
        <v>Wednesday</v>
      </c>
    </row>
    <row r="2474" spans="1:8">
      <c r="A2474" s="9">
        <v>164254865</v>
      </c>
      <c r="B2474" s="6">
        <v>45112</v>
      </c>
      <c r="C2474" s="1"/>
      <c r="D2474" s="1" t="s">
        <v>7</v>
      </c>
      <c r="E2474" s="1">
        <v>39</v>
      </c>
      <c r="F2474" s="1" t="s">
        <v>6</v>
      </c>
      <c r="G2474" s="44" t="str">
        <f t="shared" si="76"/>
        <v/>
      </c>
      <c r="H2474" s="10" t="str">
        <f t="shared" si="77"/>
        <v>Wednesday</v>
      </c>
    </row>
    <row r="2475" spans="1:8">
      <c r="A2475" s="9">
        <v>218274904</v>
      </c>
      <c r="B2475" s="6">
        <v>45112</v>
      </c>
      <c r="C2475" s="6">
        <v>45113</v>
      </c>
      <c r="D2475" s="1" t="s">
        <v>8</v>
      </c>
      <c r="E2475" s="1">
        <v>39</v>
      </c>
      <c r="F2475" s="1" t="s">
        <v>6</v>
      </c>
      <c r="G2475" s="44">
        <f t="shared" si="76"/>
        <v>1</v>
      </c>
      <c r="H2475" s="10" t="str">
        <f t="shared" si="77"/>
        <v>Wednesday</v>
      </c>
    </row>
    <row r="2476" spans="1:8">
      <c r="A2476" s="9">
        <v>208473540</v>
      </c>
      <c r="B2476" s="6">
        <v>45112</v>
      </c>
      <c r="C2476" s="6">
        <v>45177</v>
      </c>
      <c r="D2476" s="1" t="s">
        <v>7</v>
      </c>
      <c r="E2476" s="1">
        <v>39</v>
      </c>
      <c r="F2476" s="1" t="s">
        <v>6</v>
      </c>
      <c r="G2476" s="44">
        <f t="shared" si="76"/>
        <v>65</v>
      </c>
      <c r="H2476" s="10" t="str">
        <f t="shared" si="77"/>
        <v>Wednesday</v>
      </c>
    </row>
    <row r="2477" spans="1:8">
      <c r="A2477" s="9">
        <v>218233516</v>
      </c>
      <c r="B2477" s="6">
        <v>45112</v>
      </c>
      <c r="C2477" s="6">
        <v>45146</v>
      </c>
      <c r="D2477" s="1" t="s">
        <v>7</v>
      </c>
      <c r="E2477" s="1">
        <v>39</v>
      </c>
      <c r="F2477" s="1" t="s">
        <v>6</v>
      </c>
      <c r="G2477" s="44">
        <f t="shared" si="76"/>
        <v>34</v>
      </c>
      <c r="H2477" s="10" t="str">
        <f t="shared" si="77"/>
        <v>Wednesday</v>
      </c>
    </row>
    <row r="2478" spans="1:8">
      <c r="A2478" s="9">
        <v>218261606</v>
      </c>
      <c r="B2478" s="6">
        <v>45112</v>
      </c>
      <c r="C2478" s="6">
        <v>45155</v>
      </c>
      <c r="D2478" s="1" t="s">
        <v>7</v>
      </c>
      <c r="E2478" s="1">
        <v>39</v>
      </c>
      <c r="F2478" s="1" t="s">
        <v>6</v>
      </c>
      <c r="G2478" s="44">
        <f t="shared" si="76"/>
        <v>43</v>
      </c>
      <c r="H2478" s="10" t="str">
        <f t="shared" si="77"/>
        <v>Wednesday</v>
      </c>
    </row>
    <row r="2479" spans="1:8">
      <c r="A2479" s="9">
        <v>218289472</v>
      </c>
      <c r="B2479" s="6">
        <v>45112</v>
      </c>
      <c r="C2479" s="6">
        <v>45113</v>
      </c>
      <c r="D2479" s="1" t="s">
        <v>7</v>
      </c>
      <c r="E2479" s="1">
        <v>39</v>
      </c>
      <c r="F2479" s="1" t="s">
        <v>6</v>
      </c>
      <c r="G2479" s="44">
        <f t="shared" si="76"/>
        <v>1</v>
      </c>
      <c r="H2479" s="10" t="str">
        <f t="shared" si="77"/>
        <v>Wednesday</v>
      </c>
    </row>
    <row r="2480" spans="1:8">
      <c r="A2480" s="9">
        <v>215946425</v>
      </c>
      <c r="B2480" s="6">
        <v>45112</v>
      </c>
      <c r="C2480" s="6">
        <v>45136</v>
      </c>
      <c r="D2480" s="1" t="s">
        <v>7</v>
      </c>
      <c r="E2480" s="1">
        <v>39</v>
      </c>
      <c r="F2480" s="1" t="s">
        <v>6</v>
      </c>
      <c r="G2480" s="44">
        <f t="shared" si="76"/>
        <v>24</v>
      </c>
      <c r="H2480" s="10" t="str">
        <f t="shared" si="77"/>
        <v>Wednesday</v>
      </c>
    </row>
    <row r="2481" spans="1:8">
      <c r="A2481" s="9">
        <v>218284850</v>
      </c>
      <c r="B2481" s="6">
        <v>45112</v>
      </c>
      <c r="C2481" s="6">
        <v>45136</v>
      </c>
      <c r="D2481" s="1" t="s">
        <v>7</v>
      </c>
      <c r="E2481" s="1">
        <v>39</v>
      </c>
      <c r="F2481" s="1" t="s">
        <v>6</v>
      </c>
      <c r="G2481" s="44">
        <f t="shared" si="76"/>
        <v>24</v>
      </c>
      <c r="H2481" s="10" t="str">
        <f t="shared" si="77"/>
        <v>Wednesday</v>
      </c>
    </row>
    <row r="2482" spans="1:8">
      <c r="A2482" s="9">
        <v>202151053</v>
      </c>
      <c r="B2482" s="6">
        <v>45113</v>
      </c>
      <c r="C2482" s="1"/>
      <c r="D2482" s="1" t="s">
        <v>7</v>
      </c>
      <c r="E2482" s="1">
        <v>39</v>
      </c>
      <c r="F2482" s="1" t="s">
        <v>6</v>
      </c>
      <c r="G2482" s="44" t="str">
        <f t="shared" si="76"/>
        <v/>
      </c>
      <c r="H2482" s="10" t="str">
        <f t="shared" si="77"/>
        <v>Thursday</v>
      </c>
    </row>
    <row r="2483" spans="1:8">
      <c r="A2483" s="9">
        <v>112301350</v>
      </c>
      <c r="B2483" s="6">
        <v>45113</v>
      </c>
      <c r="C2483" s="1"/>
      <c r="D2483" s="1" t="s">
        <v>7</v>
      </c>
      <c r="E2483" s="1">
        <v>39</v>
      </c>
      <c r="F2483" s="1" t="s">
        <v>6</v>
      </c>
      <c r="G2483" s="44" t="str">
        <f t="shared" si="76"/>
        <v/>
      </c>
      <c r="H2483" s="10" t="str">
        <f t="shared" si="77"/>
        <v>Thursday</v>
      </c>
    </row>
    <row r="2484" spans="1:8">
      <c r="A2484" s="9">
        <v>218300918</v>
      </c>
      <c r="B2484" s="6">
        <v>45113</v>
      </c>
      <c r="C2484" s="1"/>
      <c r="D2484" s="1" t="s">
        <v>7</v>
      </c>
      <c r="E2484" s="1">
        <v>39</v>
      </c>
      <c r="F2484" s="1" t="s">
        <v>6</v>
      </c>
      <c r="G2484" s="44" t="str">
        <f t="shared" si="76"/>
        <v/>
      </c>
      <c r="H2484" s="10" t="str">
        <f t="shared" si="77"/>
        <v>Thursday</v>
      </c>
    </row>
    <row r="2485" spans="1:8">
      <c r="A2485" s="9">
        <v>205452800</v>
      </c>
      <c r="B2485" s="6">
        <v>45113</v>
      </c>
      <c r="C2485" s="1"/>
      <c r="D2485" s="1" t="s">
        <v>7</v>
      </c>
      <c r="E2485" s="1">
        <v>39</v>
      </c>
      <c r="F2485" s="1" t="s">
        <v>6</v>
      </c>
      <c r="G2485" s="44" t="str">
        <f t="shared" si="76"/>
        <v/>
      </c>
      <c r="H2485" s="10" t="str">
        <f t="shared" si="77"/>
        <v>Thursday</v>
      </c>
    </row>
    <row r="2486" spans="1:8">
      <c r="A2486" s="9">
        <v>218278300</v>
      </c>
      <c r="B2486" s="6">
        <v>45113</v>
      </c>
      <c r="C2486" s="1"/>
      <c r="D2486" s="1" t="s">
        <v>7</v>
      </c>
      <c r="E2486" s="1">
        <v>39</v>
      </c>
      <c r="F2486" s="1" t="s">
        <v>6</v>
      </c>
      <c r="G2486" s="44" t="str">
        <f t="shared" si="76"/>
        <v/>
      </c>
      <c r="H2486" s="10" t="str">
        <f t="shared" si="77"/>
        <v>Thursday</v>
      </c>
    </row>
    <row r="2487" spans="1:8">
      <c r="A2487" s="9">
        <v>216920844</v>
      </c>
      <c r="B2487" s="6">
        <v>45113</v>
      </c>
      <c r="C2487" s="1"/>
      <c r="D2487" s="1" t="s">
        <v>7</v>
      </c>
      <c r="E2487" s="1">
        <v>39</v>
      </c>
      <c r="F2487" s="1" t="s">
        <v>6</v>
      </c>
      <c r="G2487" s="44" t="str">
        <f t="shared" si="76"/>
        <v/>
      </c>
      <c r="H2487" s="10" t="str">
        <f t="shared" si="77"/>
        <v>Thursday</v>
      </c>
    </row>
    <row r="2488" spans="1:8">
      <c r="A2488" s="9">
        <v>127100688</v>
      </c>
      <c r="B2488" s="6">
        <v>45113</v>
      </c>
      <c r="C2488" s="6">
        <v>45140</v>
      </c>
      <c r="D2488" s="1" t="s">
        <v>7</v>
      </c>
      <c r="E2488" s="1">
        <v>39</v>
      </c>
      <c r="F2488" s="1" t="s">
        <v>6</v>
      </c>
      <c r="G2488" s="44">
        <f t="shared" si="76"/>
        <v>27</v>
      </c>
      <c r="H2488" s="10" t="str">
        <f t="shared" si="77"/>
        <v>Thursday</v>
      </c>
    </row>
    <row r="2489" spans="1:8">
      <c r="A2489" s="9">
        <v>218345379</v>
      </c>
      <c r="B2489" s="6">
        <v>45113</v>
      </c>
      <c r="C2489" s="6">
        <v>45151</v>
      </c>
      <c r="D2489" s="1" t="s">
        <v>7</v>
      </c>
      <c r="E2489" s="1">
        <v>39</v>
      </c>
      <c r="F2489" s="1" t="s">
        <v>6</v>
      </c>
      <c r="G2489" s="44">
        <f t="shared" si="76"/>
        <v>38</v>
      </c>
      <c r="H2489" s="10" t="str">
        <f t="shared" si="77"/>
        <v>Thursday</v>
      </c>
    </row>
    <row r="2490" spans="1:8">
      <c r="A2490" s="9">
        <v>183507186</v>
      </c>
      <c r="B2490" s="6">
        <v>45113</v>
      </c>
      <c r="C2490" s="6">
        <v>45144</v>
      </c>
      <c r="D2490" s="1" t="s">
        <v>7</v>
      </c>
      <c r="E2490" s="1">
        <v>39</v>
      </c>
      <c r="F2490" s="1" t="s">
        <v>6</v>
      </c>
      <c r="G2490" s="44">
        <f t="shared" si="76"/>
        <v>31</v>
      </c>
      <c r="H2490" s="10" t="str">
        <f t="shared" si="77"/>
        <v>Thursday</v>
      </c>
    </row>
    <row r="2491" spans="1:8">
      <c r="A2491" s="9">
        <v>218133430</v>
      </c>
      <c r="B2491" s="6">
        <v>45114</v>
      </c>
      <c r="C2491" s="1"/>
      <c r="D2491" s="1" t="s">
        <v>7</v>
      </c>
      <c r="E2491" s="1">
        <v>39</v>
      </c>
      <c r="F2491" s="1" t="s">
        <v>6</v>
      </c>
      <c r="G2491" s="44" t="str">
        <f t="shared" si="76"/>
        <v/>
      </c>
      <c r="H2491" s="10" t="str">
        <f t="shared" si="77"/>
        <v>Friday</v>
      </c>
    </row>
    <row r="2492" spans="1:8">
      <c r="A2492" s="9">
        <v>147813476</v>
      </c>
      <c r="B2492" s="6">
        <v>45114</v>
      </c>
      <c r="C2492" s="1"/>
      <c r="D2492" s="1" t="s">
        <v>7</v>
      </c>
      <c r="E2492" s="1">
        <v>39</v>
      </c>
      <c r="F2492" s="1" t="s">
        <v>6</v>
      </c>
      <c r="G2492" s="44" t="str">
        <f t="shared" si="76"/>
        <v/>
      </c>
      <c r="H2492" s="10" t="str">
        <f t="shared" si="77"/>
        <v>Friday</v>
      </c>
    </row>
    <row r="2493" spans="1:8">
      <c r="A2493" s="9">
        <v>218375754</v>
      </c>
      <c r="B2493" s="6">
        <v>45114</v>
      </c>
      <c r="C2493" s="1"/>
      <c r="D2493" s="1" t="s">
        <v>7</v>
      </c>
      <c r="E2493" s="1">
        <v>39</v>
      </c>
      <c r="F2493" s="1" t="s">
        <v>6</v>
      </c>
      <c r="G2493" s="44" t="str">
        <f t="shared" si="76"/>
        <v/>
      </c>
      <c r="H2493" s="10" t="str">
        <f t="shared" si="77"/>
        <v>Friday</v>
      </c>
    </row>
    <row r="2494" spans="1:8">
      <c r="A2494" s="9">
        <v>216000482</v>
      </c>
      <c r="B2494" s="6">
        <v>45114</v>
      </c>
      <c r="C2494" s="1"/>
      <c r="D2494" s="1" t="s">
        <v>7</v>
      </c>
      <c r="E2494" s="1">
        <v>39</v>
      </c>
      <c r="F2494" s="1" t="s">
        <v>6</v>
      </c>
      <c r="G2494" s="44" t="str">
        <f t="shared" si="76"/>
        <v/>
      </c>
      <c r="H2494" s="10" t="str">
        <f t="shared" si="77"/>
        <v>Friday</v>
      </c>
    </row>
    <row r="2495" spans="1:8">
      <c r="A2495" s="9">
        <v>161549477</v>
      </c>
      <c r="B2495" s="6">
        <v>45114</v>
      </c>
      <c r="C2495" s="1"/>
      <c r="D2495" s="1" t="s">
        <v>7</v>
      </c>
      <c r="E2495" s="1">
        <v>39</v>
      </c>
      <c r="F2495" s="1" t="s">
        <v>6</v>
      </c>
      <c r="G2495" s="44" t="str">
        <f t="shared" si="76"/>
        <v/>
      </c>
      <c r="H2495" s="10" t="str">
        <f t="shared" si="77"/>
        <v>Friday</v>
      </c>
    </row>
    <row r="2496" spans="1:8">
      <c r="A2496" s="9">
        <v>133444654</v>
      </c>
      <c r="B2496" s="6">
        <v>45114</v>
      </c>
      <c r="C2496" s="6">
        <v>45117</v>
      </c>
      <c r="D2496" s="1" t="s">
        <v>7</v>
      </c>
      <c r="E2496" s="1">
        <v>39</v>
      </c>
      <c r="F2496" s="1" t="s">
        <v>6</v>
      </c>
      <c r="G2496" s="44">
        <f t="shared" si="76"/>
        <v>3</v>
      </c>
      <c r="H2496" s="10" t="str">
        <f t="shared" si="77"/>
        <v>Friday</v>
      </c>
    </row>
    <row r="2497" spans="1:8">
      <c r="A2497" s="9">
        <v>217883594</v>
      </c>
      <c r="B2497" s="6">
        <v>45114</v>
      </c>
      <c r="C2497" s="6">
        <v>45134</v>
      </c>
      <c r="D2497" s="1" t="s">
        <v>7</v>
      </c>
      <c r="E2497" s="1">
        <v>39</v>
      </c>
      <c r="F2497" s="1" t="s">
        <v>6</v>
      </c>
      <c r="G2497" s="44">
        <f t="shared" si="76"/>
        <v>20</v>
      </c>
      <c r="H2497" s="10" t="str">
        <f t="shared" si="77"/>
        <v>Friday</v>
      </c>
    </row>
    <row r="2498" spans="1:8">
      <c r="A2498" s="9">
        <v>197752733</v>
      </c>
      <c r="B2498" s="6">
        <v>45115</v>
      </c>
      <c r="C2498" s="1"/>
      <c r="D2498" s="1" t="s">
        <v>7</v>
      </c>
      <c r="E2498" s="1">
        <v>39</v>
      </c>
      <c r="F2498" s="1" t="s">
        <v>6</v>
      </c>
      <c r="G2498" s="44" t="str">
        <f t="shared" si="76"/>
        <v/>
      </c>
      <c r="H2498" s="10" t="str">
        <f t="shared" si="77"/>
        <v>Saturday</v>
      </c>
    </row>
    <row r="2499" spans="1:8">
      <c r="A2499" s="9">
        <v>175884318</v>
      </c>
      <c r="B2499" s="6">
        <v>45115</v>
      </c>
      <c r="C2499" s="1"/>
      <c r="D2499" s="1" t="s">
        <v>7</v>
      </c>
      <c r="E2499" s="1">
        <v>39</v>
      </c>
      <c r="F2499" s="1" t="s">
        <v>6</v>
      </c>
      <c r="G2499" s="44" t="str">
        <f t="shared" ref="G2499:G2562" si="78">IF(C2499="", "", DATEDIF(B2499, C2499, "D"))</f>
        <v/>
      </c>
      <c r="H2499" s="10" t="str">
        <f t="shared" ref="H2499:H2562" si="79">TEXT(B2499, "dddd")</f>
        <v>Saturday</v>
      </c>
    </row>
    <row r="2500" spans="1:8">
      <c r="A2500" s="9">
        <v>218413958</v>
      </c>
      <c r="B2500" s="6">
        <v>45115</v>
      </c>
      <c r="C2500" s="1"/>
      <c r="D2500" s="1" t="s">
        <v>7</v>
      </c>
      <c r="E2500" s="1">
        <v>39</v>
      </c>
      <c r="F2500" s="1" t="s">
        <v>6</v>
      </c>
      <c r="G2500" s="44" t="str">
        <f t="shared" si="78"/>
        <v/>
      </c>
      <c r="H2500" s="10" t="str">
        <f t="shared" si="79"/>
        <v>Saturday</v>
      </c>
    </row>
    <row r="2501" spans="1:8">
      <c r="A2501" s="9">
        <v>218434925</v>
      </c>
      <c r="B2501" s="6">
        <v>45115</v>
      </c>
      <c r="C2501" s="1"/>
      <c r="D2501" s="1" t="s">
        <v>7</v>
      </c>
      <c r="E2501" s="1">
        <v>39</v>
      </c>
      <c r="F2501" s="1" t="s">
        <v>6</v>
      </c>
      <c r="G2501" s="44" t="str">
        <f t="shared" si="78"/>
        <v/>
      </c>
      <c r="H2501" s="10" t="str">
        <f t="shared" si="79"/>
        <v>Saturday</v>
      </c>
    </row>
    <row r="2502" spans="1:8">
      <c r="A2502" s="9">
        <v>156817946</v>
      </c>
      <c r="B2502" s="6">
        <v>45115</v>
      </c>
      <c r="C2502" s="1"/>
      <c r="D2502" s="1" t="s">
        <v>7</v>
      </c>
      <c r="E2502" s="1">
        <v>39</v>
      </c>
      <c r="F2502" s="1" t="s">
        <v>6</v>
      </c>
      <c r="G2502" s="44" t="str">
        <f t="shared" si="78"/>
        <v/>
      </c>
      <c r="H2502" s="10" t="str">
        <f t="shared" si="79"/>
        <v>Saturday</v>
      </c>
    </row>
    <row r="2503" spans="1:8">
      <c r="A2503" s="9">
        <v>218427268</v>
      </c>
      <c r="B2503" s="6">
        <v>45115</v>
      </c>
      <c r="C2503" s="1"/>
      <c r="D2503" s="1" t="s">
        <v>7</v>
      </c>
      <c r="E2503" s="1">
        <v>39</v>
      </c>
      <c r="F2503" s="1" t="s">
        <v>6</v>
      </c>
      <c r="G2503" s="44" t="str">
        <f t="shared" si="78"/>
        <v/>
      </c>
      <c r="H2503" s="10" t="str">
        <f t="shared" si="79"/>
        <v>Saturday</v>
      </c>
    </row>
    <row r="2504" spans="1:8">
      <c r="A2504" s="9">
        <v>208492287</v>
      </c>
      <c r="B2504" s="6">
        <v>45115</v>
      </c>
      <c r="C2504" s="1"/>
      <c r="D2504" s="1" t="s">
        <v>7</v>
      </c>
      <c r="E2504" s="1">
        <v>39</v>
      </c>
      <c r="F2504" s="1" t="s">
        <v>6</v>
      </c>
      <c r="G2504" s="44" t="str">
        <f t="shared" si="78"/>
        <v/>
      </c>
      <c r="H2504" s="10" t="str">
        <f t="shared" si="79"/>
        <v>Saturday</v>
      </c>
    </row>
    <row r="2505" spans="1:8">
      <c r="A2505" s="9">
        <v>217499098</v>
      </c>
      <c r="B2505" s="6">
        <v>45115</v>
      </c>
      <c r="C2505" s="6">
        <v>45116</v>
      </c>
      <c r="D2505" s="1" t="s">
        <v>7</v>
      </c>
      <c r="E2505" s="1">
        <v>39</v>
      </c>
      <c r="F2505" s="1" t="s">
        <v>6</v>
      </c>
      <c r="G2505" s="44">
        <f t="shared" si="78"/>
        <v>1</v>
      </c>
      <c r="H2505" s="10" t="str">
        <f t="shared" si="79"/>
        <v>Saturday</v>
      </c>
    </row>
    <row r="2506" spans="1:8">
      <c r="A2506" s="9">
        <v>215723331</v>
      </c>
      <c r="B2506" s="6">
        <v>45115</v>
      </c>
      <c r="C2506" s="6">
        <v>45153</v>
      </c>
      <c r="D2506" s="1" t="s">
        <v>7</v>
      </c>
      <c r="E2506" s="1">
        <v>39</v>
      </c>
      <c r="F2506" s="1" t="s">
        <v>6</v>
      </c>
      <c r="G2506" s="44">
        <f t="shared" si="78"/>
        <v>38</v>
      </c>
      <c r="H2506" s="10" t="str">
        <f t="shared" si="79"/>
        <v>Saturday</v>
      </c>
    </row>
    <row r="2507" spans="1:8">
      <c r="A2507" s="9">
        <v>122616074</v>
      </c>
      <c r="B2507" s="6">
        <v>45116</v>
      </c>
      <c r="C2507" s="1"/>
      <c r="D2507" s="1" t="s">
        <v>7</v>
      </c>
      <c r="E2507" s="1">
        <v>39</v>
      </c>
      <c r="F2507" s="1" t="s">
        <v>6</v>
      </c>
      <c r="G2507" s="44" t="str">
        <f t="shared" si="78"/>
        <v/>
      </c>
      <c r="H2507" s="10" t="str">
        <f t="shared" si="79"/>
        <v>Sunday</v>
      </c>
    </row>
    <row r="2508" spans="1:8">
      <c r="A2508" s="9">
        <v>218367490</v>
      </c>
      <c r="B2508" s="6">
        <v>45116</v>
      </c>
      <c r="C2508" s="1"/>
      <c r="D2508" s="1" t="s">
        <v>7</v>
      </c>
      <c r="E2508" s="1">
        <v>39</v>
      </c>
      <c r="F2508" s="1" t="s">
        <v>6</v>
      </c>
      <c r="G2508" s="44" t="str">
        <f t="shared" si="78"/>
        <v/>
      </c>
      <c r="H2508" s="10" t="str">
        <f t="shared" si="79"/>
        <v>Sunday</v>
      </c>
    </row>
    <row r="2509" spans="1:8">
      <c r="A2509" s="9">
        <v>218415420</v>
      </c>
      <c r="B2509" s="6">
        <v>45116</v>
      </c>
      <c r="C2509" s="1"/>
      <c r="D2509" s="1" t="s">
        <v>7</v>
      </c>
      <c r="E2509" s="1">
        <v>39</v>
      </c>
      <c r="F2509" s="1" t="s">
        <v>6</v>
      </c>
      <c r="G2509" s="44" t="str">
        <f t="shared" si="78"/>
        <v/>
      </c>
      <c r="H2509" s="10" t="str">
        <f t="shared" si="79"/>
        <v>Sunday</v>
      </c>
    </row>
    <row r="2510" spans="1:8">
      <c r="A2510" s="9">
        <v>135785962</v>
      </c>
      <c r="B2510" s="6">
        <v>45116</v>
      </c>
      <c r="C2510" s="1"/>
      <c r="D2510" s="1" t="s">
        <v>7</v>
      </c>
      <c r="E2510" s="1">
        <v>39</v>
      </c>
      <c r="F2510" s="1" t="s">
        <v>6</v>
      </c>
      <c r="G2510" s="44" t="str">
        <f t="shared" si="78"/>
        <v/>
      </c>
      <c r="H2510" s="10" t="str">
        <f t="shared" si="79"/>
        <v>Sunday</v>
      </c>
    </row>
    <row r="2511" spans="1:8">
      <c r="A2511" s="9">
        <v>206121650</v>
      </c>
      <c r="B2511" s="6">
        <v>45116</v>
      </c>
      <c r="C2511" s="6">
        <v>45117</v>
      </c>
      <c r="D2511" s="1" t="s">
        <v>7</v>
      </c>
      <c r="E2511" s="1">
        <v>39</v>
      </c>
      <c r="F2511" s="1" t="s">
        <v>6</v>
      </c>
      <c r="G2511" s="44">
        <f t="shared" si="78"/>
        <v>1</v>
      </c>
      <c r="H2511" s="10" t="str">
        <f t="shared" si="79"/>
        <v>Sunday</v>
      </c>
    </row>
    <row r="2512" spans="1:8">
      <c r="A2512" s="9">
        <v>218129819</v>
      </c>
      <c r="B2512" s="6">
        <v>45116</v>
      </c>
      <c r="C2512" s="6">
        <v>45141</v>
      </c>
      <c r="D2512" s="1" t="s">
        <v>7</v>
      </c>
      <c r="E2512" s="1">
        <v>39</v>
      </c>
      <c r="F2512" s="1" t="s">
        <v>6</v>
      </c>
      <c r="G2512" s="44">
        <f t="shared" si="78"/>
        <v>25</v>
      </c>
      <c r="H2512" s="10" t="str">
        <f t="shared" si="79"/>
        <v>Sunday</v>
      </c>
    </row>
    <row r="2513" spans="1:8">
      <c r="A2513" s="9">
        <v>217766676</v>
      </c>
      <c r="B2513" s="6">
        <v>45116</v>
      </c>
      <c r="C2513" s="6">
        <v>45134</v>
      </c>
      <c r="D2513" s="1" t="s">
        <v>7</v>
      </c>
      <c r="E2513" s="1">
        <v>39</v>
      </c>
      <c r="F2513" s="1" t="s">
        <v>6</v>
      </c>
      <c r="G2513" s="44">
        <f t="shared" si="78"/>
        <v>18</v>
      </c>
      <c r="H2513" s="10" t="str">
        <f t="shared" si="79"/>
        <v>Sunday</v>
      </c>
    </row>
    <row r="2514" spans="1:8">
      <c r="A2514" s="9">
        <v>216886336</v>
      </c>
      <c r="B2514" s="6">
        <v>45117</v>
      </c>
      <c r="C2514" s="1"/>
      <c r="D2514" s="1" t="s">
        <v>7</v>
      </c>
      <c r="E2514" s="1">
        <v>39</v>
      </c>
      <c r="F2514" s="1" t="s">
        <v>6</v>
      </c>
      <c r="G2514" s="44" t="str">
        <f t="shared" si="78"/>
        <v/>
      </c>
      <c r="H2514" s="10" t="str">
        <f t="shared" si="79"/>
        <v>Monday</v>
      </c>
    </row>
    <row r="2515" spans="1:8">
      <c r="A2515" s="9">
        <v>217991032</v>
      </c>
      <c r="B2515" s="6">
        <v>45117</v>
      </c>
      <c r="C2515" s="1"/>
      <c r="D2515" s="1" t="s">
        <v>7</v>
      </c>
      <c r="E2515" s="1">
        <v>39</v>
      </c>
      <c r="F2515" s="1" t="s">
        <v>6</v>
      </c>
      <c r="G2515" s="44" t="str">
        <f t="shared" si="78"/>
        <v/>
      </c>
      <c r="H2515" s="10" t="str">
        <f t="shared" si="79"/>
        <v>Monday</v>
      </c>
    </row>
    <row r="2516" spans="1:8">
      <c r="A2516" s="9">
        <v>145797162</v>
      </c>
      <c r="B2516" s="6">
        <v>45117</v>
      </c>
      <c r="C2516" s="1"/>
      <c r="D2516" s="1" t="s">
        <v>7</v>
      </c>
      <c r="E2516" s="1">
        <v>39</v>
      </c>
      <c r="F2516" s="1" t="s">
        <v>6</v>
      </c>
      <c r="G2516" s="44" t="str">
        <f t="shared" si="78"/>
        <v/>
      </c>
      <c r="H2516" s="10" t="str">
        <f t="shared" si="79"/>
        <v>Monday</v>
      </c>
    </row>
    <row r="2517" spans="1:8">
      <c r="A2517" s="9">
        <v>217581606</v>
      </c>
      <c r="B2517" s="6">
        <v>45117</v>
      </c>
      <c r="C2517" s="1"/>
      <c r="D2517" s="1" t="s">
        <v>7</v>
      </c>
      <c r="E2517" s="1">
        <v>39</v>
      </c>
      <c r="F2517" s="1" t="s">
        <v>6</v>
      </c>
      <c r="G2517" s="44" t="str">
        <f t="shared" si="78"/>
        <v/>
      </c>
      <c r="H2517" s="10" t="str">
        <f t="shared" si="79"/>
        <v>Monday</v>
      </c>
    </row>
    <row r="2518" spans="1:8">
      <c r="A2518" s="9">
        <v>218459038</v>
      </c>
      <c r="B2518" s="6">
        <v>45117</v>
      </c>
      <c r="C2518" s="6">
        <v>45118</v>
      </c>
      <c r="D2518" s="1" t="s">
        <v>7</v>
      </c>
      <c r="E2518" s="1">
        <v>39</v>
      </c>
      <c r="F2518" s="1" t="s">
        <v>6</v>
      </c>
      <c r="G2518" s="44">
        <f t="shared" si="78"/>
        <v>1</v>
      </c>
      <c r="H2518" s="10" t="str">
        <f t="shared" si="79"/>
        <v>Monday</v>
      </c>
    </row>
    <row r="2519" spans="1:8">
      <c r="A2519" s="9">
        <v>218526124</v>
      </c>
      <c r="B2519" s="6">
        <v>45117</v>
      </c>
      <c r="C2519" s="6">
        <v>45118</v>
      </c>
      <c r="D2519" s="1" t="s">
        <v>8</v>
      </c>
      <c r="E2519" s="1">
        <v>39</v>
      </c>
      <c r="F2519" s="1" t="s">
        <v>6</v>
      </c>
      <c r="G2519" s="44">
        <f t="shared" si="78"/>
        <v>1</v>
      </c>
      <c r="H2519" s="10" t="str">
        <f t="shared" si="79"/>
        <v>Monday</v>
      </c>
    </row>
    <row r="2520" spans="1:8">
      <c r="A2520" s="9">
        <v>216335430</v>
      </c>
      <c r="B2520" s="6">
        <v>45117</v>
      </c>
      <c r="C2520" s="6">
        <v>45117</v>
      </c>
      <c r="D2520" s="1" t="s">
        <v>8</v>
      </c>
      <c r="E2520" s="1">
        <v>39</v>
      </c>
      <c r="F2520" s="1" t="s">
        <v>6</v>
      </c>
      <c r="G2520" s="44">
        <f t="shared" si="78"/>
        <v>0</v>
      </c>
      <c r="H2520" s="10" t="str">
        <f t="shared" si="79"/>
        <v>Monday</v>
      </c>
    </row>
    <row r="2521" spans="1:8">
      <c r="A2521" s="9">
        <v>218519862</v>
      </c>
      <c r="B2521" s="6">
        <v>45117</v>
      </c>
      <c r="C2521" s="6">
        <v>45118</v>
      </c>
      <c r="D2521" s="1" t="s">
        <v>8</v>
      </c>
      <c r="E2521" s="1">
        <v>39</v>
      </c>
      <c r="F2521" s="1" t="s">
        <v>6</v>
      </c>
      <c r="G2521" s="44">
        <f t="shared" si="78"/>
        <v>1</v>
      </c>
      <c r="H2521" s="10" t="str">
        <f t="shared" si="79"/>
        <v>Monday</v>
      </c>
    </row>
    <row r="2522" spans="1:8">
      <c r="A2522" s="9">
        <v>218496811</v>
      </c>
      <c r="B2522" s="6">
        <v>45117</v>
      </c>
      <c r="C2522" s="6">
        <v>45117</v>
      </c>
      <c r="D2522" s="1" t="s">
        <v>8</v>
      </c>
      <c r="E2522" s="1">
        <v>39</v>
      </c>
      <c r="F2522" s="1" t="s">
        <v>6</v>
      </c>
      <c r="G2522" s="44">
        <f t="shared" si="78"/>
        <v>0</v>
      </c>
      <c r="H2522" s="10" t="str">
        <f t="shared" si="79"/>
        <v>Monday</v>
      </c>
    </row>
    <row r="2523" spans="1:8">
      <c r="A2523" s="9">
        <v>218490122</v>
      </c>
      <c r="B2523" s="6">
        <v>45117</v>
      </c>
      <c r="C2523" s="6">
        <v>45118</v>
      </c>
      <c r="D2523" s="1" t="s">
        <v>8</v>
      </c>
      <c r="E2523" s="1">
        <v>39</v>
      </c>
      <c r="F2523" s="1" t="s">
        <v>6</v>
      </c>
      <c r="G2523" s="44">
        <f t="shared" si="78"/>
        <v>1</v>
      </c>
      <c r="H2523" s="10" t="str">
        <f t="shared" si="79"/>
        <v>Monday</v>
      </c>
    </row>
    <row r="2524" spans="1:8">
      <c r="A2524" s="9">
        <v>216337502</v>
      </c>
      <c r="B2524" s="6">
        <v>45117</v>
      </c>
      <c r="C2524" s="6">
        <v>45117</v>
      </c>
      <c r="D2524" s="1" t="s">
        <v>8</v>
      </c>
      <c r="E2524" s="1">
        <v>39</v>
      </c>
      <c r="F2524" s="1" t="s">
        <v>6</v>
      </c>
      <c r="G2524" s="44">
        <f t="shared" si="78"/>
        <v>0</v>
      </c>
      <c r="H2524" s="10" t="str">
        <f t="shared" si="79"/>
        <v>Monday</v>
      </c>
    </row>
    <row r="2525" spans="1:8">
      <c r="A2525" s="9">
        <v>143111905</v>
      </c>
      <c r="B2525" s="6">
        <v>45117</v>
      </c>
      <c r="C2525" s="6">
        <v>45155</v>
      </c>
      <c r="D2525" s="1" t="s">
        <v>7</v>
      </c>
      <c r="E2525" s="1">
        <v>39</v>
      </c>
      <c r="F2525" s="1" t="s">
        <v>6</v>
      </c>
      <c r="G2525" s="44">
        <f t="shared" si="78"/>
        <v>38</v>
      </c>
      <c r="H2525" s="10" t="str">
        <f t="shared" si="79"/>
        <v>Monday</v>
      </c>
    </row>
    <row r="2526" spans="1:8">
      <c r="A2526" s="9">
        <v>217709772</v>
      </c>
      <c r="B2526" s="6">
        <v>45117</v>
      </c>
      <c r="C2526" s="6">
        <v>45150</v>
      </c>
      <c r="D2526" s="1" t="s">
        <v>7</v>
      </c>
      <c r="E2526" s="1">
        <v>39</v>
      </c>
      <c r="F2526" s="1" t="s">
        <v>6</v>
      </c>
      <c r="G2526" s="44">
        <f t="shared" si="78"/>
        <v>33</v>
      </c>
      <c r="H2526" s="10" t="str">
        <f t="shared" si="79"/>
        <v>Monday</v>
      </c>
    </row>
    <row r="2527" spans="1:8">
      <c r="A2527" s="9">
        <v>214924190</v>
      </c>
      <c r="B2527" s="6">
        <v>45117</v>
      </c>
      <c r="C2527" s="6">
        <v>45148</v>
      </c>
      <c r="D2527" s="1" t="s">
        <v>7</v>
      </c>
      <c r="E2527" s="1">
        <v>39</v>
      </c>
      <c r="F2527" s="1" t="s">
        <v>6</v>
      </c>
      <c r="G2527" s="44">
        <f t="shared" si="78"/>
        <v>31</v>
      </c>
      <c r="H2527" s="10" t="str">
        <f t="shared" si="79"/>
        <v>Monday</v>
      </c>
    </row>
    <row r="2528" spans="1:8">
      <c r="A2528" s="9">
        <v>217914198</v>
      </c>
      <c r="B2528" s="6">
        <v>45117</v>
      </c>
      <c r="C2528" s="6">
        <v>45137</v>
      </c>
      <c r="D2528" s="1" t="s">
        <v>7</v>
      </c>
      <c r="E2528" s="1">
        <v>39</v>
      </c>
      <c r="F2528" s="1" t="s">
        <v>6</v>
      </c>
      <c r="G2528" s="44">
        <f t="shared" si="78"/>
        <v>20</v>
      </c>
      <c r="H2528" s="10" t="str">
        <f t="shared" si="79"/>
        <v>Monday</v>
      </c>
    </row>
    <row r="2529" spans="1:8">
      <c r="A2529" s="9">
        <v>217773501</v>
      </c>
      <c r="B2529" s="6">
        <v>45117</v>
      </c>
      <c r="C2529" s="6">
        <v>45117</v>
      </c>
      <c r="D2529" s="1" t="s">
        <v>7</v>
      </c>
      <c r="E2529" s="1">
        <v>39</v>
      </c>
      <c r="F2529" s="1" t="s">
        <v>6</v>
      </c>
      <c r="G2529" s="44">
        <f t="shared" si="78"/>
        <v>0</v>
      </c>
      <c r="H2529" s="10" t="str">
        <f t="shared" si="79"/>
        <v>Monday</v>
      </c>
    </row>
    <row r="2530" spans="1:8">
      <c r="A2530" s="9">
        <v>215311765</v>
      </c>
      <c r="B2530" s="6">
        <v>45118</v>
      </c>
      <c r="C2530" s="1"/>
      <c r="D2530" s="1" t="s">
        <v>7</v>
      </c>
      <c r="E2530" s="1">
        <v>39</v>
      </c>
      <c r="F2530" s="1" t="s">
        <v>6</v>
      </c>
      <c r="G2530" s="44" t="str">
        <f t="shared" si="78"/>
        <v/>
      </c>
      <c r="H2530" s="10" t="str">
        <f t="shared" si="79"/>
        <v>Tuesday</v>
      </c>
    </row>
    <row r="2531" spans="1:8">
      <c r="A2531" s="9">
        <v>218554220</v>
      </c>
      <c r="B2531" s="6">
        <v>45118</v>
      </c>
      <c r="C2531" s="1"/>
      <c r="D2531" s="1" t="s">
        <v>7</v>
      </c>
      <c r="E2531" s="1">
        <v>39</v>
      </c>
      <c r="F2531" s="1" t="s">
        <v>6</v>
      </c>
      <c r="G2531" s="44" t="str">
        <f t="shared" si="78"/>
        <v/>
      </c>
      <c r="H2531" s="10" t="str">
        <f t="shared" si="79"/>
        <v>Tuesday</v>
      </c>
    </row>
    <row r="2532" spans="1:8">
      <c r="A2532" s="9">
        <v>209743418</v>
      </c>
      <c r="B2532" s="6">
        <v>45118</v>
      </c>
      <c r="C2532" s="1"/>
      <c r="D2532" s="1" t="s">
        <v>7</v>
      </c>
      <c r="E2532" s="1">
        <v>39</v>
      </c>
      <c r="F2532" s="1" t="s">
        <v>6</v>
      </c>
      <c r="G2532" s="44" t="str">
        <f t="shared" si="78"/>
        <v/>
      </c>
      <c r="H2532" s="10" t="str">
        <f t="shared" si="79"/>
        <v>Tuesday</v>
      </c>
    </row>
    <row r="2533" spans="1:8">
      <c r="A2533" s="9">
        <v>218553244</v>
      </c>
      <c r="B2533" s="6">
        <v>45118</v>
      </c>
      <c r="C2533" s="1"/>
      <c r="D2533" s="1" t="s">
        <v>7</v>
      </c>
      <c r="E2533" s="1">
        <v>39</v>
      </c>
      <c r="F2533" s="1" t="s">
        <v>6</v>
      </c>
      <c r="G2533" s="44" t="str">
        <f t="shared" si="78"/>
        <v/>
      </c>
      <c r="H2533" s="10" t="str">
        <f t="shared" si="79"/>
        <v>Tuesday</v>
      </c>
    </row>
    <row r="2534" spans="1:8">
      <c r="A2534" s="9">
        <v>218548492</v>
      </c>
      <c r="B2534" s="6">
        <v>45118</v>
      </c>
      <c r="C2534" s="1"/>
      <c r="D2534" s="1" t="s">
        <v>7</v>
      </c>
      <c r="E2534" s="1">
        <v>39</v>
      </c>
      <c r="F2534" s="1" t="s">
        <v>6</v>
      </c>
      <c r="G2534" s="44" t="str">
        <f t="shared" si="78"/>
        <v/>
      </c>
      <c r="H2534" s="10" t="str">
        <f t="shared" si="79"/>
        <v>Tuesday</v>
      </c>
    </row>
    <row r="2535" spans="1:8">
      <c r="A2535" s="9">
        <v>217958138</v>
      </c>
      <c r="B2535" s="6">
        <v>45118</v>
      </c>
      <c r="C2535" s="1"/>
      <c r="D2535" s="1" t="s">
        <v>7</v>
      </c>
      <c r="E2535" s="1">
        <v>39</v>
      </c>
      <c r="F2535" s="1" t="s">
        <v>6</v>
      </c>
      <c r="G2535" s="44" t="str">
        <f t="shared" si="78"/>
        <v/>
      </c>
      <c r="H2535" s="10" t="str">
        <f t="shared" si="79"/>
        <v>Tuesday</v>
      </c>
    </row>
    <row r="2536" spans="1:8">
      <c r="A2536" s="9">
        <v>218365623</v>
      </c>
      <c r="B2536" s="6">
        <v>45118</v>
      </c>
      <c r="C2536" s="1"/>
      <c r="D2536" s="1" t="s">
        <v>7</v>
      </c>
      <c r="E2536" s="1">
        <v>39</v>
      </c>
      <c r="F2536" s="1" t="s">
        <v>6</v>
      </c>
      <c r="G2536" s="44" t="str">
        <f t="shared" si="78"/>
        <v/>
      </c>
      <c r="H2536" s="10" t="str">
        <f t="shared" si="79"/>
        <v>Tuesday</v>
      </c>
    </row>
    <row r="2537" spans="1:8">
      <c r="A2537" s="9">
        <v>218512642</v>
      </c>
      <c r="B2537" s="6">
        <v>45118</v>
      </c>
      <c r="C2537" s="1"/>
      <c r="D2537" s="1" t="s">
        <v>7</v>
      </c>
      <c r="E2537" s="1">
        <v>39</v>
      </c>
      <c r="F2537" s="1" t="s">
        <v>6</v>
      </c>
      <c r="G2537" s="44" t="str">
        <f t="shared" si="78"/>
        <v/>
      </c>
      <c r="H2537" s="10" t="str">
        <f t="shared" si="79"/>
        <v>Tuesday</v>
      </c>
    </row>
    <row r="2538" spans="1:8">
      <c r="A2538" s="9">
        <v>218569099</v>
      </c>
      <c r="B2538" s="6">
        <v>45118</v>
      </c>
      <c r="C2538" s="6">
        <v>45174</v>
      </c>
      <c r="D2538" s="1" t="s">
        <v>7</v>
      </c>
      <c r="E2538" s="1">
        <v>39</v>
      </c>
      <c r="F2538" s="1" t="s">
        <v>6</v>
      </c>
      <c r="G2538" s="44">
        <f t="shared" si="78"/>
        <v>56</v>
      </c>
      <c r="H2538" s="10" t="str">
        <f t="shared" si="79"/>
        <v>Tuesday</v>
      </c>
    </row>
    <row r="2539" spans="1:8">
      <c r="A2539" s="9">
        <v>218304590</v>
      </c>
      <c r="B2539" s="6">
        <v>45118</v>
      </c>
      <c r="C2539" s="6">
        <v>45168</v>
      </c>
      <c r="D2539" s="1" t="s">
        <v>7</v>
      </c>
      <c r="E2539" s="1">
        <v>39</v>
      </c>
      <c r="F2539" s="1" t="s">
        <v>6</v>
      </c>
      <c r="G2539" s="44">
        <f t="shared" si="78"/>
        <v>50</v>
      </c>
      <c r="H2539" s="10" t="str">
        <f t="shared" si="79"/>
        <v>Tuesday</v>
      </c>
    </row>
    <row r="2540" spans="1:8">
      <c r="A2540" s="9">
        <v>215390636</v>
      </c>
      <c r="B2540" s="6">
        <v>45118</v>
      </c>
      <c r="C2540" s="6">
        <v>45176</v>
      </c>
      <c r="D2540" s="1" t="s">
        <v>7</v>
      </c>
      <c r="E2540" s="1">
        <v>39</v>
      </c>
      <c r="F2540" s="1" t="s">
        <v>6</v>
      </c>
      <c r="G2540" s="44">
        <f t="shared" si="78"/>
        <v>58</v>
      </c>
      <c r="H2540" s="10" t="str">
        <f t="shared" si="79"/>
        <v>Tuesday</v>
      </c>
    </row>
    <row r="2541" spans="1:8">
      <c r="A2541" s="9">
        <v>218538760</v>
      </c>
      <c r="B2541" s="6">
        <v>45118</v>
      </c>
      <c r="C2541" s="6">
        <v>45156</v>
      </c>
      <c r="D2541" s="1" t="s">
        <v>7</v>
      </c>
      <c r="E2541" s="1">
        <v>39</v>
      </c>
      <c r="F2541" s="1" t="s">
        <v>6</v>
      </c>
      <c r="G2541" s="44">
        <f t="shared" si="78"/>
        <v>38</v>
      </c>
      <c r="H2541" s="10" t="str">
        <f t="shared" si="79"/>
        <v>Tuesday</v>
      </c>
    </row>
    <row r="2542" spans="1:8">
      <c r="A2542" s="9">
        <v>218544489</v>
      </c>
      <c r="B2542" s="6">
        <v>45118</v>
      </c>
      <c r="C2542" s="6">
        <v>45149</v>
      </c>
      <c r="D2542" s="1" t="s">
        <v>7</v>
      </c>
      <c r="E2542" s="1">
        <v>39</v>
      </c>
      <c r="F2542" s="1" t="s">
        <v>6</v>
      </c>
      <c r="G2542" s="44">
        <f t="shared" si="78"/>
        <v>31</v>
      </c>
      <c r="H2542" s="10" t="str">
        <f t="shared" si="79"/>
        <v>Tuesday</v>
      </c>
    </row>
    <row r="2543" spans="1:8">
      <c r="A2543" s="9">
        <v>180161087</v>
      </c>
      <c r="B2543" s="6">
        <v>45118</v>
      </c>
      <c r="C2543" s="6">
        <v>45148</v>
      </c>
      <c r="D2543" s="1" t="s">
        <v>7</v>
      </c>
      <c r="E2543" s="1">
        <v>39</v>
      </c>
      <c r="F2543" s="1" t="s">
        <v>6</v>
      </c>
      <c r="G2543" s="44">
        <f t="shared" si="78"/>
        <v>30</v>
      </c>
      <c r="H2543" s="10" t="str">
        <f t="shared" si="79"/>
        <v>Tuesday</v>
      </c>
    </row>
    <row r="2544" spans="1:8">
      <c r="A2544" s="9">
        <v>218484551</v>
      </c>
      <c r="B2544" s="6">
        <v>45118</v>
      </c>
      <c r="C2544" s="6">
        <v>45156</v>
      </c>
      <c r="D2544" s="1" t="s">
        <v>7</v>
      </c>
      <c r="E2544" s="1">
        <v>39</v>
      </c>
      <c r="F2544" s="1" t="s">
        <v>6</v>
      </c>
      <c r="G2544" s="44">
        <f t="shared" si="78"/>
        <v>38</v>
      </c>
      <c r="H2544" s="10" t="str">
        <f t="shared" si="79"/>
        <v>Tuesday</v>
      </c>
    </row>
    <row r="2545" spans="1:8">
      <c r="A2545" s="9">
        <v>218570737</v>
      </c>
      <c r="B2545" s="6">
        <v>45118</v>
      </c>
      <c r="C2545" s="6">
        <v>45119</v>
      </c>
      <c r="D2545" s="1" t="s">
        <v>7</v>
      </c>
      <c r="E2545" s="1">
        <v>39</v>
      </c>
      <c r="F2545" s="1" t="s">
        <v>6</v>
      </c>
      <c r="G2545" s="44">
        <f t="shared" si="78"/>
        <v>1</v>
      </c>
      <c r="H2545" s="10" t="str">
        <f t="shared" si="79"/>
        <v>Tuesday</v>
      </c>
    </row>
    <row r="2546" spans="1:8">
      <c r="A2546" s="9">
        <v>218526607</v>
      </c>
      <c r="B2546" s="6">
        <v>45119</v>
      </c>
      <c r="C2546" s="1"/>
      <c r="D2546" s="1" t="s">
        <v>7</v>
      </c>
      <c r="E2546" s="1">
        <v>39</v>
      </c>
      <c r="F2546" s="1" t="s">
        <v>6</v>
      </c>
      <c r="G2546" s="44" t="str">
        <f t="shared" si="78"/>
        <v/>
      </c>
      <c r="H2546" s="10" t="str">
        <f t="shared" si="79"/>
        <v>Wednesday</v>
      </c>
    </row>
    <row r="2547" spans="1:8">
      <c r="A2547" s="9">
        <v>211011508</v>
      </c>
      <c r="B2547" s="6">
        <v>45119</v>
      </c>
      <c r="C2547" s="1"/>
      <c r="D2547" s="1" t="s">
        <v>7</v>
      </c>
      <c r="E2547" s="1">
        <v>39</v>
      </c>
      <c r="F2547" s="1" t="s">
        <v>6</v>
      </c>
      <c r="G2547" s="44" t="str">
        <f t="shared" si="78"/>
        <v/>
      </c>
      <c r="H2547" s="10" t="str">
        <f t="shared" si="79"/>
        <v>Wednesday</v>
      </c>
    </row>
    <row r="2548" spans="1:8">
      <c r="A2548" s="9">
        <v>218610100</v>
      </c>
      <c r="B2548" s="6">
        <v>45119</v>
      </c>
      <c r="C2548" s="1"/>
      <c r="D2548" s="1" t="s">
        <v>7</v>
      </c>
      <c r="E2548" s="1">
        <v>39</v>
      </c>
      <c r="F2548" s="1" t="s">
        <v>6</v>
      </c>
      <c r="G2548" s="44" t="str">
        <f t="shared" si="78"/>
        <v/>
      </c>
      <c r="H2548" s="10" t="str">
        <f t="shared" si="79"/>
        <v>Wednesday</v>
      </c>
    </row>
    <row r="2549" spans="1:8">
      <c r="A2549" s="9">
        <v>206055148</v>
      </c>
      <c r="B2549" s="6">
        <v>45119</v>
      </c>
      <c r="C2549" s="1"/>
      <c r="D2549" s="1" t="s">
        <v>7</v>
      </c>
      <c r="E2549" s="1">
        <v>39</v>
      </c>
      <c r="F2549" s="1" t="s">
        <v>6</v>
      </c>
      <c r="G2549" s="44" t="str">
        <f t="shared" si="78"/>
        <v/>
      </c>
      <c r="H2549" s="10" t="str">
        <f t="shared" si="79"/>
        <v>Wednesday</v>
      </c>
    </row>
    <row r="2550" spans="1:8">
      <c r="A2550" s="9">
        <v>150509877</v>
      </c>
      <c r="B2550" s="6">
        <v>45119</v>
      </c>
      <c r="C2550" s="1"/>
      <c r="D2550" s="1" t="s">
        <v>7</v>
      </c>
      <c r="E2550" s="1">
        <v>39</v>
      </c>
      <c r="F2550" s="1" t="s">
        <v>6</v>
      </c>
      <c r="G2550" s="44" t="str">
        <f t="shared" si="78"/>
        <v/>
      </c>
      <c r="H2550" s="10" t="str">
        <f t="shared" si="79"/>
        <v>Wednesday</v>
      </c>
    </row>
    <row r="2551" spans="1:8">
      <c r="A2551" s="9">
        <v>218498112</v>
      </c>
      <c r="B2551" s="6">
        <v>45119</v>
      </c>
      <c r="C2551" s="1"/>
      <c r="D2551" s="1" t="s">
        <v>7</v>
      </c>
      <c r="E2551" s="1">
        <v>39</v>
      </c>
      <c r="F2551" s="1" t="s">
        <v>6</v>
      </c>
      <c r="G2551" s="44" t="str">
        <f t="shared" si="78"/>
        <v/>
      </c>
      <c r="H2551" s="10" t="str">
        <f t="shared" si="79"/>
        <v>Wednesday</v>
      </c>
    </row>
    <row r="2552" spans="1:8">
      <c r="A2552" s="9">
        <v>218624538</v>
      </c>
      <c r="B2552" s="6">
        <v>45119</v>
      </c>
      <c r="C2552" s="6">
        <v>45160</v>
      </c>
      <c r="D2552" s="1" t="s">
        <v>7</v>
      </c>
      <c r="E2552" s="1">
        <v>39</v>
      </c>
      <c r="F2552" s="1" t="s">
        <v>6</v>
      </c>
      <c r="G2552" s="44">
        <f t="shared" si="78"/>
        <v>41</v>
      </c>
      <c r="H2552" s="10" t="str">
        <f t="shared" si="79"/>
        <v>Wednesday</v>
      </c>
    </row>
    <row r="2553" spans="1:8">
      <c r="A2553" s="9">
        <v>218467300</v>
      </c>
      <c r="B2553" s="6">
        <v>45119</v>
      </c>
      <c r="C2553" s="6">
        <v>45151</v>
      </c>
      <c r="D2553" s="1" t="s">
        <v>7</v>
      </c>
      <c r="E2553" s="1">
        <v>39</v>
      </c>
      <c r="F2553" s="1" t="s">
        <v>6</v>
      </c>
      <c r="G2553" s="44">
        <f t="shared" si="78"/>
        <v>32</v>
      </c>
      <c r="H2553" s="10" t="str">
        <f t="shared" si="79"/>
        <v>Wednesday</v>
      </c>
    </row>
    <row r="2554" spans="1:8">
      <c r="A2554" s="9">
        <v>218509554</v>
      </c>
      <c r="B2554" s="6">
        <v>45119</v>
      </c>
      <c r="C2554" s="6">
        <v>45129</v>
      </c>
      <c r="D2554" s="1" t="s">
        <v>7</v>
      </c>
      <c r="E2554" s="1">
        <v>39</v>
      </c>
      <c r="F2554" s="1" t="s">
        <v>6</v>
      </c>
      <c r="G2554" s="44">
        <f t="shared" si="78"/>
        <v>10</v>
      </c>
      <c r="H2554" s="10" t="str">
        <f t="shared" si="79"/>
        <v>Wednesday</v>
      </c>
    </row>
    <row r="2555" spans="1:8">
      <c r="A2555" s="9">
        <v>218257588</v>
      </c>
      <c r="B2555" s="6">
        <v>45120</v>
      </c>
      <c r="C2555" s="1"/>
      <c r="D2555" s="1" t="s">
        <v>7</v>
      </c>
      <c r="E2555" s="1">
        <v>39</v>
      </c>
      <c r="F2555" s="1" t="s">
        <v>6</v>
      </c>
      <c r="G2555" s="44" t="str">
        <f t="shared" si="78"/>
        <v/>
      </c>
      <c r="H2555" s="10" t="str">
        <f t="shared" si="79"/>
        <v>Thursday</v>
      </c>
    </row>
    <row r="2556" spans="1:8">
      <c r="A2556" s="9">
        <v>218114325</v>
      </c>
      <c r="B2556" s="6">
        <v>45120</v>
      </c>
      <c r="C2556" s="1"/>
      <c r="D2556" s="1" t="s">
        <v>7</v>
      </c>
      <c r="E2556" s="1">
        <v>39</v>
      </c>
      <c r="F2556" s="1" t="s">
        <v>6</v>
      </c>
      <c r="G2556" s="44" t="str">
        <f t="shared" si="78"/>
        <v/>
      </c>
      <c r="H2556" s="10" t="str">
        <f t="shared" si="79"/>
        <v>Thursday</v>
      </c>
    </row>
    <row r="2557" spans="1:8">
      <c r="A2557" s="9">
        <v>218325441</v>
      </c>
      <c r="B2557" s="6">
        <v>45120</v>
      </c>
      <c r="C2557" s="1"/>
      <c r="D2557" s="1" t="s">
        <v>7</v>
      </c>
      <c r="E2557" s="1">
        <v>39</v>
      </c>
      <c r="F2557" s="1" t="s">
        <v>6</v>
      </c>
      <c r="G2557" s="44" t="str">
        <f t="shared" si="78"/>
        <v/>
      </c>
      <c r="H2557" s="10" t="str">
        <f t="shared" si="79"/>
        <v>Thursday</v>
      </c>
    </row>
    <row r="2558" spans="1:8">
      <c r="A2558" s="9">
        <v>218235047</v>
      </c>
      <c r="B2558" s="6">
        <v>45120</v>
      </c>
      <c r="C2558" s="1"/>
      <c r="D2558" s="1" t="s">
        <v>7</v>
      </c>
      <c r="E2558" s="1">
        <v>39</v>
      </c>
      <c r="F2558" s="1" t="s">
        <v>6</v>
      </c>
      <c r="G2558" s="44" t="str">
        <f t="shared" si="78"/>
        <v/>
      </c>
      <c r="H2558" s="10" t="str">
        <f t="shared" si="79"/>
        <v>Thursday</v>
      </c>
    </row>
    <row r="2559" spans="1:8">
      <c r="A2559" s="9">
        <v>218598866</v>
      </c>
      <c r="B2559" s="6">
        <v>45120</v>
      </c>
      <c r="C2559" s="1"/>
      <c r="D2559" s="1" t="s">
        <v>7</v>
      </c>
      <c r="E2559" s="1">
        <v>39</v>
      </c>
      <c r="F2559" s="1" t="s">
        <v>6</v>
      </c>
      <c r="G2559" s="44" t="str">
        <f t="shared" si="78"/>
        <v/>
      </c>
      <c r="H2559" s="10" t="str">
        <f t="shared" si="79"/>
        <v>Thursday</v>
      </c>
    </row>
    <row r="2560" spans="1:8">
      <c r="A2560" s="9">
        <v>218644881</v>
      </c>
      <c r="B2560" s="6">
        <v>45120</v>
      </c>
      <c r="C2560" s="6">
        <v>45154</v>
      </c>
      <c r="D2560" s="1" t="s">
        <v>7</v>
      </c>
      <c r="E2560" s="1">
        <v>39</v>
      </c>
      <c r="F2560" s="1" t="s">
        <v>6</v>
      </c>
      <c r="G2560" s="44">
        <f t="shared" si="78"/>
        <v>34</v>
      </c>
      <c r="H2560" s="10" t="str">
        <f t="shared" si="79"/>
        <v>Thursday</v>
      </c>
    </row>
    <row r="2561" spans="1:8">
      <c r="A2561" s="9">
        <v>218509727</v>
      </c>
      <c r="B2561" s="6">
        <v>45120</v>
      </c>
      <c r="C2561" s="6">
        <v>45147</v>
      </c>
      <c r="D2561" s="1" t="s">
        <v>7</v>
      </c>
      <c r="E2561" s="1">
        <v>39</v>
      </c>
      <c r="F2561" s="1" t="s">
        <v>6</v>
      </c>
      <c r="G2561" s="44">
        <f t="shared" si="78"/>
        <v>27</v>
      </c>
      <c r="H2561" s="10" t="str">
        <f t="shared" si="79"/>
        <v>Thursday</v>
      </c>
    </row>
    <row r="2562" spans="1:8">
      <c r="A2562" s="9">
        <v>150623785</v>
      </c>
      <c r="B2562" s="6">
        <v>45120</v>
      </c>
      <c r="C2562" s="6">
        <v>45152</v>
      </c>
      <c r="D2562" s="1" t="s">
        <v>7</v>
      </c>
      <c r="E2562" s="1">
        <v>39</v>
      </c>
      <c r="F2562" s="1" t="s">
        <v>6</v>
      </c>
      <c r="G2562" s="44">
        <f t="shared" si="78"/>
        <v>32</v>
      </c>
      <c r="H2562" s="10" t="str">
        <f t="shared" si="79"/>
        <v>Thursday</v>
      </c>
    </row>
    <row r="2563" spans="1:8">
      <c r="A2563" s="9">
        <v>218586552</v>
      </c>
      <c r="B2563" s="6">
        <v>45120</v>
      </c>
      <c r="C2563" s="6">
        <v>45152</v>
      </c>
      <c r="D2563" s="1" t="s">
        <v>7</v>
      </c>
      <c r="E2563" s="1">
        <v>39</v>
      </c>
      <c r="F2563" s="1" t="s">
        <v>6</v>
      </c>
      <c r="G2563" s="44">
        <f t="shared" ref="G2563:G2626" si="80">IF(C2563="", "", DATEDIF(B2563, C2563, "D"))</f>
        <v>32</v>
      </c>
      <c r="H2563" s="10" t="str">
        <f t="shared" ref="H2563:H2626" si="81">TEXT(B2563, "dddd")</f>
        <v>Thursday</v>
      </c>
    </row>
    <row r="2564" spans="1:8">
      <c r="A2564" s="9">
        <v>218514844</v>
      </c>
      <c r="B2564" s="6">
        <v>45120</v>
      </c>
      <c r="C2564" s="6">
        <v>45124</v>
      </c>
      <c r="D2564" s="1" t="s">
        <v>7</v>
      </c>
      <c r="E2564" s="1">
        <v>39</v>
      </c>
      <c r="F2564" s="1" t="s">
        <v>6</v>
      </c>
      <c r="G2564" s="44">
        <f t="shared" si="80"/>
        <v>4</v>
      </c>
      <c r="H2564" s="10" t="str">
        <f t="shared" si="81"/>
        <v>Thursday</v>
      </c>
    </row>
    <row r="2565" spans="1:8">
      <c r="A2565" s="9">
        <v>218694806</v>
      </c>
      <c r="B2565" s="6">
        <v>45121</v>
      </c>
      <c r="C2565" s="1"/>
      <c r="D2565" s="1" t="s">
        <v>7</v>
      </c>
      <c r="E2565" s="1">
        <v>39</v>
      </c>
      <c r="F2565" s="1" t="s">
        <v>6</v>
      </c>
      <c r="G2565" s="44" t="str">
        <f t="shared" si="80"/>
        <v/>
      </c>
      <c r="H2565" s="10" t="str">
        <f t="shared" si="81"/>
        <v>Friday</v>
      </c>
    </row>
    <row r="2566" spans="1:8">
      <c r="A2566" s="9">
        <v>218678174</v>
      </c>
      <c r="B2566" s="6">
        <v>45121</v>
      </c>
      <c r="C2566" s="1"/>
      <c r="D2566" s="1" t="s">
        <v>7</v>
      </c>
      <c r="E2566" s="1">
        <v>39</v>
      </c>
      <c r="F2566" s="1" t="s">
        <v>6</v>
      </c>
      <c r="G2566" s="44" t="str">
        <f t="shared" si="80"/>
        <v/>
      </c>
      <c r="H2566" s="10" t="str">
        <f t="shared" si="81"/>
        <v>Friday</v>
      </c>
    </row>
    <row r="2567" spans="1:8">
      <c r="A2567" s="9">
        <v>218695487</v>
      </c>
      <c r="B2567" s="6">
        <v>45121</v>
      </c>
      <c r="C2567" s="6">
        <v>45177</v>
      </c>
      <c r="D2567" s="1" t="s">
        <v>7</v>
      </c>
      <c r="E2567" s="1">
        <v>39</v>
      </c>
      <c r="F2567" s="1" t="s">
        <v>6</v>
      </c>
      <c r="G2567" s="44">
        <f t="shared" si="80"/>
        <v>56</v>
      </c>
      <c r="H2567" s="10" t="str">
        <f t="shared" si="81"/>
        <v>Friday</v>
      </c>
    </row>
    <row r="2568" spans="1:8">
      <c r="A2568" s="9">
        <v>218678790</v>
      </c>
      <c r="B2568" s="6">
        <v>45121</v>
      </c>
      <c r="C2568" s="6">
        <v>45159</v>
      </c>
      <c r="D2568" s="1" t="s">
        <v>7</v>
      </c>
      <c r="E2568" s="1">
        <v>39</v>
      </c>
      <c r="F2568" s="1" t="s">
        <v>6</v>
      </c>
      <c r="G2568" s="44">
        <f t="shared" si="80"/>
        <v>38</v>
      </c>
      <c r="H2568" s="10" t="str">
        <f t="shared" si="81"/>
        <v>Friday</v>
      </c>
    </row>
    <row r="2569" spans="1:8">
      <c r="A2569" s="9">
        <v>217499098</v>
      </c>
      <c r="B2569" s="6">
        <v>45121</v>
      </c>
      <c r="C2569" s="6">
        <v>45159</v>
      </c>
      <c r="D2569" s="1" t="s">
        <v>7</v>
      </c>
      <c r="E2569" s="1">
        <v>39</v>
      </c>
      <c r="F2569" s="1" t="s">
        <v>6</v>
      </c>
      <c r="G2569" s="44">
        <f t="shared" si="80"/>
        <v>38</v>
      </c>
      <c r="H2569" s="10" t="str">
        <f t="shared" si="81"/>
        <v>Friday</v>
      </c>
    </row>
    <row r="2570" spans="1:8">
      <c r="A2570" s="9">
        <v>217976753</v>
      </c>
      <c r="B2570" s="6">
        <v>45121</v>
      </c>
      <c r="C2570" s="6">
        <v>45159</v>
      </c>
      <c r="D2570" s="1" t="s">
        <v>7</v>
      </c>
      <c r="E2570" s="1">
        <v>39</v>
      </c>
      <c r="F2570" s="1" t="s">
        <v>6</v>
      </c>
      <c r="G2570" s="44">
        <f t="shared" si="80"/>
        <v>38</v>
      </c>
      <c r="H2570" s="10" t="str">
        <f t="shared" si="81"/>
        <v>Friday</v>
      </c>
    </row>
    <row r="2571" spans="1:8">
      <c r="A2571" s="9">
        <v>199359226</v>
      </c>
      <c r="B2571" s="6">
        <v>45121</v>
      </c>
      <c r="C2571" s="6">
        <v>45122</v>
      </c>
      <c r="D2571" s="1" t="s">
        <v>7</v>
      </c>
      <c r="E2571" s="1">
        <v>39</v>
      </c>
      <c r="F2571" s="1" t="s">
        <v>6</v>
      </c>
      <c r="G2571" s="44">
        <f t="shared" si="80"/>
        <v>1</v>
      </c>
      <c r="H2571" s="10" t="str">
        <f t="shared" si="81"/>
        <v>Friday</v>
      </c>
    </row>
    <row r="2572" spans="1:8">
      <c r="A2572" s="9">
        <v>121814098</v>
      </c>
      <c r="B2572" s="6">
        <v>45122</v>
      </c>
      <c r="C2572" s="1"/>
      <c r="D2572" s="1" t="s">
        <v>7</v>
      </c>
      <c r="E2572" s="1">
        <v>39</v>
      </c>
      <c r="F2572" s="1" t="s">
        <v>6</v>
      </c>
      <c r="G2572" s="44" t="str">
        <f t="shared" si="80"/>
        <v/>
      </c>
      <c r="H2572" s="10" t="str">
        <f t="shared" si="81"/>
        <v>Saturday</v>
      </c>
    </row>
    <row r="2573" spans="1:8">
      <c r="A2573" s="9">
        <v>215605718</v>
      </c>
      <c r="B2573" s="6">
        <v>45122</v>
      </c>
      <c r="C2573" s="1"/>
      <c r="D2573" s="1" t="s">
        <v>7</v>
      </c>
      <c r="E2573" s="1">
        <v>39</v>
      </c>
      <c r="F2573" s="1" t="s">
        <v>6</v>
      </c>
      <c r="G2573" s="44" t="str">
        <f t="shared" si="80"/>
        <v/>
      </c>
      <c r="H2573" s="10" t="str">
        <f t="shared" si="81"/>
        <v>Saturday</v>
      </c>
    </row>
    <row r="2574" spans="1:8">
      <c r="A2574" s="9">
        <v>218325705</v>
      </c>
      <c r="B2574" s="6">
        <v>45122</v>
      </c>
      <c r="C2574" s="1"/>
      <c r="D2574" s="1" t="s">
        <v>7</v>
      </c>
      <c r="E2574" s="1">
        <v>39</v>
      </c>
      <c r="F2574" s="1" t="s">
        <v>6</v>
      </c>
      <c r="G2574" s="44" t="str">
        <f t="shared" si="80"/>
        <v/>
      </c>
      <c r="H2574" s="10" t="str">
        <f t="shared" si="81"/>
        <v>Saturday</v>
      </c>
    </row>
    <row r="2575" spans="1:8">
      <c r="A2575" s="9">
        <v>208598253</v>
      </c>
      <c r="B2575" s="6">
        <v>45122</v>
      </c>
      <c r="C2575" s="1"/>
      <c r="D2575" s="1" t="s">
        <v>7</v>
      </c>
      <c r="E2575" s="1">
        <v>39</v>
      </c>
      <c r="F2575" s="1" t="s">
        <v>6</v>
      </c>
      <c r="G2575" s="44" t="str">
        <f t="shared" si="80"/>
        <v/>
      </c>
      <c r="H2575" s="10" t="str">
        <f t="shared" si="81"/>
        <v>Saturday</v>
      </c>
    </row>
    <row r="2576" spans="1:8">
      <c r="A2576" s="9">
        <v>218655628</v>
      </c>
      <c r="B2576" s="6">
        <v>45122</v>
      </c>
      <c r="C2576" s="1"/>
      <c r="D2576" s="1" t="s">
        <v>7</v>
      </c>
      <c r="E2576" s="1">
        <v>39</v>
      </c>
      <c r="F2576" s="1" t="s">
        <v>6</v>
      </c>
      <c r="G2576" s="44" t="str">
        <f t="shared" si="80"/>
        <v/>
      </c>
      <c r="H2576" s="10" t="str">
        <f t="shared" si="81"/>
        <v>Saturday</v>
      </c>
    </row>
    <row r="2577" spans="1:8">
      <c r="A2577" s="9">
        <v>185602413</v>
      </c>
      <c r="B2577" s="6">
        <v>45122</v>
      </c>
      <c r="C2577" s="6">
        <v>45123</v>
      </c>
      <c r="D2577" s="1" t="s">
        <v>7</v>
      </c>
      <c r="E2577" s="1">
        <v>39</v>
      </c>
      <c r="F2577" s="1" t="s">
        <v>6</v>
      </c>
      <c r="G2577" s="44">
        <f t="shared" si="80"/>
        <v>1</v>
      </c>
      <c r="H2577" s="10" t="str">
        <f t="shared" si="81"/>
        <v>Saturday</v>
      </c>
    </row>
    <row r="2578" spans="1:8">
      <c r="A2578" s="9">
        <v>154082747</v>
      </c>
      <c r="B2578" s="6">
        <v>45122</v>
      </c>
      <c r="C2578" s="6">
        <v>45130</v>
      </c>
      <c r="D2578" s="1" t="s">
        <v>7</v>
      </c>
      <c r="E2578" s="1">
        <v>39</v>
      </c>
      <c r="F2578" s="1" t="s">
        <v>6</v>
      </c>
      <c r="G2578" s="44">
        <f t="shared" si="80"/>
        <v>8</v>
      </c>
      <c r="H2578" s="10" t="str">
        <f t="shared" si="81"/>
        <v>Saturday</v>
      </c>
    </row>
    <row r="2579" spans="1:8">
      <c r="A2579" s="9">
        <v>218017402</v>
      </c>
      <c r="B2579" s="6">
        <v>45122</v>
      </c>
      <c r="C2579" s="6">
        <v>45160</v>
      </c>
      <c r="D2579" s="1" t="s">
        <v>7</v>
      </c>
      <c r="E2579" s="1">
        <v>39</v>
      </c>
      <c r="F2579" s="1" t="s">
        <v>6</v>
      </c>
      <c r="G2579" s="44">
        <f t="shared" si="80"/>
        <v>38</v>
      </c>
      <c r="H2579" s="10" t="str">
        <f t="shared" si="81"/>
        <v>Saturday</v>
      </c>
    </row>
    <row r="2580" spans="1:8">
      <c r="A2580" s="9">
        <v>218792880</v>
      </c>
      <c r="B2580" s="6">
        <v>45123</v>
      </c>
      <c r="C2580" s="1"/>
      <c r="D2580" s="1" t="s">
        <v>7</v>
      </c>
      <c r="E2580" s="1">
        <v>39</v>
      </c>
      <c r="F2580" s="1" t="s">
        <v>6</v>
      </c>
      <c r="G2580" s="44" t="str">
        <f t="shared" si="80"/>
        <v/>
      </c>
      <c r="H2580" s="10" t="str">
        <f t="shared" si="81"/>
        <v>Sunday</v>
      </c>
    </row>
    <row r="2581" spans="1:8">
      <c r="A2581" s="9">
        <v>218761808</v>
      </c>
      <c r="B2581" s="6">
        <v>45123</v>
      </c>
      <c r="C2581" s="1"/>
      <c r="D2581" s="1" t="s">
        <v>7</v>
      </c>
      <c r="E2581" s="1">
        <v>39</v>
      </c>
      <c r="F2581" s="1" t="s">
        <v>6</v>
      </c>
      <c r="G2581" s="44" t="str">
        <f t="shared" si="80"/>
        <v/>
      </c>
      <c r="H2581" s="10" t="str">
        <f t="shared" si="81"/>
        <v>Sunday</v>
      </c>
    </row>
    <row r="2582" spans="1:8">
      <c r="A2582" s="9">
        <v>149303812</v>
      </c>
      <c r="B2582" s="6">
        <v>45123</v>
      </c>
      <c r="C2582" s="1"/>
      <c r="D2582" s="1" t="s">
        <v>7</v>
      </c>
      <c r="E2582" s="1">
        <v>39</v>
      </c>
      <c r="F2582" s="1" t="s">
        <v>6</v>
      </c>
      <c r="G2582" s="44" t="str">
        <f t="shared" si="80"/>
        <v/>
      </c>
      <c r="H2582" s="10" t="str">
        <f t="shared" si="81"/>
        <v>Sunday</v>
      </c>
    </row>
    <row r="2583" spans="1:8">
      <c r="A2583" s="9">
        <v>216144261</v>
      </c>
      <c r="B2583" s="6">
        <v>45123</v>
      </c>
      <c r="C2583" s="1"/>
      <c r="D2583" s="1" t="s">
        <v>7</v>
      </c>
      <c r="E2583" s="1">
        <v>39</v>
      </c>
      <c r="F2583" s="1" t="s">
        <v>6</v>
      </c>
      <c r="G2583" s="44" t="str">
        <f t="shared" si="80"/>
        <v/>
      </c>
      <c r="H2583" s="10" t="str">
        <f t="shared" si="81"/>
        <v>Sunday</v>
      </c>
    </row>
    <row r="2584" spans="1:8">
      <c r="A2584" s="9">
        <v>215976742</v>
      </c>
      <c r="B2584" s="6">
        <v>45123</v>
      </c>
      <c r="C2584" s="1"/>
      <c r="D2584" s="1" t="s">
        <v>7</v>
      </c>
      <c r="E2584" s="1">
        <v>39</v>
      </c>
      <c r="F2584" s="1" t="s">
        <v>6</v>
      </c>
      <c r="G2584" s="44" t="str">
        <f t="shared" si="80"/>
        <v/>
      </c>
      <c r="H2584" s="10" t="str">
        <f t="shared" si="81"/>
        <v>Sunday</v>
      </c>
    </row>
    <row r="2585" spans="1:8">
      <c r="A2585" s="9">
        <v>218617631</v>
      </c>
      <c r="B2585" s="6">
        <v>45123</v>
      </c>
      <c r="C2585" s="6">
        <v>45161</v>
      </c>
      <c r="D2585" s="1" t="s">
        <v>7</v>
      </c>
      <c r="E2585" s="1">
        <v>39</v>
      </c>
      <c r="F2585" s="1" t="s">
        <v>6</v>
      </c>
      <c r="G2585" s="44">
        <f t="shared" si="80"/>
        <v>38</v>
      </c>
      <c r="H2585" s="10" t="str">
        <f t="shared" si="81"/>
        <v>Sunday</v>
      </c>
    </row>
    <row r="2586" spans="1:8">
      <c r="A2586" s="9">
        <v>218770458</v>
      </c>
      <c r="B2586" s="6">
        <v>45123</v>
      </c>
      <c r="C2586" s="6">
        <v>45141</v>
      </c>
      <c r="D2586" s="1" t="s">
        <v>7</v>
      </c>
      <c r="E2586" s="1">
        <v>39</v>
      </c>
      <c r="F2586" s="1" t="s">
        <v>6</v>
      </c>
      <c r="G2586" s="44">
        <f t="shared" si="80"/>
        <v>18</v>
      </c>
      <c r="H2586" s="10" t="str">
        <f t="shared" si="81"/>
        <v>Sunday</v>
      </c>
    </row>
    <row r="2587" spans="1:8">
      <c r="A2587" s="9">
        <v>218720472</v>
      </c>
      <c r="B2587" s="6">
        <v>45123</v>
      </c>
      <c r="C2587" s="6">
        <v>45157</v>
      </c>
      <c r="D2587" s="1" t="s">
        <v>7</v>
      </c>
      <c r="E2587" s="1">
        <v>39</v>
      </c>
      <c r="F2587" s="1" t="s">
        <v>6</v>
      </c>
      <c r="G2587" s="44">
        <f t="shared" si="80"/>
        <v>34</v>
      </c>
      <c r="H2587" s="10" t="str">
        <f t="shared" si="81"/>
        <v>Sunday</v>
      </c>
    </row>
    <row r="2588" spans="1:8">
      <c r="A2588" s="9">
        <v>218846909</v>
      </c>
      <c r="B2588" s="6">
        <v>45124</v>
      </c>
      <c r="C2588" s="1"/>
      <c r="D2588" s="1" t="s">
        <v>7</v>
      </c>
      <c r="E2588" s="1">
        <v>39</v>
      </c>
      <c r="F2588" s="1" t="s">
        <v>6</v>
      </c>
      <c r="G2588" s="44" t="str">
        <f t="shared" si="80"/>
        <v/>
      </c>
      <c r="H2588" s="10" t="str">
        <f t="shared" si="81"/>
        <v>Monday</v>
      </c>
    </row>
    <row r="2589" spans="1:8">
      <c r="A2589" s="9">
        <v>214714278</v>
      </c>
      <c r="B2589" s="6">
        <v>45124</v>
      </c>
      <c r="C2589" s="1"/>
      <c r="D2589" s="1" t="s">
        <v>7</v>
      </c>
      <c r="E2589" s="1">
        <v>39</v>
      </c>
      <c r="F2589" s="1" t="s">
        <v>6</v>
      </c>
      <c r="G2589" s="44" t="str">
        <f t="shared" si="80"/>
        <v/>
      </c>
      <c r="H2589" s="10" t="str">
        <f t="shared" si="81"/>
        <v>Monday</v>
      </c>
    </row>
    <row r="2590" spans="1:8">
      <c r="A2590" s="9">
        <v>218529158</v>
      </c>
      <c r="B2590" s="6">
        <v>45124</v>
      </c>
      <c r="C2590" s="1"/>
      <c r="D2590" s="1" t="s">
        <v>7</v>
      </c>
      <c r="E2590" s="1">
        <v>39</v>
      </c>
      <c r="F2590" s="1" t="s">
        <v>6</v>
      </c>
      <c r="G2590" s="44" t="str">
        <f t="shared" si="80"/>
        <v/>
      </c>
      <c r="H2590" s="10" t="str">
        <f t="shared" si="81"/>
        <v>Monday</v>
      </c>
    </row>
    <row r="2591" spans="1:8">
      <c r="A2591" s="9">
        <v>218837719</v>
      </c>
      <c r="B2591" s="6">
        <v>45124</v>
      </c>
      <c r="C2591" s="1"/>
      <c r="D2591" s="1" t="s">
        <v>7</v>
      </c>
      <c r="E2591" s="1">
        <v>39</v>
      </c>
      <c r="F2591" s="1" t="s">
        <v>6</v>
      </c>
      <c r="G2591" s="44" t="str">
        <f t="shared" si="80"/>
        <v/>
      </c>
      <c r="H2591" s="10" t="str">
        <f t="shared" si="81"/>
        <v>Monday</v>
      </c>
    </row>
    <row r="2592" spans="1:8">
      <c r="A2592" s="9">
        <v>194367477</v>
      </c>
      <c r="B2592" s="6">
        <v>45124</v>
      </c>
      <c r="C2592" s="1"/>
      <c r="D2592" s="1" t="s">
        <v>7</v>
      </c>
      <c r="E2592" s="1">
        <v>39</v>
      </c>
      <c r="F2592" s="1" t="s">
        <v>6</v>
      </c>
      <c r="G2592" s="44" t="str">
        <f t="shared" si="80"/>
        <v/>
      </c>
      <c r="H2592" s="10" t="str">
        <f t="shared" si="81"/>
        <v>Monday</v>
      </c>
    </row>
    <row r="2593" spans="1:8">
      <c r="A2593" s="9">
        <v>218300066</v>
      </c>
      <c r="B2593" s="6">
        <v>45124</v>
      </c>
      <c r="C2593" s="1"/>
      <c r="D2593" s="1" t="s">
        <v>7</v>
      </c>
      <c r="E2593" s="1">
        <v>39</v>
      </c>
      <c r="F2593" s="1" t="s">
        <v>6</v>
      </c>
      <c r="G2593" s="44" t="str">
        <f t="shared" si="80"/>
        <v/>
      </c>
      <c r="H2593" s="10" t="str">
        <f t="shared" si="81"/>
        <v>Monday</v>
      </c>
    </row>
    <row r="2594" spans="1:8">
      <c r="A2594" s="9">
        <v>218553583</v>
      </c>
      <c r="B2594" s="6">
        <v>45124</v>
      </c>
      <c r="C2594" s="1"/>
      <c r="D2594" s="1" t="s">
        <v>7</v>
      </c>
      <c r="E2594" s="1">
        <v>39</v>
      </c>
      <c r="F2594" s="1" t="s">
        <v>6</v>
      </c>
      <c r="G2594" s="44" t="str">
        <f t="shared" si="80"/>
        <v/>
      </c>
      <c r="H2594" s="10" t="str">
        <f t="shared" si="81"/>
        <v>Monday</v>
      </c>
    </row>
    <row r="2595" spans="1:8">
      <c r="A2595" s="9">
        <v>149657162</v>
      </c>
      <c r="B2595" s="6">
        <v>45124</v>
      </c>
      <c r="C2595" s="6">
        <v>45125</v>
      </c>
      <c r="D2595" s="1" t="s">
        <v>7</v>
      </c>
      <c r="E2595" s="1">
        <v>39</v>
      </c>
      <c r="F2595" s="1" t="s">
        <v>6</v>
      </c>
      <c r="G2595" s="44">
        <f t="shared" si="80"/>
        <v>1</v>
      </c>
      <c r="H2595" s="10" t="str">
        <f t="shared" si="81"/>
        <v>Monday</v>
      </c>
    </row>
    <row r="2596" spans="1:8">
      <c r="A2596" s="9">
        <v>125920876</v>
      </c>
      <c r="B2596" s="6">
        <v>45124</v>
      </c>
      <c r="C2596" s="6">
        <v>45162</v>
      </c>
      <c r="D2596" s="1" t="s">
        <v>7</v>
      </c>
      <c r="E2596" s="1">
        <v>39</v>
      </c>
      <c r="F2596" s="1" t="s">
        <v>6</v>
      </c>
      <c r="G2596" s="44">
        <f t="shared" si="80"/>
        <v>38</v>
      </c>
      <c r="H2596" s="10" t="str">
        <f t="shared" si="81"/>
        <v>Monday</v>
      </c>
    </row>
    <row r="2597" spans="1:8">
      <c r="A2597" s="9">
        <v>217403566</v>
      </c>
      <c r="B2597" s="6">
        <v>45124</v>
      </c>
      <c r="C2597" s="6">
        <v>45152</v>
      </c>
      <c r="D2597" s="1" t="s">
        <v>7</v>
      </c>
      <c r="E2597" s="1">
        <v>39</v>
      </c>
      <c r="F2597" s="1" t="s">
        <v>6</v>
      </c>
      <c r="G2597" s="44">
        <f t="shared" si="80"/>
        <v>28</v>
      </c>
      <c r="H2597" s="10" t="str">
        <f t="shared" si="81"/>
        <v>Monday</v>
      </c>
    </row>
    <row r="2598" spans="1:8">
      <c r="A2598" s="9">
        <v>218677370</v>
      </c>
      <c r="B2598" s="6">
        <v>45124</v>
      </c>
      <c r="C2598" s="6">
        <v>45153</v>
      </c>
      <c r="D2598" s="1" t="s">
        <v>7</v>
      </c>
      <c r="E2598" s="1">
        <v>39</v>
      </c>
      <c r="F2598" s="1" t="s">
        <v>6</v>
      </c>
      <c r="G2598" s="44">
        <f t="shared" si="80"/>
        <v>29</v>
      </c>
      <c r="H2598" s="10" t="str">
        <f t="shared" si="81"/>
        <v>Monday</v>
      </c>
    </row>
    <row r="2599" spans="1:8">
      <c r="A2599" s="9">
        <v>218598875</v>
      </c>
      <c r="B2599" s="6">
        <v>45124</v>
      </c>
      <c r="C2599" s="6">
        <v>45162</v>
      </c>
      <c r="D2599" s="1" t="s">
        <v>7</v>
      </c>
      <c r="E2599" s="1">
        <v>39</v>
      </c>
      <c r="F2599" s="1" t="s">
        <v>6</v>
      </c>
      <c r="G2599" s="44">
        <f t="shared" si="80"/>
        <v>38</v>
      </c>
      <c r="H2599" s="10" t="str">
        <f t="shared" si="81"/>
        <v>Monday</v>
      </c>
    </row>
    <row r="2600" spans="1:8">
      <c r="A2600" s="9">
        <v>203116529</v>
      </c>
      <c r="B2600" s="6">
        <v>45124</v>
      </c>
      <c r="C2600" s="6">
        <v>45124</v>
      </c>
      <c r="D2600" s="1" t="s">
        <v>7</v>
      </c>
      <c r="E2600" s="1">
        <v>39</v>
      </c>
      <c r="F2600" s="1" t="s">
        <v>6</v>
      </c>
      <c r="G2600" s="44">
        <f t="shared" si="80"/>
        <v>0</v>
      </c>
      <c r="H2600" s="10" t="str">
        <f t="shared" si="81"/>
        <v>Monday</v>
      </c>
    </row>
    <row r="2601" spans="1:8">
      <c r="A2601" s="9">
        <v>218808831</v>
      </c>
      <c r="B2601" s="6">
        <v>45124</v>
      </c>
      <c r="C2601" s="6">
        <v>45170</v>
      </c>
      <c r="D2601" s="1" t="s">
        <v>7</v>
      </c>
      <c r="E2601" s="1">
        <v>39</v>
      </c>
      <c r="F2601" s="1" t="s">
        <v>6</v>
      </c>
      <c r="G2601" s="44">
        <f t="shared" si="80"/>
        <v>46</v>
      </c>
      <c r="H2601" s="10" t="str">
        <f t="shared" si="81"/>
        <v>Monday</v>
      </c>
    </row>
    <row r="2602" spans="1:8">
      <c r="A2602" s="9">
        <v>218844240</v>
      </c>
      <c r="B2602" s="6">
        <v>45125</v>
      </c>
      <c r="C2602" s="1"/>
      <c r="D2602" s="1" t="s">
        <v>7</v>
      </c>
      <c r="E2602" s="1">
        <v>39</v>
      </c>
      <c r="F2602" s="1" t="s">
        <v>6</v>
      </c>
      <c r="G2602" s="44" t="str">
        <f t="shared" si="80"/>
        <v/>
      </c>
      <c r="H2602" s="10" t="str">
        <f t="shared" si="81"/>
        <v>Tuesday</v>
      </c>
    </row>
    <row r="2603" spans="1:8">
      <c r="A2603" s="9">
        <v>218863419</v>
      </c>
      <c r="B2603" s="6">
        <v>45125</v>
      </c>
      <c r="C2603" s="1"/>
      <c r="D2603" s="1" t="s">
        <v>7</v>
      </c>
      <c r="E2603" s="1">
        <v>39</v>
      </c>
      <c r="F2603" s="1" t="s">
        <v>6</v>
      </c>
      <c r="G2603" s="44" t="str">
        <f t="shared" si="80"/>
        <v/>
      </c>
      <c r="H2603" s="10" t="str">
        <f t="shared" si="81"/>
        <v>Tuesday</v>
      </c>
    </row>
    <row r="2604" spans="1:8">
      <c r="A2604" s="9">
        <v>218445704</v>
      </c>
      <c r="B2604" s="6">
        <v>45125</v>
      </c>
      <c r="C2604" s="1"/>
      <c r="D2604" s="1" t="s">
        <v>7</v>
      </c>
      <c r="E2604" s="1">
        <v>39</v>
      </c>
      <c r="F2604" s="1" t="s">
        <v>6</v>
      </c>
      <c r="G2604" s="44" t="str">
        <f t="shared" si="80"/>
        <v/>
      </c>
      <c r="H2604" s="10" t="str">
        <f t="shared" si="81"/>
        <v>Tuesday</v>
      </c>
    </row>
    <row r="2605" spans="1:8">
      <c r="A2605" s="9">
        <v>149411976</v>
      </c>
      <c r="B2605" s="6">
        <v>45125</v>
      </c>
      <c r="C2605" s="1"/>
      <c r="D2605" s="1" t="s">
        <v>7</v>
      </c>
      <c r="E2605" s="1">
        <v>39</v>
      </c>
      <c r="F2605" s="1" t="s">
        <v>6</v>
      </c>
      <c r="G2605" s="44" t="str">
        <f t="shared" si="80"/>
        <v/>
      </c>
      <c r="H2605" s="10" t="str">
        <f t="shared" si="81"/>
        <v>Tuesday</v>
      </c>
    </row>
    <row r="2606" spans="1:8">
      <c r="A2606" s="9">
        <v>218862674</v>
      </c>
      <c r="B2606" s="6">
        <v>45125</v>
      </c>
      <c r="C2606" s="1"/>
      <c r="D2606" s="1" t="s">
        <v>7</v>
      </c>
      <c r="E2606" s="1">
        <v>39</v>
      </c>
      <c r="F2606" s="1" t="s">
        <v>6</v>
      </c>
      <c r="G2606" s="44" t="str">
        <f t="shared" si="80"/>
        <v/>
      </c>
      <c r="H2606" s="10" t="str">
        <f t="shared" si="81"/>
        <v>Tuesday</v>
      </c>
    </row>
    <row r="2607" spans="1:8">
      <c r="A2607" s="9">
        <v>218851122</v>
      </c>
      <c r="B2607" s="6">
        <v>45125</v>
      </c>
      <c r="C2607" s="1"/>
      <c r="D2607" s="1" t="s">
        <v>7</v>
      </c>
      <c r="E2607" s="1">
        <v>39</v>
      </c>
      <c r="F2607" s="1" t="s">
        <v>6</v>
      </c>
      <c r="G2607" s="44" t="str">
        <f t="shared" si="80"/>
        <v/>
      </c>
      <c r="H2607" s="10" t="str">
        <f t="shared" si="81"/>
        <v>Tuesday</v>
      </c>
    </row>
    <row r="2608" spans="1:8">
      <c r="A2608" s="9">
        <v>153402484</v>
      </c>
      <c r="B2608" s="6">
        <v>45125</v>
      </c>
      <c r="C2608" s="6">
        <v>45170</v>
      </c>
      <c r="D2608" s="1" t="s">
        <v>7</v>
      </c>
      <c r="E2608" s="1">
        <v>39</v>
      </c>
      <c r="F2608" s="1" t="s">
        <v>6</v>
      </c>
      <c r="G2608" s="44">
        <f t="shared" si="80"/>
        <v>45</v>
      </c>
      <c r="H2608" s="10" t="str">
        <f t="shared" si="81"/>
        <v>Tuesday</v>
      </c>
    </row>
    <row r="2609" spans="1:8">
      <c r="A2609" s="9">
        <v>218848831</v>
      </c>
      <c r="B2609" s="6">
        <v>45125</v>
      </c>
      <c r="C2609" s="6">
        <v>45164</v>
      </c>
      <c r="D2609" s="1" t="s">
        <v>7</v>
      </c>
      <c r="E2609" s="1">
        <v>39</v>
      </c>
      <c r="F2609" s="1" t="s">
        <v>6</v>
      </c>
      <c r="G2609" s="44">
        <f t="shared" si="80"/>
        <v>39</v>
      </c>
      <c r="H2609" s="10" t="str">
        <f t="shared" si="81"/>
        <v>Tuesday</v>
      </c>
    </row>
    <row r="2610" spans="1:8">
      <c r="A2610" s="9">
        <v>159639128</v>
      </c>
      <c r="B2610" s="6">
        <v>45125</v>
      </c>
      <c r="C2610" s="6">
        <v>45125</v>
      </c>
      <c r="D2610" s="1" t="s">
        <v>7</v>
      </c>
      <c r="E2610" s="1">
        <v>39</v>
      </c>
      <c r="F2610" s="1" t="s">
        <v>6</v>
      </c>
      <c r="G2610" s="44">
        <f t="shared" si="80"/>
        <v>0</v>
      </c>
      <c r="H2610" s="10" t="str">
        <f t="shared" si="81"/>
        <v>Tuesday</v>
      </c>
    </row>
    <row r="2611" spans="1:8">
      <c r="A2611" s="9">
        <v>214638700</v>
      </c>
      <c r="B2611" s="6">
        <v>45125</v>
      </c>
      <c r="C2611" s="6">
        <v>45126</v>
      </c>
      <c r="D2611" s="1" t="s">
        <v>8</v>
      </c>
      <c r="E2611" s="1">
        <v>39</v>
      </c>
      <c r="F2611" s="1" t="s">
        <v>6</v>
      </c>
      <c r="G2611" s="44">
        <f t="shared" si="80"/>
        <v>1</v>
      </c>
      <c r="H2611" s="10" t="str">
        <f t="shared" si="81"/>
        <v>Tuesday</v>
      </c>
    </row>
    <row r="2612" spans="1:8">
      <c r="A2612" s="9">
        <v>218850789</v>
      </c>
      <c r="B2612" s="6">
        <v>45125</v>
      </c>
      <c r="C2612" s="6">
        <v>45156</v>
      </c>
      <c r="D2612" s="1" t="s">
        <v>7</v>
      </c>
      <c r="E2612" s="1">
        <v>39</v>
      </c>
      <c r="F2612" s="1" t="s">
        <v>6</v>
      </c>
      <c r="G2612" s="44">
        <f t="shared" si="80"/>
        <v>31</v>
      </c>
      <c r="H2612" s="10" t="str">
        <f t="shared" si="81"/>
        <v>Tuesday</v>
      </c>
    </row>
    <row r="2613" spans="1:8">
      <c r="A2613" s="9">
        <v>155510287</v>
      </c>
      <c r="B2613" s="6">
        <v>45125</v>
      </c>
      <c r="C2613" s="6">
        <v>45150</v>
      </c>
      <c r="D2613" s="1" t="s">
        <v>7</v>
      </c>
      <c r="E2613" s="1">
        <v>39</v>
      </c>
      <c r="F2613" s="1" t="s">
        <v>6</v>
      </c>
      <c r="G2613" s="44">
        <f t="shared" si="80"/>
        <v>25</v>
      </c>
      <c r="H2613" s="10" t="str">
        <f t="shared" si="81"/>
        <v>Tuesday</v>
      </c>
    </row>
    <row r="2614" spans="1:8">
      <c r="A2614" s="9">
        <v>218677703</v>
      </c>
      <c r="B2614" s="6">
        <v>45125</v>
      </c>
      <c r="C2614" s="6">
        <v>45131</v>
      </c>
      <c r="D2614" s="1" t="s">
        <v>7</v>
      </c>
      <c r="E2614" s="1">
        <v>39</v>
      </c>
      <c r="F2614" s="1" t="s">
        <v>6</v>
      </c>
      <c r="G2614" s="44">
        <f t="shared" si="80"/>
        <v>6</v>
      </c>
      <c r="H2614" s="10" t="str">
        <f t="shared" si="81"/>
        <v>Tuesday</v>
      </c>
    </row>
    <row r="2615" spans="1:8">
      <c r="A2615" s="9">
        <v>218878930</v>
      </c>
      <c r="B2615" s="6">
        <v>45125</v>
      </c>
      <c r="C2615" s="6">
        <v>45127</v>
      </c>
      <c r="D2615" s="1" t="s">
        <v>7</v>
      </c>
      <c r="E2615" s="1">
        <v>39</v>
      </c>
      <c r="F2615" s="1" t="s">
        <v>6</v>
      </c>
      <c r="G2615" s="44">
        <f t="shared" si="80"/>
        <v>2</v>
      </c>
      <c r="H2615" s="10" t="str">
        <f t="shared" si="81"/>
        <v>Tuesday</v>
      </c>
    </row>
    <row r="2616" spans="1:8">
      <c r="A2616" s="9">
        <v>218935022</v>
      </c>
      <c r="B2616" s="6">
        <v>45126</v>
      </c>
      <c r="C2616" s="1"/>
      <c r="D2616" s="1" t="s">
        <v>7</v>
      </c>
      <c r="E2616" s="1">
        <v>39</v>
      </c>
      <c r="F2616" s="1" t="s">
        <v>6</v>
      </c>
      <c r="G2616" s="44" t="str">
        <f t="shared" si="80"/>
        <v/>
      </c>
      <c r="H2616" s="10" t="str">
        <f t="shared" si="81"/>
        <v>Wednesday</v>
      </c>
    </row>
    <row r="2617" spans="1:8">
      <c r="A2617" s="9">
        <v>218925198</v>
      </c>
      <c r="B2617" s="6">
        <v>45126</v>
      </c>
      <c r="C2617" s="1"/>
      <c r="D2617" s="1" t="s">
        <v>7</v>
      </c>
      <c r="E2617" s="1">
        <v>39</v>
      </c>
      <c r="F2617" s="1" t="s">
        <v>6</v>
      </c>
      <c r="G2617" s="44" t="str">
        <f t="shared" si="80"/>
        <v/>
      </c>
      <c r="H2617" s="10" t="str">
        <f t="shared" si="81"/>
        <v>Wednesday</v>
      </c>
    </row>
    <row r="2618" spans="1:8">
      <c r="A2618" s="9">
        <v>218927120</v>
      </c>
      <c r="B2618" s="6">
        <v>45126</v>
      </c>
      <c r="C2618" s="1"/>
      <c r="D2618" s="1" t="s">
        <v>7</v>
      </c>
      <c r="E2618" s="1">
        <v>39</v>
      </c>
      <c r="F2618" s="1" t="s">
        <v>6</v>
      </c>
      <c r="G2618" s="44" t="str">
        <f t="shared" si="80"/>
        <v/>
      </c>
      <c r="H2618" s="10" t="str">
        <f t="shared" si="81"/>
        <v>Wednesday</v>
      </c>
    </row>
    <row r="2619" spans="1:8">
      <c r="A2619" s="9">
        <v>218930176</v>
      </c>
      <c r="B2619" s="6">
        <v>45126</v>
      </c>
      <c r="C2619" s="1"/>
      <c r="D2619" s="1" t="s">
        <v>7</v>
      </c>
      <c r="E2619" s="1">
        <v>39</v>
      </c>
      <c r="F2619" s="1" t="s">
        <v>6</v>
      </c>
      <c r="G2619" s="44" t="str">
        <f t="shared" si="80"/>
        <v/>
      </c>
      <c r="H2619" s="10" t="str">
        <f t="shared" si="81"/>
        <v>Wednesday</v>
      </c>
    </row>
    <row r="2620" spans="1:8">
      <c r="A2620" s="9">
        <v>216185482</v>
      </c>
      <c r="B2620" s="6">
        <v>45126</v>
      </c>
      <c r="C2620" s="1"/>
      <c r="D2620" s="1" t="s">
        <v>7</v>
      </c>
      <c r="E2620" s="1">
        <v>39</v>
      </c>
      <c r="F2620" s="1" t="s">
        <v>6</v>
      </c>
      <c r="G2620" s="44" t="str">
        <f t="shared" si="80"/>
        <v/>
      </c>
      <c r="H2620" s="10" t="str">
        <f t="shared" si="81"/>
        <v>Wednesday</v>
      </c>
    </row>
    <row r="2621" spans="1:8">
      <c r="A2621" s="9">
        <v>218814342</v>
      </c>
      <c r="B2621" s="6">
        <v>45126</v>
      </c>
      <c r="C2621" s="1"/>
      <c r="D2621" s="1" t="s">
        <v>7</v>
      </c>
      <c r="E2621" s="1">
        <v>39</v>
      </c>
      <c r="F2621" s="1" t="s">
        <v>6</v>
      </c>
      <c r="G2621" s="44" t="str">
        <f t="shared" si="80"/>
        <v/>
      </c>
      <c r="H2621" s="10" t="str">
        <f t="shared" si="81"/>
        <v>Wednesday</v>
      </c>
    </row>
    <row r="2622" spans="1:8">
      <c r="A2622" s="9">
        <v>218764310</v>
      </c>
      <c r="B2622" s="6">
        <v>45126</v>
      </c>
      <c r="C2622" s="1"/>
      <c r="D2622" s="1" t="s">
        <v>7</v>
      </c>
      <c r="E2622" s="1">
        <v>39</v>
      </c>
      <c r="F2622" s="1" t="s">
        <v>6</v>
      </c>
      <c r="G2622" s="44" t="str">
        <f t="shared" si="80"/>
        <v/>
      </c>
      <c r="H2622" s="10" t="str">
        <f t="shared" si="81"/>
        <v>Wednesday</v>
      </c>
    </row>
    <row r="2623" spans="1:8">
      <c r="A2623" s="9">
        <v>218814328</v>
      </c>
      <c r="B2623" s="6">
        <v>45126</v>
      </c>
      <c r="C2623" s="1"/>
      <c r="D2623" s="1" t="s">
        <v>7</v>
      </c>
      <c r="E2623" s="1">
        <v>39</v>
      </c>
      <c r="F2623" s="1" t="s">
        <v>6</v>
      </c>
      <c r="G2623" s="44" t="str">
        <f t="shared" si="80"/>
        <v/>
      </c>
      <c r="H2623" s="10" t="str">
        <f t="shared" si="81"/>
        <v>Wednesday</v>
      </c>
    </row>
    <row r="2624" spans="1:8">
      <c r="A2624" s="9">
        <v>149144586</v>
      </c>
      <c r="B2624" s="6">
        <v>45126</v>
      </c>
      <c r="C2624" s="1"/>
      <c r="D2624" s="1" t="s">
        <v>7</v>
      </c>
      <c r="E2624" s="1">
        <v>39</v>
      </c>
      <c r="F2624" s="1" t="s">
        <v>6</v>
      </c>
      <c r="G2624" s="44" t="str">
        <f t="shared" si="80"/>
        <v/>
      </c>
      <c r="H2624" s="10" t="str">
        <f t="shared" si="81"/>
        <v>Wednesday</v>
      </c>
    </row>
    <row r="2625" spans="1:8">
      <c r="A2625" s="9">
        <v>217635511</v>
      </c>
      <c r="B2625" s="6">
        <v>45126</v>
      </c>
      <c r="C2625" s="1"/>
      <c r="D2625" s="1" t="s">
        <v>7</v>
      </c>
      <c r="E2625" s="1">
        <v>39</v>
      </c>
      <c r="F2625" s="1" t="s">
        <v>6</v>
      </c>
      <c r="G2625" s="44" t="str">
        <f t="shared" si="80"/>
        <v/>
      </c>
      <c r="H2625" s="10" t="str">
        <f t="shared" si="81"/>
        <v>Wednesday</v>
      </c>
    </row>
    <row r="2626" spans="1:8">
      <c r="A2626" s="9">
        <v>218924256</v>
      </c>
      <c r="B2626" s="6">
        <v>45126</v>
      </c>
      <c r="C2626" s="6">
        <v>45152</v>
      </c>
      <c r="D2626" s="1" t="s">
        <v>7</v>
      </c>
      <c r="E2626" s="1">
        <v>39</v>
      </c>
      <c r="F2626" s="1" t="s">
        <v>6</v>
      </c>
      <c r="G2626" s="44">
        <f t="shared" si="80"/>
        <v>26</v>
      </c>
      <c r="H2626" s="10" t="str">
        <f t="shared" si="81"/>
        <v>Wednesday</v>
      </c>
    </row>
    <row r="2627" spans="1:8">
      <c r="A2627" s="9">
        <v>218898552</v>
      </c>
      <c r="B2627" s="6">
        <v>45126</v>
      </c>
      <c r="C2627" s="6">
        <v>45155</v>
      </c>
      <c r="D2627" s="1" t="s">
        <v>7</v>
      </c>
      <c r="E2627" s="1">
        <v>39</v>
      </c>
      <c r="F2627" s="1" t="s">
        <v>6</v>
      </c>
      <c r="G2627" s="44">
        <f t="shared" ref="G2627:G2690" si="82">IF(C2627="", "", DATEDIF(B2627, C2627, "D"))</f>
        <v>29</v>
      </c>
      <c r="H2627" s="10" t="str">
        <f t="shared" ref="H2627:H2690" si="83">TEXT(B2627, "dddd")</f>
        <v>Wednesday</v>
      </c>
    </row>
    <row r="2628" spans="1:8">
      <c r="A2628" s="9">
        <v>149657162</v>
      </c>
      <c r="B2628" s="6">
        <v>45126</v>
      </c>
      <c r="C2628" s="6">
        <v>45172</v>
      </c>
      <c r="D2628" s="1" t="s">
        <v>7</v>
      </c>
      <c r="E2628" s="1">
        <v>39</v>
      </c>
      <c r="F2628" s="1" t="s">
        <v>6</v>
      </c>
      <c r="G2628" s="44">
        <f t="shared" si="82"/>
        <v>46</v>
      </c>
      <c r="H2628" s="10" t="str">
        <f t="shared" si="83"/>
        <v>Wednesday</v>
      </c>
    </row>
    <row r="2629" spans="1:8">
      <c r="A2629" s="9">
        <v>218581958</v>
      </c>
      <c r="B2629" s="6">
        <v>45126</v>
      </c>
      <c r="C2629" s="6">
        <v>45133</v>
      </c>
      <c r="D2629" s="1" t="s">
        <v>7</v>
      </c>
      <c r="E2629" s="1">
        <v>39</v>
      </c>
      <c r="F2629" s="1" t="s">
        <v>6</v>
      </c>
      <c r="G2629" s="44">
        <f t="shared" si="82"/>
        <v>7</v>
      </c>
      <c r="H2629" s="10" t="str">
        <f t="shared" si="83"/>
        <v>Wednesday</v>
      </c>
    </row>
    <row r="2630" spans="1:8">
      <c r="A2630" s="9">
        <v>214943384</v>
      </c>
      <c r="B2630" s="6">
        <v>45127</v>
      </c>
      <c r="C2630" s="1"/>
      <c r="D2630" s="1" t="s">
        <v>7</v>
      </c>
      <c r="E2630" s="1">
        <v>39</v>
      </c>
      <c r="F2630" s="1" t="s">
        <v>6</v>
      </c>
      <c r="G2630" s="44" t="str">
        <f t="shared" si="82"/>
        <v/>
      </c>
      <c r="H2630" s="10" t="str">
        <f t="shared" si="83"/>
        <v>Thursday</v>
      </c>
    </row>
    <row r="2631" spans="1:8">
      <c r="A2631" s="9">
        <v>147832373</v>
      </c>
      <c r="B2631" s="6">
        <v>45127</v>
      </c>
      <c r="C2631" s="1"/>
      <c r="D2631" s="1" t="s">
        <v>7</v>
      </c>
      <c r="E2631" s="1">
        <v>39</v>
      </c>
      <c r="F2631" s="1" t="s">
        <v>6</v>
      </c>
      <c r="G2631" s="44" t="str">
        <f t="shared" si="82"/>
        <v/>
      </c>
      <c r="H2631" s="10" t="str">
        <f t="shared" si="83"/>
        <v>Thursday</v>
      </c>
    </row>
    <row r="2632" spans="1:8">
      <c r="A2632" s="9">
        <v>204362311</v>
      </c>
      <c r="B2632" s="6">
        <v>45127</v>
      </c>
      <c r="C2632" s="1"/>
      <c r="D2632" s="1" t="s">
        <v>7</v>
      </c>
      <c r="E2632" s="1">
        <v>39</v>
      </c>
      <c r="F2632" s="1" t="s">
        <v>6</v>
      </c>
      <c r="G2632" s="44" t="str">
        <f t="shared" si="82"/>
        <v/>
      </c>
      <c r="H2632" s="10" t="str">
        <f t="shared" si="83"/>
        <v>Thursday</v>
      </c>
    </row>
    <row r="2633" spans="1:8">
      <c r="A2633" s="9">
        <v>217137211</v>
      </c>
      <c r="B2633" s="6">
        <v>45127</v>
      </c>
      <c r="C2633" s="1"/>
      <c r="D2633" s="1" t="s">
        <v>7</v>
      </c>
      <c r="E2633" s="1">
        <v>39</v>
      </c>
      <c r="F2633" s="1" t="s">
        <v>6</v>
      </c>
      <c r="G2633" s="44" t="str">
        <f t="shared" si="82"/>
        <v/>
      </c>
      <c r="H2633" s="10" t="str">
        <f t="shared" si="83"/>
        <v>Thursday</v>
      </c>
    </row>
    <row r="2634" spans="1:8">
      <c r="A2634" s="9">
        <v>218942852</v>
      </c>
      <c r="B2634" s="6">
        <v>45127</v>
      </c>
      <c r="C2634" s="1"/>
      <c r="D2634" s="1" t="s">
        <v>7</v>
      </c>
      <c r="E2634" s="1">
        <v>39</v>
      </c>
      <c r="F2634" s="1" t="s">
        <v>6</v>
      </c>
      <c r="G2634" s="44" t="str">
        <f t="shared" si="82"/>
        <v/>
      </c>
      <c r="H2634" s="10" t="str">
        <f t="shared" si="83"/>
        <v>Thursday</v>
      </c>
    </row>
    <row r="2635" spans="1:8">
      <c r="A2635" s="9">
        <v>218715020</v>
      </c>
      <c r="B2635" s="6">
        <v>45127</v>
      </c>
      <c r="C2635" s="6">
        <v>45174</v>
      </c>
      <c r="D2635" s="1" t="s">
        <v>7</v>
      </c>
      <c r="E2635" s="1">
        <v>39</v>
      </c>
      <c r="F2635" s="1" t="s">
        <v>6</v>
      </c>
      <c r="G2635" s="44">
        <f t="shared" si="82"/>
        <v>47</v>
      </c>
      <c r="H2635" s="10" t="str">
        <f t="shared" si="83"/>
        <v>Thursday</v>
      </c>
    </row>
    <row r="2636" spans="1:8">
      <c r="A2636" s="9">
        <v>218701308</v>
      </c>
      <c r="B2636" s="6">
        <v>45127</v>
      </c>
      <c r="C2636" s="6">
        <v>45128</v>
      </c>
      <c r="D2636" s="1" t="s">
        <v>7</v>
      </c>
      <c r="E2636" s="1">
        <v>39</v>
      </c>
      <c r="F2636" s="1" t="s">
        <v>6</v>
      </c>
      <c r="G2636" s="44">
        <f t="shared" si="82"/>
        <v>1</v>
      </c>
      <c r="H2636" s="10" t="str">
        <f t="shared" si="83"/>
        <v>Thursday</v>
      </c>
    </row>
    <row r="2637" spans="1:8">
      <c r="A2637" s="9">
        <v>218979443</v>
      </c>
      <c r="B2637" s="6">
        <v>45127</v>
      </c>
      <c r="C2637" s="6">
        <v>45153</v>
      </c>
      <c r="D2637" s="1" t="s">
        <v>7</v>
      </c>
      <c r="E2637" s="1">
        <v>39</v>
      </c>
      <c r="F2637" s="1" t="s">
        <v>6</v>
      </c>
      <c r="G2637" s="44">
        <f t="shared" si="82"/>
        <v>26</v>
      </c>
      <c r="H2637" s="10" t="str">
        <f t="shared" si="83"/>
        <v>Thursday</v>
      </c>
    </row>
    <row r="2638" spans="1:8">
      <c r="A2638" s="9">
        <v>218543315</v>
      </c>
      <c r="B2638" s="6">
        <v>45127</v>
      </c>
      <c r="C2638" s="6">
        <v>45173</v>
      </c>
      <c r="D2638" s="1" t="s">
        <v>7</v>
      </c>
      <c r="E2638" s="1">
        <v>39</v>
      </c>
      <c r="F2638" s="1" t="s">
        <v>6</v>
      </c>
      <c r="G2638" s="44">
        <f t="shared" si="82"/>
        <v>46</v>
      </c>
      <c r="H2638" s="10" t="str">
        <f t="shared" si="83"/>
        <v>Thursday</v>
      </c>
    </row>
    <row r="2639" spans="1:8">
      <c r="A2639" s="9">
        <v>218281726</v>
      </c>
      <c r="B2639" s="6">
        <v>45128</v>
      </c>
      <c r="C2639" s="1"/>
      <c r="D2639" s="1" t="s">
        <v>7</v>
      </c>
      <c r="E2639" s="1">
        <v>39</v>
      </c>
      <c r="F2639" s="1" t="s">
        <v>6</v>
      </c>
      <c r="G2639" s="44" t="str">
        <f t="shared" si="82"/>
        <v/>
      </c>
      <c r="H2639" s="10" t="str">
        <f t="shared" si="83"/>
        <v>Friday</v>
      </c>
    </row>
    <row r="2640" spans="1:8">
      <c r="A2640" s="9">
        <v>144972422</v>
      </c>
      <c r="B2640" s="6">
        <v>45128</v>
      </c>
      <c r="C2640" s="1"/>
      <c r="D2640" s="1" t="s">
        <v>7</v>
      </c>
      <c r="E2640" s="1">
        <v>39</v>
      </c>
      <c r="F2640" s="1" t="s">
        <v>6</v>
      </c>
      <c r="G2640" s="44" t="str">
        <f t="shared" si="82"/>
        <v/>
      </c>
      <c r="H2640" s="10" t="str">
        <f t="shared" si="83"/>
        <v>Friday</v>
      </c>
    </row>
    <row r="2641" spans="1:8">
      <c r="A2641" s="9">
        <v>219017513</v>
      </c>
      <c r="B2641" s="6">
        <v>45128</v>
      </c>
      <c r="C2641" s="1"/>
      <c r="D2641" s="1" t="s">
        <v>7</v>
      </c>
      <c r="E2641" s="1">
        <v>39</v>
      </c>
      <c r="F2641" s="1" t="s">
        <v>6</v>
      </c>
      <c r="G2641" s="44" t="str">
        <f t="shared" si="82"/>
        <v/>
      </c>
      <c r="H2641" s="10" t="str">
        <f t="shared" si="83"/>
        <v>Friday</v>
      </c>
    </row>
    <row r="2642" spans="1:8">
      <c r="A2642" s="9">
        <v>218096762</v>
      </c>
      <c r="B2642" s="6">
        <v>45128</v>
      </c>
      <c r="C2642" s="1"/>
      <c r="D2642" s="1" t="s">
        <v>7</v>
      </c>
      <c r="E2642" s="1">
        <v>39</v>
      </c>
      <c r="F2642" s="1" t="s">
        <v>6</v>
      </c>
      <c r="G2642" s="44" t="str">
        <f t="shared" si="82"/>
        <v/>
      </c>
      <c r="H2642" s="10" t="str">
        <f t="shared" si="83"/>
        <v>Friday</v>
      </c>
    </row>
    <row r="2643" spans="1:8">
      <c r="A2643" s="9">
        <v>134289850</v>
      </c>
      <c r="B2643" s="6">
        <v>45128</v>
      </c>
      <c r="C2643" s="1"/>
      <c r="D2643" s="1" t="s">
        <v>7</v>
      </c>
      <c r="E2643" s="1">
        <v>39</v>
      </c>
      <c r="F2643" s="1" t="s">
        <v>6</v>
      </c>
      <c r="G2643" s="44" t="str">
        <f t="shared" si="82"/>
        <v/>
      </c>
      <c r="H2643" s="10" t="str">
        <f t="shared" si="83"/>
        <v>Friday</v>
      </c>
    </row>
    <row r="2644" spans="1:8">
      <c r="A2644" s="9">
        <v>205210815</v>
      </c>
      <c r="B2644" s="6">
        <v>45128</v>
      </c>
      <c r="C2644" s="6">
        <v>45129</v>
      </c>
      <c r="D2644" s="1" t="s">
        <v>7</v>
      </c>
      <c r="E2644" s="1">
        <v>39</v>
      </c>
      <c r="F2644" s="1" t="s">
        <v>6</v>
      </c>
      <c r="G2644" s="44">
        <f t="shared" si="82"/>
        <v>1</v>
      </c>
      <c r="H2644" s="10" t="str">
        <f t="shared" si="83"/>
        <v>Friday</v>
      </c>
    </row>
    <row r="2645" spans="1:8">
      <c r="A2645" s="9">
        <v>218684970</v>
      </c>
      <c r="B2645" s="6">
        <v>45128</v>
      </c>
      <c r="C2645" s="6">
        <v>45166</v>
      </c>
      <c r="D2645" s="1" t="s">
        <v>7</v>
      </c>
      <c r="E2645" s="1">
        <v>39</v>
      </c>
      <c r="F2645" s="1" t="s">
        <v>6</v>
      </c>
      <c r="G2645" s="44">
        <f t="shared" si="82"/>
        <v>38</v>
      </c>
      <c r="H2645" s="10" t="str">
        <f t="shared" si="83"/>
        <v>Friday</v>
      </c>
    </row>
    <row r="2646" spans="1:8">
      <c r="A2646" s="9">
        <v>219045318</v>
      </c>
      <c r="B2646" s="6">
        <v>45129</v>
      </c>
      <c r="C2646" s="1"/>
      <c r="D2646" s="1" t="s">
        <v>7</v>
      </c>
      <c r="E2646" s="1">
        <v>39</v>
      </c>
      <c r="F2646" s="1" t="s">
        <v>6</v>
      </c>
      <c r="G2646" s="44" t="str">
        <f t="shared" si="82"/>
        <v/>
      </c>
      <c r="H2646" s="10" t="str">
        <f t="shared" si="83"/>
        <v>Saturday</v>
      </c>
    </row>
    <row r="2647" spans="1:8">
      <c r="A2647" s="9">
        <v>218428977</v>
      </c>
      <c r="B2647" s="6">
        <v>45129</v>
      </c>
      <c r="C2647" s="1"/>
      <c r="D2647" s="1" t="s">
        <v>7</v>
      </c>
      <c r="E2647" s="1">
        <v>39</v>
      </c>
      <c r="F2647" s="1" t="s">
        <v>6</v>
      </c>
      <c r="G2647" s="44" t="str">
        <f t="shared" si="82"/>
        <v/>
      </c>
      <c r="H2647" s="10" t="str">
        <f t="shared" si="83"/>
        <v>Saturday</v>
      </c>
    </row>
    <row r="2648" spans="1:8">
      <c r="A2648" s="9">
        <v>156587706</v>
      </c>
      <c r="B2648" s="6">
        <v>45129</v>
      </c>
      <c r="C2648" s="6">
        <v>45130</v>
      </c>
      <c r="D2648" s="1" t="s">
        <v>8</v>
      </c>
      <c r="E2648" s="1">
        <v>39</v>
      </c>
      <c r="F2648" s="1" t="s">
        <v>6</v>
      </c>
      <c r="G2648" s="44">
        <f t="shared" si="82"/>
        <v>1</v>
      </c>
      <c r="H2648" s="10" t="str">
        <f t="shared" si="83"/>
        <v>Saturday</v>
      </c>
    </row>
    <row r="2649" spans="1:8">
      <c r="A2649" s="9">
        <v>219034826</v>
      </c>
      <c r="B2649" s="6">
        <v>45129</v>
      </c>
      <c r="C2649" s="6">
        <v>45130</v>
      </c>
      <c r="D2649" s="1" t="s">
        <v>8</v>
      </c>
      <c r="E2649" s="1">
        <v>39</v>
      </c>
      <c r="F2649" s="1" t="s">
        <v>6</v>
      </c>
      <c r="G2649" s="44">
        <f t="shared" si="82"/>
        <v>1</v>
      </c>
      <c r="H2649" s="10" t="str">
        <f t="shared" si="83"/>
        <v>Saturday</v>
      </c>
    </row>
    <row r="2650" spans="1:8">
      <c r="A2650" s="9">
        <v>204380751</v>
      </c>
      <c r="B2650" s="6">
        <v>45129</v>
      </c>
      <c r="C2650" s="6">
        <v>45159</v>
      </c>
      <c r="D2650" s="1" t="s">
        <v>7</v>
      </c>
      <c r="E2650" s="1">
        <v>39</v>
      </c>
      <c r="F2650" s="1" t="s">
        <v>6</v>
      </c>
      <c r="G2650" s="44">
        <f t="shared" si="82"/>
        <v>30</v>
      </c>
      <c r="H2650" s="10" t="str">
        <f t="shared" si="83"/>
        <v>Saturday</v>
      </c>
    </row>
    <row r="2651" spans="1:8">
      <c r="A2651" s="9">
        <v>215315438</v>
      </c>
      <c r="B2651" s="6">
        <v>45129</v>
      </c>
      <c r="C2651" s="6">
        <v>45160</v>
      </c>
      <c r="D2651" s="1" t="s">
        <v>7</v>
      </c>
      <c r="E2651" s="1">
        <v>39</v>
      </c>
      <c r="F2651" s="1" t="s">
        <v>6</v>
      </c>
      <c r="G2651" s="44">
        <f t="shared" si="82"/>
        <v>31</v>
      </c>
      <c r="H2651" s="10" t="str">
        <f t="shared" si="83"/>
        <v>Saturday</v>
      </c>
    </row>
    <row r="2652" spans="1:8">
      <c r="A2652" s="9">
        <v>213774184</v>
      </c>
      <c r="B2652" s="6">
        <v>45129</v>
      </c>
      <c r="C2652" s="6">
        <v>45167</v>
      </c>
      <c r="D2652" s="1" t="s">
        <v>7</v>
      </c>
      <c r="E2652" s="1">
        <v>39</v>
      </c>
      <c r="F2652" s="1" t="s">
        <v>6</v>
      </c>
      <c r="G2652" s="44">
        <f t="shared" si="82"/>
        <v>38</v>
      </c>
      <c r="H2652" s="10" t="str">
        <f t="shared" si="83"/>
        <v>Saturday</v>
      </c>
    </row>
    <row r="2653" spans="1:8">
      <c r="A2653" s="9">
        <v>206121650</v>
      </c>
      <c r="B2653" s="6">
        <v>45130</v>
      </c>
      <c r="C2653" s="1"/>
      <c r="D2653" s="1" t="s">
        <v>7</v>
      </c>
      <c r="E2653" s="1">
        <v>39</v>
      </c>
      <c r="F2653" s="1" t="s">
        <v>6</v>
      </c>
      <c r="G2653" s="44" t="str">
        <f t="shared" si="82"/>
        <v/>
      </c>
      <c r="H2653" s="10" t="str">
        <f t="shared" si="83"/>
        <v>Sunday</v>
      </c>
    </row>
    <row r="2654" spans="1:8">
      <c r="A2654" s="9">
        <v>219059958</v>
      </c>
      <c r="B2654" s="6">
        <v>45130</v>
      </c>
      <c r="C2654" s="1"/>
      <c r="D2654" s="1" t="s">
        <v>7</v>
      </c>
      <c r="E2654" s="1">
        <v>39</v>
      </c>
      <c r="F2654" s="1" t="s">
        <v>6</v>
      </c>
      <c r="G2654" s="44" t="str">
        <f t="shared" si="82"/>
        <v/>
      </c>
      <c r="H2654" s="10" t="str">
        <f t="shared" si="83"/>
        <v>Sunday</v>
      </c>
    </row>
    <row r="2655" spans="1:8">
      <c r="A2655" s="9">
        <v>204639997</v>
      </c>
      <c r="B2655" s="6">
        <v>45130</v>
      </c>
      <c r="C2655" s="6">
        <v>45130</v>
      </c>
      <c r="D2655" s="1" t="s">
        <v>7</v>
      </c>
      <c r="E2655" s="1">
        <v>39</v>
      </c>
      <c r="F2655" s="1" t="s">
        <v>6</v>
      </c>
      <c r="G2655" s="44">
        <f t="shared" si="82"/>
        <v>0</v>
      </c>
      <c r="H2655" s="10" t="str">
        <f t="shared" si="83"/>
        <v>Sunday</v>
      </c>
    </row>
    <row r="2656" spans="1:8">
      <c r="A2656" s="9">
        <v>201817514</v>
      </c>
      <c r="B2656" s="6">
        <v>45130</v>
      </c>
      <c r="C2656" s="6">
        <v>45160</v>
      </c>
      <c r="D2656" s="1" t="s">
        <v>7</v>
      </c>
      <c r="E2656" s="1">
        <v>39</v>
      </c>
      <c r="F2656" s="1" t="s">
        <v>6</v>
      </c>
      <c r="G2656" s="44">
        <f t="shared" si="82"/>
        <v>30</v>
      </c>
      <c r="H2656" s="10" t="str">
        <f t="shared" si="83"/>
        <v>Sunday</v>
      </c>
    </row>
    <row r="2657" spans="1:8">
      <c r="A2657" s="9">
        <v>219065931</v>
      </c>
      <c r="B2657" s="6">
        <v>45130</v>
      </c>
      <c r="C2657" s="6">
        <v>45168</v>
      </c>
      <c r="D2657" s="1" t="s">
        <v>7</v>
      </c>
      <c r="E2657" s="1">
        <v>39</v>
      </c>
      <c r="F2657" s="1" t="s">
        <v>6</v>
      </c>
      <c r="G2657" s="44">
        <f t="shared" si="82"/>
        <v>38</v>
      </c>
      <c r="H2657" s="10" t="str">
        <f t="shared" si="83"/>
        <v>Sunday</v>
      </c>
    </row>
    <row r="2658" spans="1:8">
      <c r="A2658" s="9">
        <v>143627373</v>
      </c>
      <c r="B2658" s="6">
        <v>45131</v>
      </c>
      <c r="C2658" s="1"/>
      <c r="D2658" s="1" t="s">
        <v>7</v>
      </c>
      <c r="E2658" s="1">
        <v>39</v>
      </c>
      <c r="F2658" s="1" t="s">
        <v>6</v>
      </c>
      <c r="G2658" s="44" t="str">
        <f t="shared" si="82"/>
        <v/>
      </c>
      <c r="H2658" s="10" t="str">
        <f t="shared" si="83"/>
        <v>Monday</v>
      </c>
    </row>
    <row r="2659" spans="1:8">
      <c r="A2659" s="9">
        <v>218675428</v>
      </c>
      <c r="B2659" s="6">
        <v>45131</v>
      </c>
      <c r="C2659" s="1"/>
      <c r="D2659" s="1" t="s">
        <v>7</v>
      </c>
      <c r="E2659" s="1">
        <v>39</v>
      </c>
      <c r="F2659" s="1" t="s">
        <v>6</v>
      </c>
      <c r="G2659" s="44" t="str">
        <f t="shared" si="82"/>
        <v/>
      </c>
      <c r="H2659" s="10" t="str">
        <f t="shared" si="83"/>
        <v>Monday</v>
      </c>
    </row>
    <row r="2660" spans="1:8">
      <c r="A2660" s="9">
        <v>219057820</v>
      </c>
      <c r="B2660" s="6">
        <v>45131</v>
      </c>
      <c r="C2660" s="1"/>
      <c r="D2660" s="1" t="s">
        <v>7</v>
      </c>
      <c r="E2660" s="1">
        <v>39</v>
      </c>
      <c r="F2660" s="1" t="s">
        <v>6</v>
      </c>
      <c r="G2660" s="44" t="str">
        <f t="shared" si="82"/>
        <v/>
      </c>
      <c r="H2660" s="10" t="str">
        <f t="shared" si="83"/>
        <v>Monday</v>
      </c>
    </row>
    <row r="2661" spans="1:8">
      <c r="A2661" s="9">
        <v>219115854</v>
      </c>
      <c r="B2661" s="6">
        <v>45131</v>
      </c>
      <c r="C2661" s="1"/>
      <c r="D2661" s="1" t="s">
        <v>7</v>
      </c>
      <c r="E2661" s="1">
        <v>39</v>
      </c>
      <c r="F2661" s="1" t="s">
        <v>6</v>
      </c>
      <c r="G2661" s="44" t="str">
        <f t="shared" si="82"/>
        <v/>
      </c>
      <c r="H2661" s="10" t="str">
        <f t="shared" si="83"/>
        <v>Monday</v>
      </c>
    </row>
    <row r="2662" spans="1:8">
      <c r="A2662" s="9">
        <v>204826054</v>
      </c>
      <c r="B2662" s="6">
        <v>45131</v>
      </c>
      <c r="C2662" s="1"/>
      <c r="D2662" s="1" t="s">
        <v>7</v>
      </c>
      <c r="E2662" s="1">
        <v>39</v>
      </c>
      <c r="F2662" s="1" t="s">
        <v>6</v>
      </c>
      <c r="G2662" s="44" t="str">
        <f t="shared" si="82"/>
        <v/>
      </c>
      <c r="H2662" s="10" t="str">
        <f t="shared" si="83"/>
        <v>Monday</v>
      </c>
    </row>
    <row r="2663" spans="1:8">
      <c r="A2663" s="9">
        <v>219072554</v>
      </c>
      <c r="B2663" s="6">
        <v>45131</v>
      </c>
      <c r="C2663" s="1"/>
      <c r="D2663" s="1" t="s">
        <v>7</v>
      </c>
      <c r="E2663" s="1">
        <v>39</v>
      </c>
      <c r="F2663" s="1" t="s">
        <v>6</v>
      </c>
      <c r="G2663" s="44" t="str">
        <f t="shared" si="82"/>
        <v/>
      </c>
      <c r="H2663" s="10" t="str">
        <f t="shared" si="83"/>
        <v>Monday</v>
      </c>
    </row>
    <row r="2664" spans="1:8">
      <c r="A2664" s="9">
        <v>219088631</v>
      </c>
      <c r="B2664" s="6">
        <v>45131</v>
      </c>
      <c r="C2664" s="1"/>
      <c r="D2664" s="1" t="s">
        <v>7</v>
      </c>
      <c r="E2664" s="1">
        <v>39</v>
      </c>
      <c r="F2664" s="1" t="s">
        <v>6</v>
      </c>
      <c r="G2664" s="44" t="str">
        <f t="shared" si="82"/>
        <v/>
      </c>
      <c r="H2664" s="10" t="str">
        <f t="shared" si="83"/>
        <v>Monday</v>
      </c>
    </row>
    <row r="2665" spans="1:8">
      <c r="A2665" s="9">
        <v>218861750</v>
      </c>
      <c r="B2665" s="6">
        <v>45131</v>
      </c>
      <c r="C2665" s="6">
        <v>45169</v>
      </c>
      <c r="D2665" s="1" t="s">
        <v>7</v>
      </c>
      <c r="E2665" s="1">
        <v>39</v>
      </c>
      <c r="F2665" s="1" t="s">
        <v>6</v>
      </c>
      <c r="G2665" s="44">
        <f t="shared" si="82"/>
        <v>38</v>
      </c>
      <c r="H2665" s="10" t="str">
        <f t="shared" si="83"/>
        <v>Monday</v>
      </c>
    </row>
    <row r="2666" spans="1:8">
      <c r="A2666" s="9">
        <v>217513777</v>
      </c>
      <c r="B2666" s="6">
        <v>45131</v>
      </c>
      <c r="C2666" s="6">
        <v>45140</v>
      </c>
      <c r="D2666" s="1" t="s">
        <v>7</v>
      </c>
      <c r="E2666" s="1">
        <v>39</v>
      </c>
      <c r="F2666" s="1" t="s">
        <v>6</v>
      </c>
      <c r="G2666" s="44">
        <f t="shared" si="82"/>
        <v>9</v>
      </c>
      <c r="H2666" s="10" t="str">
        <f t="shared" si="83"/>
        <v>Monday</v>
      </c>
    </row>
    <row r="2667" spans="1:8">
      <c r="A2667" s="9">
        <v>218805370</v>
      </c>
      <c r="B2667" s="6">
        <v>45131</v>
      </c>
      <c r="C2667" s="6">
        <v>45146</v>
      </c>
      <c r="D2667" s="1" t="s">
        <v>7</v>
      </c>
      <c r="E2667" s="1">
        <v>39</v>
      </c>
      <c r="F2667" s="1" t="s">
        <v>6</v>
      </c>
      <c r="G2667" s="44">
        <f t="shared" si="82"/>
        <v>15</v>
      </c>
      <c r="H2667" s="10" t="str">
        <f t="shared" si="83"/>
        <v>Monday</v>
      </c>
    </row>
    <row r="2668" spans="1:8">
      <c r="A2668" s="9">
        <v>219128709</v>
      </c>
      <c r="B2668" s="6">
        <v>45132</v>
      </c>
      <c r="C2668" s="1"/>
      <c r="D2668" s="1" t="s">
        <v>7</v>
      </c>
      <c r="E2668" s="1">
        <v>39</v>
      </c>
      <c r="F2668" s="1" t="s">
        <v>6</v>
      </c>
      <c r="G2668" s="44" t="str">
        <f t="shared" si="82"/>
        <v/>
      </c>
      <c r="H2668" s="10" t="str">
        <f t="shared" si="83"/>
        <v>Tuesday</v>
      </c>
    </row>
    <row r="2669" spans="1:8">
      <c r="A2669" s="9">
        <v>217998036</v>
      </c>
      <c r="B2669" s="6">
        <v>45132</v>
      </c>
      <c r="C2669" s="1"/>
      <c r="D2669" s="1" t="s">
        <v>7</v>
      </c>
      <c r="E2669" s="1">
        <v>39</v>
      </c>
      <c r="F2669" s="1" t="s">
        <v>6</v>
      </c>
      <c r="G2669" s="44" t="str">
        <f t="shared" si="82"/>
        <v/>
      </c>
      <c r="H2669" s="10" t="str">
        <f t="shared" si="83"/>
        <v>Tuesday</v>
      </c>
    </row>
    <row r="2670" spans="1:8">
      <c r="A2670" s="9">
        <v>219100886</v>
      </c>
      <c r="B2670" s="6">
        <v>45132</v>
      </c>
      <c r="C2670" s="1"/>
      <c r="D2670" s="1" t="s">
        <v>7</v>
      </c>
      <c r="E2670" s="1">
        <v>39</v>
      </c>
      <c r="F2670" s="1" t="s">
        <v>6</v>
      </c>
      <c r="G2670" s="44" t="str">
        <f t="shared" si="82"/>
        <v/>
      </c>
      <c r="H2670" s="10" t="str">
        <f t="shared" si="83"/>
        <v>Tuesday</v>
      </c>
    </row>
    <row r="2671" spans="1:8">
      <c r="A2671" s="9">
        <v>214586480</v>
      </c>
      <c r="B2671" s="6">
        <v>45132</v>
      </c>
      <c r="C2671" s="1"/>
      <c r="D2671" s="1" t="s">
        <v>7</v>
      </c>
      <c r="E2671" s="1">
        <v>39</v>
      </c>
      <c r="F2671" s="1" t="s">
        <v>6</v>
      </c>
      <c r="G2671" s="44" t="str">
        <f t="shared" si="82"/>
        <v/>
      </c>
      <c r="H2671" s="10" t="str">
        <f t="shared" si="83"/>
        <v>Tuesday</v>
      </c>
    </row>
    <row r="2672" spans="1:8">
      <c r="A2672" s="9">
        <v>219110064</v>
      </c>
      <c r="B2672" s="6">
        <v>45132</v>
      </c>
      <c r="C2672" s="1"/>
      <c r="D2672" s="1" t="s">
        <v>7</v>
      </c>
      <c r="E2672" s="1">
        <v>39</v>
      </c>
      <c r="F2672" s="1" t="s">
        <v>6</v>
      </c>
      <c r="G2672" s="44" t="str">
        <f t="shared" si="82"/>
        <v/>
      </c>
      <c r="H2672" s="10" t="str">
        <f t="shared" si="83"/>
        <v>Tuesday</v>
      </c>
    </row>
    <row r="2673" spans="1:8">
      <c r="A2673" s="9">
        <v>157374056</v>
      </c>
      <c r="B2673" s="6">
        <v>45132</v>
      </c>
      <c r="C2673" s="1"/>
      <c r="D2673" s="1" t="s">
        <v>7</v>
      </c>
      <c r="E2673" s="1">
        <v>39</v>
      </c>
      <c r="F2673" s="1" t="s">
        <v>6</v>
      </c>
      <c r="G2673" s="44" t="str">
        <f t="shared" si="82"/>
        <v/>
      </c>
      <c r="H2673" s="10" t="str">
        <f t="shared" si="83"/>
        <v>Tuesday</v>
      </c>
    </row>
    <row r="2674" spans="1:8">
      <c r="A2674" s="9">
        <v>219058076</v>
      </c>
      <c r="B2674" s="6">
        <v>45132</v>
      </c>
      <c r="C2674" s="1"/>
      <c r="D2674" s="1" t="s">
        <v>7</v>
      </c>
      <c r="E2674" s="1">
        <v>39</v>
      </c>
      <c r="F2674" s="1" t="s">
        <v>6</v>
      </c>
      <c r="G2674" s="44" t="str">
        <f t="shared" si="82"/>
        <v/>
      </c>
      <c r="H2674" s="10" t="str">
        <f t="shared" si="83"/>
        <v>Tuesday</v>
      </c>
    </row>
    <row r="2675" spans="1:8">
      <c r="A2675" s="9">
        <v>218011483</v>
      </c>
      <c r="B2675" s="6">
        <v>45132</v>
      </c>
      <c r="C2675" s="1"/>
      <c r="D2675" s="1" t="s">
        <v>7</v>
      </c>
      <c r="E2675" s="1">
        <v>39</v>
      </c>
      <c r="F2675" s="1" t="s">
        <v>6</v>
      </c>
      <c r="G2675" s="44" t="str">
        <f t="shared" si="82"/>
        <v/>
      </c>
      <c r="H2675" s="10" t="str">
        <f t="shared" si="83"/>
        <v>Tuesday</v>
      </c>
    </row>
    <row r="2676" spans="1:8">
      <c r="A2676" s="9">
        <v>216543186</v>
      </c>
      <c r="B2676" s="6">
        <v>45132</v>
      </c>
      <c r="C2676" s="1"/>
      <c r="D2676" s="1" t="s">
        <v>7</v>
      </c>
      <c r="E2676" s="1">
        <v>39</v>
      </c>
      <c r="F2676" s="1" t="s">
        <v>6</v>
      </c>
      <c r="G2676" s="44" t="str">
        <f t="shared" si="82"/>
        <v/>
      </c>
      <c r="H2676" s="10" t="str">
        <f t="shared" si="83"/>
        <v>Tuesday</v>
      </c>
    </row>
    <row r="2677" spans="1:8">
      <c r="A2677" s="9">
        <v>151239214</v>
      </c>
      <c r="B2677" s="6">
        <v>45132</v>
      </c>
      <c r="C2677" s="1"/>
      <c r="D2677" s="1" t="s">
        <v>7</v>
      </c>
      <c r="E2677" s="1">
        <v>39</v>
      </c>
      <c r="F2677" s="1" t="s">
        <v>6</v>
      </c>
      <c r="G2677" s="44" t="str">
        <f t="shared" si="82"/>
        <v/>
      </c>
      <c r="H2677" s="10" t="str">
        <f t="shared" si="83"/>
        <v>Tuesday</v>
      </c>
    </row>
    <row r="2678" spans="1:8">
      <c r="A2678" s="9">
        <v>152760748</v>
      </c>
      <c r="B2678" s="6">
        <v>45132</v>
      </c>
      <c r="C2678" s="6">
        <v>45158</v>
      </c>
      <c r="D2678" s="1" t="s">
        <v>7</v>
      </c>
      <c r="E2678" s="1">
        <v>39</v>
      </c>
      <c r="F2678" s="1" t="s">
        <v>6</v>
      </c>
      <c r="G2678" s="44">
        <f t="shared" si="82"/>
        <v>26</v>
      </c>
      <c r="H2678" s="10" t="str">
        <f t="shared" si="83"/>
        <v>Tuesday</v>
      </c>
    </row>
    <row r="2679" spans="1:8">
      <c r="A2679" s="9">
        <v>182102820</v>
      </c>
      <c r="B2679" s="6">
        <v>45132</v>
      </c>
      <c r="C2679" s="6">
        <v>45170</v>
      </c>
      <c r="D2679" s="1" t="s">
        <v>7</v>
      </c>
      <c r="E2679" s="1">
        <v>39</v>
      </c>
      <c r="F2679" s="1" t="s">
        <v>6</v>
      </c>
      <c r="G2679" s="44">
        <f t="shared" si="82"/>
        <v>38</v>
      </c>
      <c r="H2679" s="10" t="str">
        <f t="shared" si="83"/>
        <v>Tuesday</v>
      </c>
    </row>
    <row r="2680" spans="1:8">
      <c r="A2680" s="9">
        <v>215005163</v>
      </c>
      <c r="B2680" s="6">
        <v>45132</v>
      </c>
      <c r="C2680" s="6">
        <v>45155</v>
      </c>
      <c r="D2680" s="1" t="s">
        <v>7</v>
      </c>
      <c r="E2680" s="1">
        <v>39</v>
      </c>
      <c r="F2680" s="1" t="s">
        <v>6</v>
      </c>
      <c r="G2680" s="44">
        <f t="shared" si="82"/>
        <v>23</v>
      </c>
      <c r="H2680" s="10" t="str">
        <f t="shared" si="83"/>
        <v>Tuesday</v>
      </c>
    </row>
    <row r="2681" spans="1:8">
      <c r="A2681" s="9">
        <v>219136846</v>
      </c>
      <c r="B2681" s="6">
        <v>45132</v>
      </c>
      <c r="C2681" s="6">
        <v>45140</v>
      </c>
      <c r="D2681" s="1" t="s">
        <v>7</v>
      </c>
      <c r="E2681" s="1">
        <v>39</v>
      </c>
      <c r="F2681" s="1" t="s">
        <v>6</v>
      </c>
      <c r="G2681" s="44">
        <f t="shared" si="82"/>
        <v>8</v>
      </c>
      <c r="H2681" s="10" t="str">
        <f t="shared" si="83"/>
        <v>Tuesday</v>
      </c>
    </row>
    <row r="2682" spans="1:8">
      <c r="A2682" s="9">
        <v>218795222</v>
      </c>
      <c r="B2682" s="6">
        <v>45132</v>
      </c>
      <c r="C2682" s="6">
        <v>45161</v>
      </c>
      <c r="D2682" s="1" t="s">
        <v>7</v>
      </c>
      <c r="E2682" s="1">
        <v>39</v>
      </c>
      <c r="F2682" s="1" t="s">
        <v>6</v>
      </c>
      <c r="G2682" s="44">
        <f t="shared" si="82"/>
        <v>29</v>
      </c>
      <c r="H2682" s="10" t="str">
        <f t="shared" si="83"/>
        <v>Tuesday</v>
      </c>
    </row>
    <row r="2683" spans="1:8">
      <c r="A2683" s="9">
        <v>208706876</v>
      </c>
      <c r="B2683" s="6">
        <v>45132</v>
      </c>
      <c r="C2683" s="6">
        <v>45159</v>
      </c>
      <c r="D2683" s="1" t="s">
        <v>7</v>
      </c>
      <c r="E2683" s="1">
        <v>39</v>
      </c>
      <c r="F2683" s="1" t="s">
        <v>6</v>
      </c>
      <c r="G2683" s="44">
        <f t="shared" si="82"/>
        <v>27</v>
      </c>
      <c r="H2683" s="10" t="str">
        <f t="shared" si="83"/>
        <v>Tuesday</v>
      </c>
    </row>
    <row r="2684" spans="1:8">
      <c r="A2684" s="9">
        <v>218701308</v>
      </c>
      <c r="B2684" s="6">
        <v>45132</v>
      </c>
      <c r="C2684" s="6">
        <v>45170</v>
      </c>
      <c r="D2684" s="1" t="s">
        <v>7</v>
      </c>
      <c r="E2684" s="1">
        <v>39</v>
      </c>
      <c r="F2684" s="1" t="s">
        <v>6</v>
      </c>
      <c r="G2684" s="44">
        <f t="shared" si="82"/>
        <v>38</v>
      </c>
      <c r="H2684" s="10" t="str">
        <f t="shared" si="83"/>
        <v>Tuesday</v>
      </c>
    </row>
    <row r="2685" spans="1:8">
      <c r="A2685" s="9">
        <v>219136623</v>
      </c>
      <c r="B2685" s="6">
        <v>45132</v>
      </c>
      <c r="C2685" s="6">
        <v>45170</v>
      </c>
      <c r="D2685" s="1" t="s">
        <v>7</v>
      </c>
      <c r="E2685" s="1">
        <v>39</v>
      </c>
      <c r="F2685" s="1" t="s">
        <v>6</v>
      </c>
      <c r="G2685" s="44">
        <f t="shared" si="82"/>
        <v>38</v>
      </c>
      <c r="H2685" s="10" t="str">
        <f t="shared" si="83"/>
        <v>Tuesday</v>
      </c>
    </row>
    <row r="2686" spans="1:8">
      <c r="A2686" s="9">
        <v>219153922</v>
      </c>
      <c r="B2686" s="6">
        <v>45133</v>
      </c>
      <c r="C2686" s="1"/>
      <c r="D2686" s="1" t="s">
        <v>7</v>
      </c>
      <c r="E2686" s="1">
        <v>39</v>
      </c>
      <c r="F2686" s="1" t="s">
        <v>6</v>
      </c>
      <c r="G2686" s="44" t="str">
        <f t="shared" si="82"/>
        <v/>
      </c>
      <c r="H2686" s="10" t="str">
        <f t="shared" si="83"/>
        <v>Wednesday</v>
      </c>
    </row>
    <row r="2687" spans="1:8">
      <c r="A2687" s="9">
        <v>165529460</v>
      </c>
      <c r="B2687" s="6">
        <v>45133</v>
      </c>
      <c r="C2687" s="1"/>
      <c r="D2687" s="1" t="s">
        <v>7</v>
      </c>
      <c r="E2687" s="1">
        <v>39</v>
      </c>
      <c r="F2687" s="1" t="s">
        <v>6</v>
      </c>
      <c r="G2687" s="44" t="str">
        <f t="shared" si="82"/>
        <v/>
      </c>
      <c r="H2687" s="10" t="str">
        <f t="shared" si="83"/>
        <v>Wednesday</v>
      </c>
    </row>
    <row r="2688" spans="1:8">
      <c r="A2688" s="9">
        <v>218715792</v>
      </c>
      <c r="B2688" s="6">
        <v>45133</v>
      </c>
      <c r="C2688" s="1"/>
      <c r="D2688" s="1" t="s">
        <v>7</v>
      </c>
      <c r="E2688" s="1">
        <v>39</v>
      </c>
      <c r="F2688" s="1" t="s">
        <v>6</v>
      </c>
      <c r="G2688" s="44" t="str">
        <f t="shared" si="82"/>
        <v/>
      </c>
      <c r="H2688" s="10" t="str">
        <f t="shared" si="83"/>
        <v>Wednesday</v>
      </c>
    </row>
    <row r="2689" spans="1:8">
      <c r="A2689" s="9">
        <v>218985028</v>
      </c>
      <c r="B2689" s="6">
        <v>45133</v>
      </c>
      <c r="C2689" s="1"/>
      <c r="D2689" s="1" t="s">
        <v>7</v>
      </c>
      <c r="E2689" s="1">
        <v>39</v>
      </c>
      <c r="F2689" s="1" t="s">
        <v>6</v>
      </c>
      <c r="G2689" s="44" t="str">
        <f t="shared" si="82"/>
        <v/>
      </c>
      <c r="H2689" s="10" t="str">
        <f t="shared" si="83"/>
        <v>Wednesday</v>
      </c>
    </row>
    <row r="2690" spans="1:8">
      <c r="A2690" s="9">
        <v>218986352</v>
      </c>
      <c r="B2690" s="6">
        <v>45133</v>
      </c>
      <c r="C2690" s="1"/>
      <c r="D2690" s="1" t="s">
        <v>7</v>
      </c>
      <c r="E2690" s="1">
        <v>39</v>
      </c>
      <c r="F2690" s="1" t="s">
        <v>6</v>
      </c>
      <c r="G2690" s="44" t="str">
        <f t="shared" si="82"/>
        <v/>
      </c>
      <c r="H2690" s="10" t="str">
        <f t="shared" si="83"/>
        <v>Wednesday</v>
      </c>
    </row>
    <row r="2691" spans="1:8">
      <c r="A2691" s="9">
        <v>219152822</v>
      </c>
      <c r="B2691" s="6">
        <v>45133</v>
      </c>
      <c r="C2691" s="6">
        <v>45174</v>
      </c>
      <c r="D2691" s="1" t="s">
        <v>7</v>
      </c>
      <c r="E2691" s="1">
        <v>39</v>
      </c>
      <c r="F2691" s="1" t="s">
        <v>6</v>
      </c>
      <c r="G2691" s="44">
        <f t="shared" ref="G2691:G2754" si="84">IF(C2691="", "", DATEDIF(B2691, C2691, "D"))</f>
        <v>41</v>
      </c>
      <c r="H2691" s="10" t="str">
        <f t="shared" ref="H2691:H2754" si="85">TEXT(B2691, "dddd")</f>
        <v>Wednesday</v>
      </c>
    </row>
    <row r="2692" spans="1:8">
      <c r="A2692" s="9">
        <v>219084587</v>
      </c>
      <c r="B2692" s="6">
        <v>45133</v>
      </c>
      <c r="C2692" s="6">
        <v>45134</v>
      </c>
      <c r="D2692" s="1" t="s">
        <v>8</v>
      </c>
      <c r="E2692" s="1">
        <v>39</v>
      </c>
      <c r="F2692" s="1" t="s">
        <v>6</v>
      </c>
      <c r="G2692" s="44">
        <f t="shared" si="84"/>
        <v>1</v>
      </c>
      <c r="H2692" s="10" t="str">
        <f t="shared" si="85"/>
        <v>Wednesday</v>
      </c>
    </row>
    <row r="2693" spans="1:8">
      <c r="A2693" s="9">
        <v>219200064</v>
      </c>
      <c r="B2693" s="6">
        <v>45133</v>
      </c>
      <c r="C2693" s="6">
        <v>45171</v>
      </c>
      <c r="D2693" s="1" t="s">
        <v>7</v>
      </c>
      <c r="E2693" s="1">
        <v>39</v>
      </c>
      <c r="F2693" s="1" t="s">
        <v>6</v>
      </c>
      <c r="G2693" s="44">
        <f t="shared" si="84"/>
        <v>38</v>
      </c>
      <c r="H2693" s="10" t="str">
        <f t="shared" si="85"/>
        <v>Wednesday</v>
      </c>
    </row>
    <row r="2694" spans="1:8">
      <c r="A2694" s="9">
        <v>219224963</v>
      </c>
      <c r="B2694" s="6">
        <v>45134</v>
      </c>
      <c r="C2694" s="1"/>
      <c r="D2694" s="1" t="s">
        <v>7</v>
      </c>
      <c r="E2694" s="1">
        <v>39</v>
      </c>
      <c r="F2694" s="1" t="s">
        <v>6</v>
      </c>
      <c r="G2694" s="44" t="str">
        <f t="shared" si="84"/>
        <v/>
      </c>
      <c r="H2694" s="10" t="str">
        <f t="shared" si="85"/>
        <v>Thursday</v>
      </c>
    </row>
    <row r="2695" spans="1:8">
      <c r="A2695" s="9">
        <v>219172302</v>
      </c>
      <c r="B2695" s="6">
        <v>45134</v>
      </c>
      <c r="C2695" s="1"/>
      <c r="D2695" s="1" t="s">
        <v>7</v>
      </c>
      <c r="E2695" s="1">
        <v>39</v>
      </c>
      <c r="F2695" s="1" t="s">
        <v>6</v>
      </c>
      <c r="G2695" s="44" t="str">
        <f t="shared" si="84"/>
        <v/>
      </c>
      <c r="H2695" s="10" t="str">
        <f t="shared" si="85"/>
        <v>Thursday</v>
      </c>
    </row>
    <row r="2696" spans="1:8">
      <c r="A2696" s="9">
        <v>219244336</v>
      </c>
      <c r="B2696" s="6">
        <v>45134</v>
      </c>
      <c r="C2696" s="1"/>
      <c r="D2696" s="1" t="s">
        <v>7</v>
      </c>
      <c r="E2696" s="1">
        <v>39</v>
      </c>
      <c r="F2696" s="1" t="s">
        <v>6</v>
      </c>
      <c r="G2696" s="44" t="str">
        <f t="shared" si="84"/>
        <v/>
      </c>
      <c r="H2696" s="10" t="str">
        <f t="shared" si="85"/>
        <v>Thursday</v>
      </c>
    </row>
    <row r="2697" spans="1:8">
      <c r="A2697" s="9">
        <v>150342446</v>
      </c>
      <c r="B2697" s="6">
        <v>45134</v>
      </c>
      <c r="C2697" s="1"/>
      <c r="D2697" s="1" t="s">
        <v>7</v>
      </c>
      <c r="E2697" s="1">
        <v>39</v>
      </c>
      <c r="F2697" s="1" t="s">
        <v>6</v>
      </c>
      <c r="G2697" s="44" t="str">
        <f t="shared" si="84"/>
        <v/>
      </c>
      <c r="H2697" s="10" t="str">
        <f t="shared" si="85"/>
        <v>Thursday</v>
      </c>
    </row>
    <row r="2698" spans="1:8">
      <c r="A2698" s="9">
        <v>210432172</v>
      </c>
      <c r="B2698" s="6">
        <v>45134</v>
      </c>
      <c r="C2698" s="1"/>
      <c r="D2698" s="1" t="s">
        <v>7</v>
      </c>
      <c r="E2698" s="1">
        <v>39</v>
      </c>
      <c r="F2698" s="1" t="s">
        <v>6</v>
      </c>
      <c r="G2698" s="44" t="str">
        <f t="shared" si="84"/>
        <v/>
      </c>
      <c r="H2698" s="10" t="str">
        <f t="shared" si="85"/>
        <v>Thursday</v>
      </c>
    </row>
    <row r="2699" spans="1:8">
      <c r="A2699" s="9">
        <v>145614180</v>
      </c>
      <c r="B2699" s="6">
        <v>45134</v>
      </c>
      <c r="C2699" s="1"/>
      <c r="D2699" s="1" t="s">
        <v>7</v>
      </c>
      <c r="E2699" s="1">
        <v>39</v>
      </c>
      <c r="F2699" s="1" t="s">
        <v>6</v>
      </c>
      <c r="G2699" s="44" t="str">
        <f t="shared" si="84"/>
        <v/>
      </c>
      <c r="H2699" s="10" t="str">
        <f t="shared" si="85"/>
        <v>Thursday</v>
      </c>
    </row>
    <row r="2700" spans="1:8">
      <c r="A2700" s="9">
        <v>218318466</v>
      </c>
      <c r="B2700" s="6">
        <v>45134</v>
      </c>
      <c r="C2700" s="1"/>
      <c r="D2700" s="1" t="s">
        <v>7</v>
      </c>
      <c r="E2700" s="1">
        <v>39</v>
      </c>
      <c r="F2700" s="1" t="s">
        <v>6</v>
      </c>
      <c r="G2700" s="44" t="str">
        <f t="shared" si="84"/>
        <v/>
      </c>
      <c r="H2700" s="10" t="str">
        <f t="shared" si="85"/>
        <v>Thursday</v>
      </c>
    </row>
    <row r="2701" spans="1:8">
      <c r="A2701" s="9">
        <v>131984682</v>
      </c>
      <c r="B2701" s="6">
        <v>45134</v>
      </c>
      <c r="C2701" s="1"/>
      <c r="D2701" s="1" t="s">
        <v>7</v>
      </c>
      <c r="E2701" s="1">
        <v>39</v>
      </c>
      <c r="F2701" s="1" t="s">
        <v>6</v>
      </c>
      <c r="G2701" s="44" t="str">
        <f t="shared" si="84"/>
        <v/>
      </c>
      <c r="H2701" s="10" t="str">
        <f t="shared" si="85"/>
        <v>Thursday</v>
      </c>
    </row>
    <row r="2702" spans="1:8">
      <c r="A2702" s="9">
        <v>219243156</v>
      </c>
      <c r="B2702" s="6">
        <v>45134</v>
      </c>
      <c r="C2702" s="6">
        <v>45134</v>
      </c>
      <c r="D2702" s="1" t="s">
        <v>7</v>
      </c>
      <c r="E2702" s="1">
        <v>39</v>
      </c>
      <c r="F2702" s="1" t="s">
        <v>6</v>
      </c>
      <c r="G2702" s="44">
        <f t="shared" si="84"/>
        <v>0</v>
      </c>
      <c r="H2702" s="10" t="str">
        <f t="shared" si="85"/>
        <v>Thursday</v>
      </c>
    </row>
    <row r="2703" spans="1:8">
      <c r="A2703" s="9">
        <v>219301778</v>
      </c>
      <c r="B2703" s="6">
        <v>45135</v>
      </c>
      <c r="C2703" s="1"/>
      <c r="D2703" s="1" t="s">
        <v>7</v>
      </c>
      <c r="E2703" s="1">
        <v>39</v>
      </c>
      <c r="F2703" s="1" t="s">
        <v>6</v>
      </c>
      <c r="G2703" s="44" t="str">
        <f t="shared" si="84"/>
        <v/>
      </c>
      <c r="H2703" s="10" t="str">
        <f t="shared" si="85"/>
        <v>Friday</v>
      </c>
    </row>
    <row r="2704" spans="1:8">
      <c r="A2704" s="9">
        <v>153004062</v>
      </c>
      <c r="B2704" s="6">
        <v>45135</v>
      </c>
      <c r="C2704" s="1"/>
      <c r="D2704" s="1" t="s">
        <v>7</v>
      </c>
      <c r="E2704" s="1">
        <v>39</v>
      </c>
      <c r="F2704" s="1" t="s">
        <v>6</v>
      </c>
      <c r="G2704" s="44" t="str">
        <f t="shared" si="84"/>
        <v/>
      </c>
      <c r="H2704" s="10" t="str">
        <f t="shared" si="85"/>
        <v>Friday</v>
      </c>
    </row>
    <row r="2705" spans="1:8">
      <c r="A2705" s="9">
        <v>151015350</v>
      </c>
      <c r="B2705" s="6">
        <v>45135</v>
      </c>
      <c r="C2705" s="1"/>
      <c r="D2705" s="1" t="s">
        <v>7</v>
      </c>
      <c r="E2705" s="1">
        <v>39</v>
      </c>
      <c r="F2705" s="1" t="s">
        <v>6</v>
      </c>
      <c r="G2705" s="44" t="str">
        <f t="shared" si="84"/>
        <v/>
      </c>
      <c r="H2705" s="10" t="str">
        <f t="shared" si="85"/>
        <v>Friday</v>
      </c>
    </row>
    <row r="2706" spans="1:8">
      <c r="A2706" s="9">
        <v>147696294</v>
      </c>
      <c r="B2706" s="6">
        <v>45135</v>
      </c>
      <c r="C2706" s="1"/>
      <c r="D2706" s="1" t="s">
        <v>7</v>
      </c>
      <c r="E2706" s="1">
        <v>39</v>
      </c>
      <c r="F2706" s="1" t="s">
        <v>6</v>
      </c>
      <c r="G2706" s="44" t="str">
        <f t="shared" si="84"/>
        <v/>
      </c>
      <c r="H2706" s="10" t="str">
        <f t="shared" si="85"/>
        <v>Friday</v>
      </c>
    </row>
    <row r="2707" spans="1:8">
      <c r="A2707" s="9">
        <v>218255956</v>
      </c>
      <c r="B2707" s="6">
        <v>45135</v>
      </c>
      <c r="C2707" s="1"/>
      <c r="D2707" s="1" t="s">
        <v>7</v>
      </c>
      <c r="E2707" s="1">
        <v>39</v>
      </c>
      <c r="F2707" s="1" t="s">
        <v>6</v>
      </c>
      <c r="G2707" s="44" t="str">
        <f t="shared" si="84"/>
        <v/>
      </c>
      <c r="H2707" s="10" t="str">
        <f t="shared" si="85"/>
        <v>Friday</v>
      </c>
    </row>
    <row r="2708" spans="1:8">
      <c r="A2708" s="9">
        <v>218510841</v>
      </c>
      <c r="B2708" s="6">
        <v>45135</v>
      </c>
      <c r="C2708" s="1"/>
      <c r="D2708" s="1" t="s">
        <v>7</v>
      </c>
      <c r="E2708" s="1">
        <v>39</v>
      </c>
      <c r="F2708" s="1" t="s">
        <v>6</v>
      </c>
      <c r="G2708" s="44" t="str">
        <f t="shared" si="84"/>
        <v/>
      </c>
      <c r="H2708" s="10" t="str">
        <f t="shared" si="85"/>
        <v>Friday</v>
      </c>
    </row>
    <row r="2709" spans="1:8">
      <c r="A2709" s="9">
        <v>130864124</v>
      </c>
      <c r="B2709" s="6">
        <v>45135</v>
      </c>
      <c r="C2709" s="1"/>
      <c r="D2709" s="1" t="s">
        <v>7</v>
      </c>
      <c r="E2709" s="1">
        <v>39</v>
      </c>
      <c r="F2709" s="1" t="s">
        <v>6</v>
      </c>
      <c r="G2709" s="44" t="str">
        <f t="shared" si="84"/>
        <v/>
      </c>
      <c r="H2709" s="10" t="str">
        <f t="shared" si="85"/>
        <v>Friday</v>
      </c>
    </row>
    <row r="2710" spans="1:8">
      <c r="A2710" s="9">
        <v>219194059</v>
      </c>
      <c r="B2710" s="6">
        <v>45135</v>
      </c>
      <c r="C2710" s="1"/>
      <c r="D2710" s="1" t="s">
        <v>7</v>
      </c>
      <c r="E2710" s="1">
        <v>39</v>
      </c>
      <c r="F2710" s="1" t="s">
        <v>6</v>
      </c>
      <c r="G2710" s="44" t="str">
        <f t="shared" si="84"/>
        <v/>
      </c>
      <c r="H2710" s="10" t="str">
        <f t="shared" si="85"/>
        <v>Friday</v>
      </c>
    </row>
    <row r="2711" spans="1:8">
      <c r="A2711" s="9">
        <v>219254134</v>
      </c>
      <c r="B2711" s="6">
        <v>45135</v>
      </c>
      <c r="C2711" s="1"/>
      <c r="D2711" s="1" t="s">
        <v>7</v>
      </c>
      <c r="E2711" s="1">
        <v>39</v>
      </c>
      <c r="F2711" s="1" t="s">
        <v>6</v>
      </c>
      <c r="G2711" s="44" t="str">
        <f t="shared" si="84"/>
        <v/>
      </c>
      <c r="H2711" s="10" t="str">
        <f t="shared" si="85"/>
        <v>Friday</v>
      </c>
    </row>
    <row r="2712" spans="1:8">
      <c r="A2712" s="9">
        <v>215881016</v>
      </c>
      <c r="B2712" s="6">
        <v>45135</v>
      </c>
      <c r="C2712" s="1"/>
      <c r="D2712" s="1" t="s">
        <v>7</v>
      </c>
      <c r="E2712" s="1">
        <v>39</v>
      </c>
      <c r="F2712" s="1" t="s">
        <v>6</v>
      </c>
      <c r="G2712" s="44" t="str">
        <f t="shared" si="84"/>
        <v/>
      </c>
      <c r="H2712" s="10" t="str">
        <f t="shared" si="85"/>
        <v>Friday</v>
      </c>
    </row>
    <row r="2713" spans="1:8">
      <c r="A2713" s="9">
        <v>217361520</v>
      </c>
      <c r="B2713" s="6">
        <v>45135</v>
      </c>
      <c r="C2713" s="1"/>
      <c r="D2713" s="1" t="s">
        <v>7</v>
      </c>
      <c r="E2713" s="1">
        <v>39</v>
      </c>
      <c r="F2713" s="1" t="s">
        <v>6</v>
      </c>
      <c r="G2713" s="44" t="str">
        <f t="shared" si="84"/>
        <v/>
      </c>
      <c r="H2713" s="10" t="str">
        <f t="shared" si="85"/>
        <v>Friday</v>
      </c>
    </row>
    <row r="2714" spans="1:8">
      <c r="A2714" s="9">
        <v>219265654</v>
      </c>
      <c r="B2714" s="6">
        <v>45135</v>
      </c>
      <c r="C2714" s="1"/>
      <c r="D2714" s="1" t="s">
        <v>7</v>
      </c>
      <c r="E2714" s="1">
        <v>39</v>
      </c>
      <c r="F2714" s="1" t="s">
        <v>6</v>
      </c>
      <c r="G2714" s="44" t="str">
        <f t="shared" si="84"/>
        <v/>
      </c>
      <c r="H2714" s="10" t="str">
        <f t="shared" si="85"/>
        <v>Friday</v>
      </c>
    </row>
    <row r="2715" spans="1:8">
      <c r="A2715" s="9">
        <v>175491846</v>
      </c>
      <c r="B2715" s="6">
        <v>45135</v>
      </c>
      <c r="C2715" s="6">
        <v>45136</v>
      </c>
      <c r="D2715" s="1" t="s">
        <v>7</v>
      </c>
      <c r="E2715" s="1">
        <v>39</v>
      </c>
      <c r="F2715" s="1" t="s">
        <v>6</v>
      </c>
      <c r="G2715" s="44">
        <f t="shared" si="84"/>
        <v>1</v>
      </c>
      <c r="H2715" s="10" t="str">
        <f t="shared" si="85"/>
        <v>Friday</v>
      </c>
    </row>
    <row r="2716" spans="1:8">
      <c r="A2716" s="9">
        <v>212603850</v>
      </c>
      <c r="B2716" s="6">
        <v>45135</v>
      </c>
      <c r="C2716" s="6">
        <v>45164</v>
      </c>
      <c r="D2716" s="1" t="s">
        <v>7</v>
      </c>
      <c r="E2716" s="1">
        <v>39</v>
      </c>
      <c r="F2716" s="1" t="s">
        <v>6</v>
      </c>
      <c r="G2716" s="44">
        <f t="shared" si="84"/>
        <v>29</v>
      </c>
      <c r="H2716" s="10" t="str">
        <f t="shared" si="85"/>
        <v>Friday</v>
      </c>
    </row>
    <row r="2717" spans="1:8">
      <c r="A2717" s="9">
        <v>219307145</v>
      </c>
      <c r="B2717" s="6">
        <v>45136</v>
      </c>
      <c r="C2717" s="1"/>
      <c r="D2717" s="1" t="s">
        <v>7</v>
      </c>
      <c r="E2717" s="1">
        <v>39</v>
      </c>
      <c r="F2717" s="1" t="s">
        <v>6</v>
      </c>
      <c r="G2717" s="44" t="str">
        <f t="shared" si="84"/>
        <v/>
      </c>
      <c r="H2717" s="10" t="str">
        <f t="shared" si="85"/>
        <v>Saturday</v>
      </c>
    </row>
    <row r="2718" spans="1:8">
      <c r="A2718" s="9">
        <v>212937420</v>
      </c>
      <c r="B2718" s="6">
        <v>45136</v>
      </c>
      <c r="C2718" s="6">
        <v>45174</v>
      </c>
      <c r="D2718" s="1" t="s">
        <v>7</v>
      </c>
      <c r="E2718" s="1">
        <v>39</v>
      </c>
      <c r="F2718" s="1" t="s">
        <v>6</v>
      </c>
      <c r="G2718" s="44">
        <f t="shared" si="84"/>
        <v>38</v>
      </c>
      <c r="H2718" s="10" t="str">
        <f t="shared" si="85"/>
        <v>Saturday</v>
      </c>
    </row>
    <row r="2719" spans="1:8">
      <c r="A2719" s="9">
        <v>219318511</v>
      </c>
      <c r="B2719" s="6">
        <v>45136</v>
      </c>
      <c r="C2719" s="6">
        <v>45156</v>
      </c>
      <c r="D2719" s="1" t="s">
        <v>7</v>
      </c>
      <c r="E2719" s="1">
        <v>39</v>
      </c>
      <c r="F2719" s="1" t="s">
        <v>6</v>
      </c>
      <c r="G2719" s="44">
        <f t="shared" si="84"/>
        <v>20</v>
      </c>
      <c r="H2719" s="10" t="str">
        <f t="shared" si="85"/>
        <v>Saturday</v>
      </c>
    </row>
    <row r="2720" spans="1:8">
      <c r="A2720" s="9">
        <v>218513479</v>
      </c>
      <c r="B2720" s="6">
        <v>45136</v>
      </c>
      <c r="C2720" s="6">
        <v>45163</v>
      </c>
      <c r="D2720" s="1" t="s">
        <v>7</v>
      </c>
      <c r="E2720" s="1">
        <v>39</v>
      </c>
      <c r="F2720" s="1" t="s">
        <v>6</v>
      </c>
      <c r="G2720" s="44">
        <f t="shared" si="84"/>
        <v>27</v>
      </c>
      <c r="H2720" s="10" t="str">
        <f t="shared" si="85"/>
        <v>Saturday</v>
      </c>
    </row>
    <row r="2721" spans="1:8">
      <c r="A2721" s="9">
        <v>219301764</v>
      </c>
      <c r="B2721" s="6">
        <v>45136</v>
      </c>
      <c r="C2721" s="6">
        <v>45165</v>
      </c>
      <c r="D2721" s="1" t="s">
        <v>7</v>
      </c>
      <c r="E2721" s="1">
        <v>39</v>
      </c>
      <c r="F2721" s="1" t="s">
        <v>6</v>
      </c>
      <c r="G2721" s="44">
        <f t="shared" si="84"/>
        <v>29</v>
      </c>
      <c r="H2721" s="10" t="str">
        <f t="shared" si="85"/>
        <v>Saturday</v>
      </c>
    </row>
    <row r="2722" spans="1:8">
      <c r="A2722" s="9">
        <v>125038257</v>
      </c>
      <c r="B2722" s="6">
        <v>45137</v>
      </c>
      <c r="C2722" s="1"/>
      <c r="D2722" s="1" t="s">
        <v>7</v>
      </c>
      <c r="E2722" s="1">
        <v>39</v>
      </c>
      <c r="F2722" s="1" t="s">
        <v>6</v>
      </c>
      <c r="G2722" s="44" t="str">
        <f t="shared" si="84"/>
        <v/>
      </c>
      <c r="H2722" s="10" t="str">
        <f t="shared" si="85"/>
        <v>Sunday</v>
      </c>
    </row>
    <row r="2723" spans="1:8">
      <c r="A2723" s="9">
        <v>217813451</v>
      </c>
      <c r="B2723" s="6">
        <v>45137</v>
      </c>
      <c r="C2723" s="1"/>
      <c r="D2723" s="1" t="s">
        <v>7</v>
      </c>
      <c r="E2723" s="1">
        <v>39</v>
      </c>
      <c r="F2723" s="1" t="s">
        <v>6</v>
      </c>
      <c r="G2723" s="44" t="str">
        <f t="shared" si="84"/>
        <v/>
      </c>
      <c r="H2723" s="10" t="str">
        <f t="shared" si="85"/>
        <v>Sunday</v>
      </c>
    </row>
    <row r="2724" spans="1:8">
      <c r="A2724" s="9">
        <v>162859352</v>
      </c>
      <c r="B2724" s="6">
        <v>45137</v>
      </c>
      <c r="C2724" s="6">
        <v>45138</v>
      </c>
      <c r="D2724" s="1" t="s">
        <v>8</v>
      </c>
      <c r="E2724" s="1">
        <v>39</v>
      </c>
      <c r="F2724" s="1" t="s">
        <v>6</v>
      </c>
      <c r="G2724" s="44">
        <f t="shared" si="84"/>
        <v>1</v>
      </c>
      <c r="H2724" s="10" t="str">
        <f t="shared" si="85"/>
        <v>Sunday</v>
      </c>
    </row>
    <row r="2725" spans="1:8">
      <c r="A2725" s="9">
        <v>146923161</v>
      </c>
      <c r="B2725" s="6">
        <v>45137</v>
      </c>
      <c r="C2725" s="6">
        <v>45175</v>
      </c>
      <c r="D2725" s="1" t="s">
        <v>7</v>
      </c>
      <c r="E2725" s="1">
        <v>39</v>
      </c>
      <c r="F2725" s="1" t="s">
        <v>6</v>
      </c>
      <c r="G2725" s="44">
        <f t="shared" si="84"/>
        <v>38</v>
      </c>
      <c r="H2725" s="10" t="str">
        <f t="shared" si="85"/>
        <v>Sunday</v>
      </c>
    </row>
    <row r="2726" spans="1:8">
      <c r="A2726" s="9">
        <v>206699284</v>
      </c>
      <c r="B2726" s="6">
        <v>45137</v>
      </c>
      <c r="C2726" s="6">
        <v>45166</v>
      </c>
      <c r="D2726" s="1" t="s">
        <v>7</v>
      </c>
      <c r="E2726" s="1">
        <v>39</v>
      </c>
      <c r="F2726" s="1" t="s">
        <v>6</v>
      </c>
      <c r="G2726" s="44">
        <f t="shared" si="84"/>
        <v>29</v>
      </c>
      <c r="H2726" s="10" t="str">
        <f t="shared" si="85"/>
        <v>Sunday</v>
      </c>
    </row>
    <row r="2727" spans="1:8">
      <c r="A2727" s="9">
        <v>219330169</v>
      </c>
      <c r="B2727" s="6">
        <v>45137</v>
      </c>
      <c r="C2727" s="6">
        <v>45166</v>
      </c>
      <c r="D2727" s="1" t="s">
        <v>7</v>
      </c>
      <c r="E2727" s="1">
        <v>39</v>
      </c>
      <c r="F2727" s="1" t="s">
        <v>6</v>
      </c>
      <c r="G2727" s="44">
        <f t="shared" si="84"/>
        <v>29</v>
      </c>
      <c r="H2727" s="10" t="str">
        <f t="shared" si="85"/>
        <v>Sunday</v>
      </c>
    </row>
    <row r="2728" spans="1:8">
      <c r="A2728" s="9">
        <v>219404710</v>
      </c>
      <c r="B2728" s="6">
        <v>45138</v>
      </c>
      <c r="C2728" s="1"/>
      <c r="D2728" s="1" t="s">
        <v>7</v>
      </c>
      <c r="E2728" s="1">
        <v>39</v>
      </c>
      <c r="F2728" s="1" t="s">
        <v>6</v>
      </c>
      <c r="G2728" s="44" t="str">
        <f t="shared" si="84"/>
        <v/>
      </c>
      <c r="H2728" s="10" t="str">
        <f t="shared" si="85"/>
        <v>Monday</v>
      </c>
    </row>
    <row r="2729" spans="1:8">
      <c r="A2729" s="9">
        <v>219402896</v>
      </c>
      <c r="B2729" s="6">
        <v>45138</v>
      </c>
      <c r="C2729" s="1"/>
      <c r="D2729" s="1" t="s">
        <v>7</v>
      </c>
      <c r="E2729" s="1">
        <v>39</v>
      </c>
      <c r="F2729" s="1" t="s">
        <v>6</v>
      </c>
      <c r="G2729" s="44" t="str">
        <f t="shared" si="84"/>
        <v/>
      </c>
      <c r="H2729" s="10" t="str">
        <f t="shared" si="85"/>
        <v>Monday</v>
      </c>
    </row>
    <row r="2730" spans="1:8">
      <c r="A2730" s="9">
        <v>214129448</v>
      </c>
      <c r="B2730" s="6">
        <v>45138</v>
      </c>
      <c r="C2730" s="1"/>
      <c r="D2730" s="1" t="s">
        <v>7</v>
      </c>
      <c r="E2730" s="1">
        <v>39</v>
      </c>
      <c r="F2730" s="1" t="s">
        <v>6</v>
      </c>
      <c r="G2730" s="44" t="str">
        <f t="shared" si="84"/>
        <v/>
      </c>
      <c r="H2730" s="10" t="str">
        <f t="shared" si="85"/>
        <v>Monday</v>
      </c>
    </row>
    <row r="2731" spans="1:8">
      <c r="A2731" s="9">
        <v>219218929</v>
      </c>
      <c r="B2731" s="6">
        <v>45138</v>
      </c>
      <c r="C2731" s="1"/>
      <c r="D2731" s="1" t="s">
        <v>7</v>
      </c>
      <c r="E2731" s="1">
        <v>39</v>
      </c>
      <c r="F2731" s="1" t="s">
        <v>6</v>
      </c>
      <c r="G2731" s="44" t="str">
        <f t="shared" si="84"/>
        <v/>
      </c>
      <c r="H2731" s="10" t="str">
        <f t="shared" si="85"/>
        <v>Monday</v>
      </c>
    </row>
    <row r="2732" spans="1:8">
      <c r="A2732" s="9">
        <v>219385880</v>
      </c>
      <c r="B2732" s="6">
        <v>45138</v>
      </c>
      <c r="C2732" s="1"/>
      <c r="D2732" s="1" t="s">
        <v>7</v>
      </c>
      <c r="E2732" s="1">
        <v>39</v>
      </c>
      <c r="F2732" s="1" t="s">
        <v>6</v>
      </c>
      <c r="G2732" s="44" t="str">
        <f t="shared" si="84"/>
        <v/>
      </c>
      <c r="H2732" s="10" t="str">
        <f t="shared" si="85"/>
        <v>Monday</v>
      </c>
    </row>
    <row r="2733" spans="1:8">
      <c r="A2733" s="9">
        <v>219368039</v>
      </c>
      <c r="B2733" s="6">
        <v>45138</v>
      </c>
      <c r="C2733" s="1"/>
      <c r="D2733" s="1" t="s">
        <v>7</v>
      </c>
      <c r="E2733" s="1">
        <v>39</v>
      </c>
      <c r="F2733" s="1" t="s">
        <v>6</v>
      </c>
      <c r="G2733" s="44" t="str">
        <f t="shared" si="84"/>
        <v/>
      </c>
      <c r="H2733" s="10" t="str">
        <f t="shared" si="85"/>
        <v>Monday</v>
      </c>
    </row>
    <row r="2734" spans="1:8">
      <c r="A2734" s="9">
        <v>219328313</v>
      </c>
      <c r="B2734" s="6">
        <v>45138</v>
      </c>
      <c r="C2734" s="1"/>
      <c r="D2734" s="1" t="s">
        <v>7</v>
      </c>
      <c r="E2734" s="1">
        <v>39</v>
      </c>
      <c r="F2734" s="1" t="s">
        <v>6</v>
      </c>
      <c r="G2734" s="44" t="str">
        <f t="shared" si="84"/>
        <v/>
      </c>
      <c r="H2734" s="10" t="str">
        <f t="shared" si="85"/>
        <v>Monday</v>
      </c>
    </row>
    <row r="2735" spans="1:8">
      <c r="A2735" s="9">
        <v>219185386</v>
      </c>
      <c r="B2735" s="6">
        <v>45138</v>
      </c>
      <c r="C2735" s="6">
        <v>45139</v>
      </c>
      <c r="D2735" s="1" t="s">
        <v>8</v>
      </c>
      <c r="E2735" s="1">
        <v>39</v>
      </c>
      <c r="F2735" s="1" t="s">
        <v>6</v>
      </c>
      <c r="G2735" s="44">
        <f t="shared" si="84"/>
        <v>1</v>
      </c>
      <c r="H2735" s="10" t="str">
        <f t="shared" si="85"/>
        <v>Monday</v>
      </c>
    </row>
    <row r="2736" spans="1:8">
      <c r="A2736" s="9">
        <v>183712256</v>
      </c>
      <c r="B2736" s="6">
        <v>45138</v>
      </c>
      <c r="C2736" s="6">
        <v>45146</v>
      </c>
      <c r="D2736" s="1" t="s">
        <v>7</v>
      </c>
      <c r="E2736" s="1">
        <v>39</v>
      </c>
      <c r="F2736" s="1" t="s">
        <v>6</v>
      </c>
      <c r="G2736" s="44">
        <f t="shared" si="84"/>
        <v>8</v>
      </c>
      <c r="H2736" s="10" t="str">
        <f t="shared" si="85"/>
        <v>Monday</v>
      </c>
    </row>
    <row r="2737" spans="1:8">
      <c r="A2737" s="9">
        <v>217624207</v>
      </c>
      <c r="B2737" s="6">
        <v>45139</v>
      </c>
      <c r="C2737" s="1"/>
      <c r="D2737" s="1" t="s">
        <v>7</v>
      </c>
      <c r="E2737" s="1">
        <v>39</v>
      </c>
      <c r="F2737" s="1" t="s">
        <v>6</v>
      </c>
      <c r="G2737" s="44" t="str">
        <f t="shared" si="84"/>
        <v/>
      </c>
      <c r="H2737" s="10" t="str">
        <f t="shared" si="85"/>
        <v>Tuesday</v>
      </c>
    </row>
    <row r="2738" spans="1:8">
      <c r="A2738" s="9">
        <v>218938921</v>
      </c>
      <c r="B2738" s="6">
        <v>45139</v>
      </c>
      <c r="C2738" s="1"/>
      <c r="D2738" s="1" t="s">
        <v>7</v>
      </c>
      <c r="E2738" s="1">
        <v>39</v>
      </c>
      <c r="F2738" s="1" t="s">
        <v>6</v>
      </c>
      <c r="G2738" s="44" t="str">
        <f t="shared" si="84"/>
        <v/>
      </c>
      <c r="H2738" s="10" t="str">
        <f t="shared" si="85"/>
        <v>Tuesday</v>
      </c>
    </row>
    <row r="2739" spans="1:8">
      <c r="A2739" s="9">
        <v>147145693</v>
      </c>
      <c r="B2739" s="6">
        <v>45139</v>
      </c>
      <c r="C2739" s="1"/>
      <c r="D2739" s="1" t="s">
        <v>7</v>
      </c>
      <c r="E2739" s="1">
        <v>39</v>
      </c>
      <c r="F2739" s="1" t="s">
        <v>6</v>
      </c>
      <c r="G2739" s="44" t="str">
        <f t="shared" si="84"/>
        <v/>
      </c>
      <c r="H2739" s="10" t="str">
        <f t="shared" si="85"/>
        <v>Tuesday</v>
      </c>
    </row>
    <row r="2740" spans="1:8">
      <c r="A2740" s="9">
        <v>218459038</v>
      </c>
      <c r="B2740" s="6">
        <v>45139</v>
      </c>
      <c r="C2740" s="1"/>
      <c r="D2740" s="1" t="s">
        <v>7</v>
      </c>
      <c r="E2740" s="1">
        <v>39</v>
      </c>
      <c r="F2740" s="1" t="s">
        <v>6</v>
      </c>
      <c r="G2740" s="44" t="str">
        <f t="shared" si="84"/>
        <v/>
      </c>
      <c r="H2740" s="10" t="str">
        <f t="shared" si="85"/>
        <v>Tuesday</v>
      </c>
    </row>
    <row r="2741" spans="1:8">
      <c r="A2741" s="9">
        <v>219395734</v>
      </c>
      <c r="B2741" s="6">
        <v>45139</v>
      </c>
      <c r="C2741" s="1"/>
      <c r="D2741" s="1" t="s">
        <v>7</v>
      </c>
      <c r="E2741" s="1">
        <v>39</v>
      </c>
      <c r="F2741" s="1" t="s">
        <v>6</v>
      </c>
      <c r="G2741" s="44" t="str">
        <f t="shared" si="84"/>
        <v/>
      </c>
      <c r="H2741" s="10" t="str">
        <f t="shared" si="85"/>
        <v>Tuesday</v>
      </c>
    </row>
    <row r="2742" spans="1:8">
      <c r="A2742" s="9">
        <v>219413956</v>
      </c>
      <c r="B2742" s="6">
        <v>45139</v>
      </c>
      <c r="C2742" s="1"/>
      <c r="D2742" s="1" t="s">
        <v>7</v>
      </c>
      <c r="E2742" s="1">
        <v>39</v>
      </c>
      <c r="F2742" s="1" t="s">
        <v>6</v>
      </c>
      <c r="G2742" s="44" t="str">
        <f t="shared" si="84"/>
        <v/>
      </c>
      <c r="H2742" s="10" t="str">
        <f t="shared" si="85"/>
        <v>Tuesday</v>
      </c>
    </row>
    <row r="2743" spans="1:8">
      <c r="A2743" s="9">
        <v>218562434</v>
      </c>
      <c r="B2743" s="6">
        <v>45139</v>
      </c>
      <c r="C2743" s="6">
        <v>45170</v>
      </c>
      <c r="D2743" s="1" t="s">
        <v>7</v>
      </c>
      <c r="E2743" s="1">
        <v>39</v>
      </c>
      <c r="F2743" s="1" t="s">
        <v>6</v>
      </c>
      <c r="G2743" s="44">
        <f t="shared" si="84"/>
        <v>31</v>
      </c>
      <c r="H2743" s="10" t="str">
        <f t="shared" si="85"/>
        <v>Tuesday</v>
      </c>
    </row>
    <row r="2744" spans="1:8">
      <c r="A2744" s="9">
        <v>135521927</v>
      </c>
      <c r="B2744" s="6">
        <v>45139</v>
      </c>
      <c r="C2744" s="6">
        <v>45171</v>
      </c>
      <c r="D2744" s="1" t="s">
        <v>7</v>
      </c>
      <c r="E2744" s="1">
        <v>39</v>
      </c>
      <c r="F2744" s="1" t="s">
        <v>6</v>
      </c>
      <c r="G2744" s="44">
        <f t="shared" si="84"/>
        <v>32</v>
      </c>
      <c r="H2744" s="10" t="str">
        <f t="shared" si="85"/>
        <v>Tuesday</v>
      </c>
    </row>
    <row r="2745" spans="1:8">
      <c r="A2745" s="9">
        <v>157035378</v>
      </c>
      <c r="B2745" s="6">
        <v>45139</v>
      </c>
      <c r="C2745" s="6">
        <v>45169</v>
      </c>
      <c r="D2745" s="1" t="s">
        <v>7</v>
      </c>
      <c r="E2745" s="1">
        <v>39</v>
      </c>
      <c r="F2745" s="1" t="s">
        <v>6</v>
      </c>
      <c r="G2745" s="44">
        <f t="shared" si="84"/>
        <v>30</v>
      </c>
      <c r="H2745" s="10" t="str">
        <f t="shared" si="85"/>
        <v>Tuesday</v>
      </c>
    </row>
    <row r="2746" spans="1:8">
      <c r="A2746" s="9">
        <v>219382434</v>
      </c>
      <c r="B2746" s="6">
        <v>45139</v>
      </c>
      <c r="C2746" s="6">
        <v>45169</v>
      </c>
      <c r="D2746" s="1" t="s">
        <v>7</v>
      </c>
      <c r="E2746" s="1">
        <v>39</v>
      </c>
      <c r="F2746" s="1" t="s">
        <v>6</v>
      </c>
      <c r="G2746" s="44">
        <f t="shared" si="84"/>
        <v>30</v>
      </c>
      <c r="H2746" s="10" t="str">
        <f t="shared" si="85"/>
        <v>Tuesday</v>
      </c>
    </row>
    <row r="2747" spans="1:8">
      <c r="A2747" s="9">
        <v>208762353</v>
      </c>
      <c r="B2747" s="6">
        <v>45140</v>
      </c>
      <c r="C2747" s="1"/>
      <c r="D2747" s="1" t="s">
        <v>7</v>
      </c>
      <c r="E2747" s="1">
        <v>39</v>
      </c>
      <c r="F2747" s="1" t="s">
        <v>6</v>
      </c>
      <c r="G2747" s="44" t="str">
        <f t="shared" si="84"/>
        <v/>
      </c>
      <c r="H2747" s="10" t="str">
        <f t="shared" si="85"/>
        <v>Wednesday</v>
      </c>
    </row>
    <row r="2748" spans="1:8">
      <c r="A2748" s="9">
        <v>218346336</v>
      </c>
      <c r="B2748" s="6">
        <v>45140</v>
      </c>
      <c r="C2748" s="1"/>
      <c r="D2748" s="1" t="s">
        <v>7</v>
      </c>
      <c r="E2748" s="1">
        <v>39</v>
      </c>
      <c r="F2748" s="1" t="s">
        <v>6</v>
      </c>
      <c r="G2748" s="44" t="str">
        <f t="shared" si="84"/>
        <v/>
      </c>
      <c r="H2748" s="10" t="str">
        <f t="shared" si="85"/>
        <v>Wednesday</v>
      </c>
    </row>
    <row r="2749" spans="1:8">
      <c r="A2749" s="9">
        <v>219226230</v>
      </c>
      <c r="B2749" s="6">
        <v>45140</v>
      </c>
      <c r="C2749" s="1"/>
      <c r="D2749" s="1" t="s">
        <v>7</v>
      </c>
      <c r="E2749" s="1">
        <v>39</v>
      </c>
      <c r="F2749" s="1" t="s">
        <v>6</v>
      </c>
      <c r="G2749" s="44" t="str">
        <f t="shared" si="84"/>
        <v/>
      </c>
      <c r="H2749" s="10" t="str">
        <f t="shared" si="85"/>
        <v>Wednesday</v>
      </c>
    </row>
    <row r="2750" spans="1:8">
      <c r="A2750" s="9">
        <v>219369515</v>
      </c>
      <c r="B2750" s="6">
        <v>45140</v>
      </c>
      <c r="C2750" s="1"/>
      <c r="D2750" s="1" t="s">
        <v>7</v>
      </c>
      <c r="E2750" s="1">
        <v>39</v>
      </c>
      <c r="F2750" s="1" t="s">
        <v>6</v>
      </c>
      <c r="G2750" s="44" t="str">
        <f t="shared" si="84"/>
        <v/>
      </c>
      <c r="H2750" s="10" t="str">
        <f t="shared" si="85"/>
        <v>Wednesday</v>
      </c>
    </row>
    <row r="2751" spans="1:8">
      <c r="A2751" s="9">
        <v>204947361</v>
      </c>
      <c r="B2751" s="6">
        <v>45140</v>
      </c>
      <c r="C2751" s="1"/>
      <c r="D2751" s="1" t="s">
        <v>7</v>
      </c>
      <c r="E2751" s="1">
        <v>39</v>
      </c>
      <c r="F2751" s="1" t="s">
        <v>6</v>
      </c>
      <c r="G2751" s="44" t="str">
        <f t="shared" si="84"/>
        <v/>
      </c>
      <c r="H2751" s="10" t="str">
        <f t="shared" si="85"/>
        <v>Wednesday</v>
      </c>
    </row>
    <row r="2752" spans="1:8">
      <c r="A2752" s="9">
        <v>212977568</v>
      </c>
      <c r="B2752" s="6">
        <v>45140</v>
      </c>
      <c r="C2752" s="1"/>
      <c r="D2752" s="1" t="s">
        <v>7</v>
      </c>
      <c r="E2752" s="1">
        <v>39</v>
      </c>
      <c r="F2752" s="1" t="s">
        <v>6</v>
      </c>
      <c r="G2752" s="44" t="str">
        <f t="shared" si="84"/>
        <v/>
      </c>
      <c r="H2752" s="10" t="str">
        <f t="shared" si="85"/>
        <v>Wednesday</v>
      </c>
    </row>
    <row r="2753" spans="1:8">
      <c r="A2753" s="9">
        <v>217981717</v>
      </c>
      <c r="B2753" s="6">
        <v>45140</v>
      </c>
      <c r="C2753" s="1"/>
      <c r="D2753" s="1" t="s">
        <v>7</v>
      </c>
      <c r="E2753" s="1">
        <v>39</v>
      </c>
      <c r="F2753" s="1" t="s">
        <v>6</v>
      </c>
      <c r="G2753" s="44" t="str">
        <f t="shared" si="84"/>
        <v/>
      </c>
      <c r="H2753" s="10" t="str">
        <f t="shared" si="85"/>
        <v>Wednesday</v>
      </c>
    </row>
    <row r="2754" spans="1:8">
      <c r="A2754" s="9">
        <v>219459089</v>
      </c>
      <c r="B2754" s="6">
        <v>45140</v>
      </c>
      <c r="C2754" s="1"/>
      <c r="D2754" s="1" t="s">
        <v>7</v>
      </c>
      <c r="E2754" s="1">
        <v>39</v>
      </c>
      <c r="F2754" s="1" t="s">
        <v>6</v>
      </c>
      <c r="G2754" s="44" t="str">
        <f t="shared" si="84"/>
        <v/>
      </c>
      <c r="H2754" s="10" t="str">
        <f t="shared" si="85"/>
        <v>Wednesday</v>
      </c>
    </row>
    <row r="2755" spans="1:8">
      <c r="A2755" s="9">
        <v>193483420</v>
      </c>
      <c r="B2755" s="6">
        <v>45140</v>
      </c>
      <c r="C2755" s="1"/>
      <c r="D2755" s="1" t="s">
        <v>7</v>
      </c>
      <c r="E2755" s="1">
        <v>39</v>
      </c>
      <c r="F2755" s="1" t="s">
        <v>6</v>
      </c>
      <c r="G2755" s="44" t="str">
        <f t="shared" ref="G2755:G2818" si="86">IF(C2755="", "", DATEDIF(B2755, C2755, "D"))</f>
        <v/>
      </c>
      <c r="H2755" s="10" t="str">
        <f t="shared" ref="H2755:H2818" si="87">TEXT(B2755, "dddd")</f>
        <v>Wednesday</v>
      </c>
    </row>
    <row r="2756" spans="1:8">
      <c r="A2756" s="9">
        <v>219496362</v>
      </c>
      <c r="B2756" s="6">
        <v>45140</v>
      </c>
      <c r="C2756" s="6">
        <v>45173</v>
      </c>
      <c r="D2756" s="1" t="s">
        <v>7</v>
      </c>
      <c r="E2756" s="1">
        <v>39</v>
      </c>
      <c r="F2756" s="1" t="s">
        <v>6</v>
      </c>
      <c r="G2756" s="44">
        <f t="shared" si="86"/>
        <v>33</v>
      </c>
      <c r="H2756" s="10" t="str">
        <f t="shared" si="87"/>
        <v>Wednesday</v>
      </c>
    </row>
    <row r="2757" spans="1:8">
      <c r="A2757" s="9">
        <v>219398902</v>
      </c>
      <c r="B2757" s="6">
        <v>45140</v>
      </c>
      <c r="C2757" s="6">
        <v>45174</v>
      </c>
      <c r="D2757" s="1" t="s">
        <v>7</v>
      </c>
      <c r="E2757" s="1">
        <v>39</v>
      </c>
      <c r="F2757" s="1" t="s">
        <v>6</v>
      </c>
      <c r="G2757" s="44">
        <f t="shared" si="86"/>
        <v>34</v>
      </c>
      <c r="H2757" s="10" t="str">
        <f t="shared" si="87"/>
        <v>Wednesday</v>
      </c>
    </row>
    <row r="2758" spans="1:8">
      <c r="A2758" s="9">
        <v>219497152</v>
      </c>
      <c r="B2758" s="6">
        <v>45140</v>
      </c>
      <c r="C2758" s="6">
        <v>45161</v>
      </c>
      <c r="D2758" s="1" t="s">
        <v>7</v>
      </c>
      <c r="E2758" s="1">
        <v>39</v>
      </c>
      <c r="F2758" s="1" t="s">
        <v>6</v>
      </c>
      <c r="G2758" s="44">
        <f t="shared" si="86"/>
        <v>21</v>
      </c>
      <c r="H2758" s="10" t="str">
        <f t="shared" si="87"/>
        <v>Wednesday</v>
      </c>
    </row>
    <row r="2759" spans="1:8">
      <c r="A2759" s="9">
        <v>188426619</v>
      </c>
      <c r="B2759" s="6">
        <v>45140</v>
      </c>
      <c r="C2759" s="6">
        <v>45170</v>
      </c>
      <c r="D2759" s="1" t="s">
        <v>7</v>
      </c>
      <c r="E2759" s="1">
        <v>39</v>
      </c>
      <c r="F2759" s="1" t="s">
        <v>6</v>
      </c>
      <c r="G2759" s="44">
        <f t="shared" si="86"/>
        <v>30</v>
      </c>
      <c r="H2759" s="10" t="str">
        <f t="shared" si="87"/>
        <v>Wednesday</v>
      </c>
    </row>
    <row r="2760" spans="1:8">
      <c r="A2760" s="9">
        <v>219470485</v>
      </c>
      <c r="B2760" s="6">
        <v>45140</v>
      </c>
      <c r="C2760" s="6">
        <v>45154</v>
      </c>
      <c r="D2760" s="1" t="s">
        <v>7</v>
      </c>
      <c r="E2760" s="1">
        <v>39</v>
      </c>
      <c r="F2760" s="1" t="s">
        <v>6</v>
      </c>
      <c r="G2760" s="44">
        <f t="shared" si="86"/>
        <v>14</v>
      </c>
      <c r="H2760" s="10" t="str">
        <f t="shared" si="87"/>
        <v>Wednesday</v>
      </c>
    </row>
    <row r="2761" spans="1:8">
      <c r="A2761" s="9">
        <v>219460783</v>
      </c>
      <c r="B2761" s="6">
        <v>45140</v>
      </c>
      <c r="C2761" s="6">
        <v>45166</v>
      </c>
      <c r="D2761" s="1" t="s">
        <v>7</v>
      </c>
      <c r="E2761" s="1">
        <v>39</v>
      </c>
      <c r="F2761" s="1" t="s">
        <v>6</v>
      </c>
      <c r="G2761" s="44">
        <f t="shared" si="86"/>
        <v>26</v>
      </c>
      <c r="H2761" s="10" t="str">
        <f t="shared" si="87"/>
        <v>Wednesday</v>
      </c>
    </row>
    <row r="2762" spans="1:8">
      <c r="A2762" s="9">
        <v>219512722</v>
      </c>
      <c r="B2762" s="6">
        <v>45141</v>
      </c>
      <c r="C2762" s="1"/>
      <c r="D2762" s="1" t="s">
        <v>7</v>
      </c>
      <c r="E2762" s="1">
        <v>39</v>
      </c>
      <c r="F2762" s="1" t="s">
        <v>6</v>
      </c>
      <c r="G2762" s="44" t="str">
        <f t="shared" si="86"/>
        <v/>
      </c>
      <c r="H2762" s="10" t="str">
        <f t="shared" si="87"/>
        <v>Thursday</v>
      </c>
    </row>
    <row r="2763" spans="1:8">
      <c r="A2763" s="9">
        <v>199393176</v>
      </c>
      <c r="B2763" s="6">
        <v>45141</v>
      </c>
      <c r="C2763" s="1"/>
      <c r="D2763" s="1" t="s">
        <v>7</v>
      </c>
      <c r="E2763" s="1">
        <v>39</v>
      </c>
      <c r="F2763" s="1" t="s">
        <v>6</v>
      </c>
      <c r="G2763" s="44" t="str">
        <f t="shared" si="86"/>
        <v/>
      </c>
      <c r="H2763" s="10" t="str">
        <f t="shared" si="87"/>
        <v>Thursday</v>
      </c>
    </row>
    <row r="2764" spans="1:8">
      <c r="A2764" s="9">
        <v>217368686</v>
      </c>
      <c r="B2764" s="6">
        <v>45141</v>
      </c>
      <c r="C2764" s="1"/>
      <c r="D2764" s="1" t="s">
        <v>7</v>
      </c>
      <c r="E2764" s="1">
        <v>39</v>
      </c>
      <c r="F2764" s="1" t="s">
        <v>6</v>
      </c>
      <c r="G2764" s="44" t="str">
        <f t="shared" si="86"/>
        <v/>
      </c>
      <c r="H2764" s="10" t="str">
        <f t="shared" si="87"/>
        <v>Thursday</v>
      </c>
    </row>
    <row r="2765" spans="1:8">
      <c r="A2765" s="9">
        <v>218247056</v>
      </c>
      <c r="B2765" s="6">
        <v>45141</v>
      </c>
      <c r="C2765" s="1"/>
      <c r="D2765" s="1" t="s">
        <v>7</v>
      </c>
      <c r="E2765" s="1">
        <v>39</v>
      </c>
      <c r="F2765" s="1" t="s">
        <v>6</v>
      </c>
      <c r="G2765" s="44" t="str">
        <f t="shared" si="86"/>
        <v/>
      </c>
      <c r="H2765" s="10" t="str">
        <f t="shared" si="87"/>
        <v>Thursday</v>
      </c>
    </row>
    <row r="2766" spans="1:8">
      <c r="A2766" s="9">
        <v>219439239</v>
      </c>
      <c r="B2766" s="6">
        <v>45141</v>
      </c>
      <c r="C2766" s="1"/>
      <c r="D2766" s="1" t="s">
        <v>7</v>
      </c>
      <c r="E2766" s="1">
        <v>39</v>
      </c>
      <c r="F2766" s="1" t="s">
        <v>6</v>
      </c>
      <c r="G2766" s="44" t="str">
        <f t="shared" si="86"/>
        <v/>
      </c>
      <c r="H2766" s="10" t="str">
        <f t="shared" si="87"/>
        <v>Thursday</v>
      </c>
    </row>
    <row r="2767" spans="1:8">
      <c r="A2767" s="9">
        <v>188206991</v>
      </c>
      <c r="B2767" s="6">
        <v>45141</v>
      </c>
      <c r="C2767" s="1"/>
      <c r="D2767" s="1" t="s">
        <v>7</v>
      </c>
      <c r="E2767" s="1">
        <v>39</v>
      </c>
      <c r="F2767" s="1" t="s">
        <v>6</v>
      </c>
      <c r="G2767" s="44" t="str">
        <f t="shared" si="86"/>
        <v/>
      </c>
      <c r="H2767" s="10" t="str">
        <f t="shared" si="87"/>
        <v>Thursday</v>
      </c>
    </row>
    <row r="2768" spans="1:8">
      <c r="A2768" s="9">
        <v>206470657</v>
      </c>
      <c r="B2768" s="6">
        <v>45141</v>
      </c>
      <c r="C2768" s="1"/>
      <c r="D2768" s="1" t="s">
        <v>7</v>
      </c>
      <c r="E2768" s="1">
        <v>39</v>
      </c>
      <c r="F2768" s="1" t="s">
        <v>6</v>
      </c>
      <c r="G2768" s="44" t="str">
        <f t="shared" si="86"/>
        <v/>
      </c>
      <c r="H2768" s="10" t="str">
        <f t="shared" si="87"/>
        <v>Thursday</v>
      </c>
    </row>
    <row r="2769" spans="1:8">
      <c r="A2769" s="9">
        <v>218706730</v>
      </c>
      <c r="B2769" s="6">
        <v>45141</v>
      </c>
      <c r="C2769" s="1"/>
      <c r="D2769" s="1" t="s">
        <v>7</v>
      </c>
      <c r="E2769" s="1">
        <v>39</v>
      </c>
      <c r="F2769" s="1" t="s">
        <v>6</v>
      </c>
      <c r="G2769" s="44" t="str">
        <f t="shared" si="86"/>
        <v/>
      </c>
      <c r="H2769" s="10" t="str">
        <f t="shared" si="87"/>
        <v>Thursday</v>
      </c>
    </row>
    <row r="2770" spans="1:8">
      <c r="A2770" s="9">
        <v>219512680</v>
      </c>
      <c r="B2770" s="6">
        <v>45141</v>
      </c>
      <c r="C2770" s="1"/>
      <c r="D2770" s="1" t="s">
        <v>7</v>
      </c>
      <c r="E2770" s="1">
        <v>39</v>
      </c>
      <c r="F2770" s="1" t="s">
        <v>6</v>
      </c>
      <c r="G2770" s="44" t="str">
        <f t="shared" si="86"/>
        <v/>
      </c>
      <c r="H2770" s="10" t="str">
        <f t="shared" si="87"/>
        <v>Thursday</v>
      </c>
    </row>
    <row r="2771" spans="1:8">
      <c r="A2771" s="9">
        <v>125335731</v>
      </c>
      <c r="B2771" s="6">
        <v>45141</v>
      </c>
      <c r="C2771" s="1"/>
      <c r="D2771" s="1" t="s">
        <v>7</v>
      </c>
      <c r="E2771" s="1">
        <v>39</v>
      </c>
      <c r="F2771" s="1" t="s">
        <v>6</v>
      </c>
      <c r="G2771" s="44" t="str">
        <f t="shared" si="86"/>
        <v/>
      </c>
      <c r="H2771" s="10" t="str">
        <f t="shared" si="87"/>
        <v>Thursday</v>
      </c>
    </row>
    <row r="2772" spans="1:8">
      <c r="A2772" s="9">
        <v>160598122</v>
      </c>
      <c r="B2772" s="6">
        <v>45141</v>
      </c>
      <c r="C2772" s="1"/>
      <c r="D2772" s="1" t="s">
        <v>7</v>
      </c>
      <c r="E2772" s="1">
        <v>39</v>
      </c>
      <c r="F2772" s="1" t="s">
        <v>6</v>
      </c>
      <c r="G2772" s="44" t="str">
        <f t="shared" si="86"/>
        <v/>
      </c>
      <c r="H2772" s="10" t="str">
        <f t="shared" si="87"/>
        <v>Thursday</v>
      </c>
    </row>
    <row r="2773" spans="1:8">
      <c r="A2773" s="9">
        <v>218414156</v>
      </c>
      <c r="B2773" s="6">
        <v>45141</v>
      </c>
      <c r="C2773" s="1"/>
      <c r="D2773" s="1" t="s">
        <v>7</v>
      </c>
      <c r="E2773" s="1">
        <v>39</v>
      </c>
      <c r="F2773" s="1" t="s">
        <v>6</v>
      </c>
      <c r="G2773" s="44" t="str">
        <f t="shared" si="86"/>
        <v/>
      </c>
      <c r="H2773" s="10" t="str">
        <f t="shared" si="87"/>
        <v>Thursday</v>
      </c>
    </row>
    <row r="2774" spans="1:8">
      <c r="A2774" s="9">
        <v>206455504</v>
      </c>
      <c r="B2774" s="6">
        <v>45141</v>
      </c>
      <c r="C2774" s="6">
        <v>45170</v>
      </c>
      <c r="D2774" s="1" t="s">
        <v>7</v>
      </c>
      <c r="E2774" s="1">
        <v>39</v>
      </c>
      <c r="F2774" s="1" t="s">
        <v>6</v>
      </c>
      <c r="G2774" s="44">
        <f t="shared" si="86"/>
        <v>29</v>
      </c>
      <c r="H2774" s="10" t="str">
        <f t="shared" si="87"/>
        <v>Thursday</v>
      </c>
    </row>
    <row r="2775" spans="1:8">
      <c r="A2775" s="9">
        <v>202589094</v>
      </c>
      <c r="B2775" s="6">
        <v>45141</v>
      </c>
      <c r="C2775" s="6">
        <v>45172</v>
      </c>
      <c r="D2775" s="1" t="s">
        <v>7</v>
      </c>
      <c r="E2775" s="1">
        <v>39</v>
      </c>
      <c r="F2775" s="1" t="s">
        <v>6</v>
      </c>
      <c r="G2775" s="44">
        <f t="shared" si="86"/>
        <v>31</v>
      </c>
      <c r="H2775" s="10" t="str">
        <f t="shared" si="87"/>
        <v>Thursday</v>
      </c>
    </row>
    <row r="2776" spans="1:8">
      <c r="A2776" s="9">
        <v>129747676</v>
      </c>
      <c r="B2776" s="6">
        <v>45141</v>
      </c>
      <c r="C2776" s="6">
        <v>45175</v>
      </c>
      <c r="D2776" s="1" t="s">
        <v>7</v>
      </c>
      <c r="E2776" s="1">
        <v>39</v>
      </c>
      <c r="F2776" s="1" t="s">
        <v>6</v>
      </c>
      <c r="G2776" s="44">
        <f t="shared" si="86"/>
        <v>34</v>
      </c>
      <c r="H2776" s="10" t="str">
        <f t="shared" si="87"/>
        <v>Thursday</v>
      </c>
    </row>
    <row r="2777" spans="1:8">
      <c r="A2777" s="9">
        <v>219511614</v>
      </c>
      <c r="B2777" s="6">
        <v>45141</v>
      </c>
      <c r="C2777" s="6">
        <v>45170</v>
      </c>
      <c r="D2777" s="1" t="s">
        <v>7</v>
      </c>
      <c r="E2777" s="1">
        <v>39</v>
      </c>
      <c r="F2777" s="1" t="s">
        <v>6</v>
      </c>
      <c r="G2777" s="44">
        <f t="shared" si="86"/>
        <v>29</v>
      </c>
      <c r="H2777" s="10" t="str">
        <f t="shared" si="87"/>
        <v>Thursday</v>
      </c>
    </row>
    <row r="2778" spans="1:8">
      <c r="A2778" s="9">
        <v>219491158</v>
      </c>
      <c r="B2778" s="6">
        <v>45142</v>
      </c>
      <c r="C2778" s="1"/>
      <c r="D2778" s="1" t="s">
        <v>7</v>
      </c>
      <c r="E2778" s="1">
        <v>39</v>
      </c>
      <c r="F2778" s="1" t="s">
        <v>6</v>
      </c>
      <c r="G2778" s="44" t="str">
        <f t="shared" si="86"/>
        <v/>
      </c>
      <c r="H2778" s="10" t="str">
        <f t="shared" si="87"/>
        <v>Friday</v>
      </c>
    </row>
    <row r="2779" spans="1:8">
      <c r="A2779" s="9">
        <v>218790626</v>
      </c>
      <c r="B2779" s="6">
        <v>45142</v>
      </c>
      <c r="C2779" s="1"/>
      <c r="D2779" s="1" t="s">
        <v>7</v>
      </c>
      <c r="E2779" s="1">
        <v>39</v>
      </c>
      <c r="F2779" s="1" t="s">
        <v>6</v>
      </c>
      <c r="G2779" s="44" t="str">
        <f t="shared" si="86"/>
        <v/>
      </c>
      <c r="H2779" s="10" t="str">
        <f t="shared" si="87"/>
        <v>Friday</v>
      </c>
    </row>
    <row r="2780" spans="1:8">
      <c r="A2780" s="9">
        <v>219476808</v>
      </c>
      <c r="B2780" s="6">
        <v>45142</v>
      </c>
      <c r="C2780" s="1"/>
      <c r="D2780" s="1" t="s">
        <v>7</v>
      </c>
      <c r="E2780" s="1">
        <v>39</v>
      </c>
      <c r="F2780" s="1" t="s">
        <v>6</v>
      </c>
      <c r="G2780" s="44" t="str">
        <f t="shared" si="86"/>
        <v/>
      </c>
      <c r="H2780" s="10" t="str">
        <f t="shared" si="87"/>
        <v>Friday</v>
      </c>
    </row>
    <row r="2781" spans="1:8">
      <c r="A2781" s="9">
        <v>218585706</v>
      </c>
      <c r="B2781" s="6">
        <v>45142</v>
      </c>
      <c r="C2781" s="1"/>
      <c r="D2781" s="1" t="s">
        <v>7</v>
      </c>
      <c r="E2781" s="1">
        <v>39</v>
      </c>
      <c r="F2781" s="1" t="s">
        <v>6</v>
      </c>
      <c r="G2781" s="44" t="str">
        <f t="shared" si="86"/>
        <v/>
      </c>
      <c r="H2781" s="10" t="str">
        <f t="shared" si="87"/>
        <v>Friday</v>
      </c>
    </row>
    <row r="2782" spans="1:8">
      <c r="A2782" s="9">
        <v>219316901</v>
      </c>
      <c r="B2782" s="6">
        <v>45142</v>
      </c>
      <c r="C2782" s="1"/>
      <c r="D2782" s="1" t="s">
        <v>7</v>
      </c>
      <c r="E2782" s="1">
        <v>39</v>
      </c>
      <c r="F2782" s="1" t="s">
        <v>6</v>
      </c>
      <c r="G2782" s="44" t="str">
        <f t="shared" si="86"/>
        <v/>
      </c>
      <c r="H2782" s="10" t="str">
        <f t="shared" si="87"/>
        <v>Friday</v>
      </c>
    </row>
    <row r="2783" spans="1:8">
      <c r="A2783" s="9">
        <v>217724278</v>
      </c>
      <c r="B2783" s="6">
        <v>45142</v>
      </c>
      <c r="C2783" s="1"/>
      <c r="D2783" s="1" t="s">
        <v>7</v>
      </c>
      <c r="E2783" s="1">
        <v>39</v>
      </c>
      <c r="F2783" s="1" t="s">
        <v>6</v>
      </c>
      <c r="G2783" s="44" t="str">
        <f t="shared" si="86"/>
        <v/>
      </c>
      <c r="H2783" s="10" t="str">
        <f t="shared" si="87"/>
        <v>Friday</v>
      </c>
    </row>
    <row r="2784" spans="1:8">
      <c r="A2784" s="9">
        <v>155869412</v>
      </c>
      <c r="B2784" s="6">
        <v>45142</v>
      </c>
      <c r="C2784" s="1"/>
      <c r="D2784" s="1" t="s">
        <v>7</v>
      </c>
      <c r="E2784" s="1">
        <v>39</v>
      </c>
      <c r="F2784" s="1" t="s">
        <v>6</v>
      </c>
      <c r="G2784" s="44" t="str">
        <f t="shared" si="86"/>
        <v/>
      </c>
      <c r="H2784" s="10" t="str">
        <f t="shared" si="87"/>
        <v>Friday</v>
      </c>
    </row>
    <row r="2785" spans="1:8">
      <c r="A2785" s="9">
        <v>164535832</v>
      </c>
      <c r="B2785" s="6">
        <v>45142</v>
      </c>
      <c r="C2785" s="1"/>
      <c r="D2785" s="1" t="s">
        <v>7</v>
      </c>
      <c r="E2785" s="1">
        <v>39</v>
      </c>
      <c r="F2785" s="1" t="s">
        <v>6</v>
      </c>
      <c r="G2785" s="44" t="str">
        <f t="shared" si="86"/>
        <v/>
      </c>
      <c r="H2785" s="10" t="str">
        <f t="shared" si="87"/>
        <v>Friday</v>
      </c>
    </row>
    <row r="2786" spans="1:8">
      <c r="A2786" s="9">
        <v>219388064</v>
      </c>
      <c r="B2786" s="6">
        <v>45142</v>
      </c>
      <c r="C2786" s="1"/>
      <c r="D2786" s="1" t="s">
        <v>7</v>
      </c>
      <c r="E2786" s="1">
        <v>39</v>
      </c>
      <c r="F2786" s="1" t="s">
        <v>6</v>
      </c>
      <c r="G2786" s="44" t="str">
        <f t="shared" si="86"/>
        <v/>
      </c>
      <c r="H2786" s="10" t="str">
        <f t="shared" si="87"/>
        <v>Friday</v>
      </c>
    </row>
    <row r="2787" spans="1:8">
      <c r="A2787" s="9">
        <v>218884048</v>
      </c>
      <c r="B2787" s="6">
        <v>45142</v>
      </c>
      <c r="C2787" s="6">
        <v>45160</v>
      </c>
      <c r="D2787" s="1" t="s">
        <v>7</v>
      </c>
      <c r="E2787" s="1">
        <v>39</v>
      </c>
      <c r="F2787" s="1" t="s">
        <v>6</v>
      </c>
      <c r="G2787" s="44">
        <f t="shared" si="86"/>
        <v>18</v>
      </c>
      <c r="H2787" s="10" t="str">
        <f t="shared" si="87"/>
        <v>Friday</v>
      </c>
    </row>
    <row r="2788" spans="1:8">
      <c r="A2788" s="9">
        <v>219603078</v>
      </c>
      <c r="B2788" s="6">
        <v>45143</v>
      </c>
      <c r="C2788" s="1"/>
      <c r="D2788" s="1" t="s">
        <v>7</v>
      </c>
      <c r="E2788" s="1">
        <v>39</v>
      </c>
      <c r="F2788" s="1" t="s">
        <v>6</v>
      </c>
      <c r="G2788" s="44" t="str">
        <f t="shared" si="86"/>
        <v/>
      </c>
      <c r="H2788" s="10" t="str">
        <f t="shared" si="87"/>
        <v>Saturday</v>
      </c>
    </row>
    <row r="2789" spans="1:8">
      <c r="A2789" s="9">
        <v>219146842</v>
      </c>
      <c r="B2789" s="6">
        <v>45143</v>
      </c>
      <c r="C2789" s="1"/>
      <c r="D2789" s="1" t="s">
        <v>7</v>
      </c>
      <c r="E2789" s="1">
        <v>39</v>
      </c>
      <c r="F2789" s="1" t="s">
        <v>6</v>
      </c>
      <c r="G2789" s="44" t="str">
        <f t="shared" si="86"/>
        <v/>
      </c>
      <c r="H2789" s="10" t="str">
        <f t="shared" si="87"/>
        <v>Saturday</v>
      </c>
    </row>
    <row r="2790" spans="1:8">
      <c r="A2790" s="9">
        <v>206676416</v>
      </c>
      <c r="B2790" s="6">
        <v>45143</v>
      </c>
      <c r="C2790" s="1"/>
      <c r="D2790" s="1" t="s">
        <v>7</v>
      </c>
      <c r="E2790" s="1">
        <v>39</v>
      </c>
      <c r="F2790" s="1" t="s">
        <v>6</v>
      </c>
      <c r="G2790" s="44" t="str">
        <f t="shared" si="86"/>
        <v/>
      </c>
      <c r="H2790" s="10" t="str">
        <f t="shared" si="87"/>
        <v>Saturday</v>
      </c>
    </row>
    <row r="2791" spans="1:8">
      <c r="A2791" s="9">
        <v>219615770</v>
      </c>
      <c r="B2791" s="6">
        <v>45143</v>
      </c>
      <c r="C2791" s="1"/>
      <c r="D2791" s="1" t="s">
        <v>7</v>
      </c>
      <c r="E2791" s="1">
        <v>39</v>
      </c>
      <c r="F2791" s="1" t="s">
        <v>6</v>
      </c>
      <c r="G2791" s="44" t="str">
        <f t="shared" si="86"/>
        <v/>
      </c>
      <c r="H2791" s="10" t="str">
        <f t="shared" si="87"/>
        <v>Saturday</v>
      </c>
    </row>
    <row r="2792" spans="1:8">
      <c r="A2792" s="9">
        <v>219630379</v>
      </c>
      <c r="B2792" s="6">
        <v>45144</v>
      </c>
      <c r="C2792" s="1"/>
      <c r="D2792" s="1" t="s">
        <v>7</v>
      </c>
      <c r="E2792" s="1">
        <v>39</v>
      </c>
      <c r="F2792" s="1" t="s">
        <v>6</v>
      </c>
      <c r="G2792" s="44" t="str">
        <f t="shared" si="86"/>
        <v/>
      </c>
      <c r="H2792" s="10" t="str">
        <f t="shared" si="87"/>
        <v>Sunday</v>
      </c>
    </row>
    <row r="2793" spans="1:8">
      <c r="A2793" s="9">
        <v>145096572</v>
      </c>
      <c r="B2793" s="6">
        <v>45144</v>
      </c>
      <c r="C2793" s="1"/>
      <c r="D2793" s="1" t="s">
        <v>7</v>
      </c>
      <c r="E2793" s="1">
        <v>39</v>
      </c>
      <c r="F2793" s="1" t="s">
        <v>6</v>
      </c>
      <c r="G2793" s="44" t="str">
        <f t="shared" si="86"/>
        <v/>
      </c>
      <c r="H2793" s="10" t="str">
        <f t="shared" si="87"/>
        <v>Sunday</v>
      </c>
    </row>
    <row r="2794" spans="1:8">
      <c r="A2794" s="9">
        <v>144005898</v>
      </c>
      <c r="B2794" s="6">
        <v>45144</v>
      </c>
      <c r="C2794" s="1"/>
      <c r="D2794" s="1" t="s">
        <v>7</v>
      </c>
      <c r="E2794" s="1">
        <v>39</v>
      </c>
      <c r="F2794" s="1" t="s">
        <v>6</v>
      </c>
      <c r="G2794" s="44" t="str">
        <f t="shared" si="86"/>
        <v/>
      </c>
      <c r="H2794" s="10" t="str">
        <f t="shared" si="87"/>
        <v>Sunday</v>
      </c>
    </row>
    <row r="2795" spans="1:8">
      <c r="A2795" s="9">
        <v>215189020</v>
      </c>
      <c r="B2795" s="6">
        <v>45144</v>
      </c>
      <c r="C2795" s="1"/>
      <c r="D2795" s="1" t="s">
        <v>7</v>
      </c>
      <c r="E2795" s="1">
        <v>39</v>
      </c>
      <c r="F2795" s="1" t="s">
        <v>6</v>
      </c>
      <c r="G2795" s="44" t="str">
        <f t="shared" si="86"/>
        <v/>
      </c>
      <c r="H2795" s="10" t="str">
        <f t="shared" si="87"/>
        <v>Sunday</v>
      </c>
    </row>
    <row r="2796" spans="1:8">
      <c r="A2796" s="9">
        <v>188354637</v>
      </c>
      <c r="B2796" s="6">
        <v>45144</v>
      </c>
      <c r="C2796" s="6">
        <v>45158</v>
      </c>
      <c r="D2796" s="1" t="s">
        <v>7</v>
      </c>
      <c r="E2796" s="1">
        <v>39</v>
      </c>
      <c r="F2796" s="1" t="s">
        <v>6</v>
      </c>
      <c r="G2796" s="44">
        <f t="shared" si="86"/>
        <v>14</v>
      </c>
      <c r="H2796" s="10" t="str">
        <f t="shared" si="87"/>
        <v>Sunday</v>
      </c>
    </row>
    <row r="2797" spans="1:8">
      <c r="A2797" s="9">
        <v>219668475</v>
      </c>
      <c r="B2797" s="6">
        <v>45145</v>
      </c>
      <c r="C2797" s="1"/>
      <c r="D2797" s="1" t="s">
        <v>7</v>
      </c>
      <c r="E2797" s="1">
        <v>39</v>
      </c>
      <c r="F2797" s="1" t="s">
        <v>6</v>
      </c>
      <c r="G2797" s="44" t="str">
        <f t="shared" si="86"/>
        <v/>
      </c>
      <c r="H2797" s="10" t="str">
        <f t="shared" si="87"/>
        <v>Monday</v>
      </c>
    </row>
    <row r="2798" spans="1:8">
      <c r="A2798" s="9">
        <v>219495361</v>
      </c>
      <c r="B2798" s="6">
        <v>45145</v>
      </c>
      <c r="C2798" s="1"/>
      <c r="D2798" s="1" t="s">
        <v>7</v>
      </c>
      <c r="E2798" s="1">
        <v>39</v>
      </c>
      <c r="F2798" s="1" t="s">
        <v>6</v>
      </c>
      <c r="G2798" s="44" t="str">
        <f t="shared" si="86"/>
        <v/>
      </c>
      <c r="H2798" s="10" t="str">
        <f t="shared" si="87"/>
        <v>Monday</v>
      </c>
    </row>
    <row r="2799" spans="1:8">
      <c r="A2799" s="9">
        <v>219672587</v>
      </c>
      <c r="B2799" s="6">
        <v>45145</v>
      </c>
      <c r="C2799" s="1"/>
      <c r="D2799" s="1" t="s">
        <v>7</v>
      </c>
      <c r="E2799" s="1">
        <v>39</v>
      </c>
      <c r="F2799" s="1" t="s">
        <v>6</v>
      </c>
      <c r="G2799" s="44" t="str">
        <f t="shared" si="86"/>
        <v/>
      </c>
      <c r="H2799" s="10" t="str">
        <f t="shared" si="87"/>
        <v>Monday</v>
      </c>
    </row>
    <row r="2800" spans="1:8">
      <c r="A2800" s="9">
        <v>218556897</v>
      </c>
      <c r="B2800" s="6">
        <v>45145</v>
      </c>
      <c r="C2800" s="6">
        <v>45146</v>
      </c>
      <c r="D2800" s="1" t="s">
        <v>7</v>
      </c>
      <c r="E2800" s="1">
        <v>39</v>
      </c>
      <c r="F2800" s="1" t="s">
        <v>6</v>
      </c>
      <c r="G2800" s="44">
        <f t="shared" si="86"/>
        <v>1</v>
      </c>
      <c r="H2800" s="10" t="str">
        <f t="shared" si="87"/>
        <v>Monday</v>
      </c>
    </row>
    <row r="2801" spans="1:8">
      <c r="A2801" s="9">
        <v>219467082</v>
      </c>
      <c r="B2801" s="6">
        <v>45145</v>
      </c>
      <c r="C2801" s="6">
        <v>45153</v>
      </c>
      <c r="D2801" s="1" t="s">
        <v>7</v>
      </c>
      <c r="E2801" s="1">
        <v>39</v>
      </c>
      <c r="F2801" s="1" t="s">
        <v>6</v>
      </c>
      <c r="G2801" s="44">
        <f t="shared" si="86"/>
        <v>8</v>
      </c>
      <c r="H2801" s="10" t="str">
        <f t="shared" si="87"/>
        <v>Monday</v>
      </c>
    </row>
    <row r="2802" spans="1:8">
      <c r="A2802" s="9">
        <v>139353407</v>
      </c>
      <c r="B2802" s="6">
        <v>45146</v>
      </c>
      <c r="C2802" s="1"/>
      <c r="D2802" s="1" t="s">
        <v>7</v>
      </c>
      <c r="E2802" s="1">
        <v>39</v>
      </c>
      <c r="F2802" s="1" t="s">
        <v>6</v>
      </c>
      <c r="G2802" s="44" t="str">
        <f t="shared" si="86"/>
        <v/>
      </c>
      <c r="H2802" s="10" t="str">
        <f t="shared" si="87"/>
        <v>Tuesday</v>
      </c>
    </row>
    <row r="2803" spans="1:8">
      <c r="A2803" s="9">
        <v>219734945</v>
      </c>
      <c r="B2803" s="6">
        <v>45146</v>
      </c>
      <c r="C2803" s="1"/>
      <c r="D2803" s="1" t="s">
        <v>7</v>
      </c>
      <c r="E2803" s="1">
        <v>39</v>
      </c>
      <c r="F2803" s="1" t="s">
        <v>6</v>
      </c>
      <c r="G2803" s="44" t="str">
        <f t="shared" si="86"/>
        <v/>
      </c>
      <c r="H2803" s="10" t="str">
        <f t="shared" si="87"/>
        <v>Tuesday</v>
      </c>
    </row>
    <row r="2804" spans="1:8">
      <c r="A2804" s="9">
        <v>219735949</v>
      </c>
      <c r="B2804" s="6">
        <v>45146</v>
      </c>
      <c r="C2804" s="1"/>
      <c r="D2804" s="1" t="s">
        <v>7</v>
      </c>
      <c r="E2804" s="1">
        <v>39</v>
      </c>
      <c r="F2804" s="1" t="s">
        <v>6</v>
      </c>
      <c r="G2804" s="44" t="str">
        <f t="shared" si="86"/>
        <v/>
      </c>
      <c r="H2804" s="10" t="str">
        <f t="shared" si="87"/>
        <v>Tuesday</v>
      </c>
    </row>
    <row r="2805" spans="1:8">
      <c r="A2805" s="9">
        <v>219688361</v>
      </c>
      <c r="B2805" s="6">
        <v>45146</v>
      </c>
      <c r="C2805" s="1"/>
      <c r="D2805" s="1" t="s">
        <v>7</v>
      </c>
      <c r="E2805" s="1">
        <v>39</v>
      </c>
      <c r="F2805" s="1" t="s">
        <v>6</v>
      </c>
      <c r="G2805" s="44" t="str">
        <f t="shared" si="86"/>
        <v/>
      </c>
      <c r="H2805" s="10" t="str">
        <f t="shared" si="87"/>
        <v>Tuesday</v>
      </c>
    </row>
    <row r="2806" spans="1:8">
      <c r="A2806" s="9">
        <v>219447968</v>
      </c>
      <c r="B2806" s="6">
        <v>45146</v>
      </c>
      <c r="C2806" s="1"/>
      <c r="D2806" s="1" t="s">
        <v>7</v>
      </c>
      <c r="E2806" s="1">
        <v>39</v>
      </c>
      <c r="F2806" s="1" t="s">
        <v>6</v>
      </c>
      <c r="G2806" s="44" t="str">
        <f t="shared" si="86"/>
        <v/>
      </c>
      <c r="H2806" s="10" t="str">
        <f t="shared" si="87"/>
        <v>Tuesday</v>
      </c>
    </row>
    <row r="2807" spans="1:8">
      <c r="A2807" s="9">
        <v>219583682</v>
      </c>
      <c r="B2807" s="6">
        <v>45146</v>
      </c>
      <c r="C2807" s="1"/>
      <c r="D2807" s="1" t="s">
        <v>7</v>
      </c>
      <c r="E2807" s="1">
        <v>39</v>
      </c>
      <c r="F2807" s="1" t="s">
        <v>6</v>
      </c>
      <c r="G2807" s="44" t="str">
        <f t="shared" si="86"/>
        <v/>
      </c>
      <c r="H2807" s="10" t="str">
        <f t="shared" si="87"/>
        <v>Tuesday</v>
      </c>
    </row>
    <row r="2808" spans="1:8">
      <c r="A2808" s="9">
        <v>217638566</v>
      </c>
      <c r="B2808" s="6">
        <v>45146</v>
      </c>
      <c r="C2808" s="1"/>
      <c r="D2808" s="1" t="s">
        <v>7</v>
      </c>
      <c r="E2808" s="1">
        <v>39</v>
      </c>
      <c r="F2808" s="1" t="s">
        <v>6</v>
      </c>
      <c r="G2808" s="44" t="str">
        <f t="shared" si="86"/>
        <v/>
      </c>
      <c r="H2808" s="10" t="str">
        <f t="shared" si="87"/>
        <v>Tuesday</v>
      </c>
    </row>
    <row r="2809" spans="1:8">
      <c r="A2809" s="9">
        <v>219716268</v>
      </c>
      <c r="B2809" s="6">
        <v>45146</v>
      </c>
      <c r="C2809" s="1"/>
      <c r="D2809" s="1" t="s">
        <v>7</v>
      </c>
      <c r="E2809" s="1">
        <v>39</v>
      </c>
      <c r="F2809" s="1" t="s">
        <v>6</v>
      </c>
      <c r="G2809" s="44" t="str">
        <f t="shared" si="86"/>
        <v/>
      </c>
      <c r="H2809" s="10" t="str">
        <f t="shared" si="87"/>
        <v>Tuesday</v>
      </c>
    </row>
    <row r="2810" spans="1:8">
      <c r="A2810" s="9">
        <v>219713718</v>
      </c>
      <c r="B2810" s="6">
        <v>45146</v>
      </c>
      <c r="C2810" s="1"/>
      <c r="D2810" s="1" t="s">
        <v>7</v>
      </c>
      <c r="E2810" s="1">
        <v>39</v>
      </c>
      <c r="F2810" s="1" t="s">
        <v>6</v>
      </c>
      <c r="G2810" s="44" t="str">
        <f t="shared" si="86"/>
        <v/>
      </c>
      <c r="H2810" s="10" t="str">
        <f t="shared" si="87"/>
        <v>Tuesday</v>
      </c>
    </row>
    <row r="2811" spans="1:8">
      <c r="A2811" s="9">
        <v>219707178</v>
      </c>
      <c r="B2811" s="6">
        <v>45146</v>
      </c>
      <c r="C2811" s="1"/>
      <c r="D2811" s="1" t="s">
        <v>7</v>
      </c>
      <c r="E2811" s="1">
        <v>39</v>
      </c>
      <c r="F2811" s="1" t="s">
        <v>6</v>
      </c>
      <c r="G2811" s="44" t="str">
        <f t="shared" si="86"/>
        <v/>
      </c>
      <c r="H2811" s="10" t="str">
        <f t="shared" si="87"/>
        <v>Tuesday</v>
      </c>
    </row>
    <row r="2812" spans="1:8">
      <c r="A2812" s="9">
        <v>219747148</v>
      </c>
      <c r="B2812" s="6">
        <v>45146</v>
      </c>
      <c r="C2812" s="6">
        <v>45146</v>
      </c>
      <c r="D2812" s="1" t="s">
        <v>7</v>
      </c>
      <c r="E2812" s="1">
        <v>39</v>
      </c>
      <c r="F2812" s="1" t="s">
        <v>6</v>
      </c>
      <c r="G2812" s="44">
        <f t="shared" si="86"/>
        <v>0</v>
      </c>
      <c r="H2812" s="10" t="str">
        <f t="shared" si="87"/>
        <v>Tuesday</v>
      </c>
    </row>
    <row r="2813" spans="1:8">
      <c r="A2813" s="9">
        <v>219710700</v>
      </c>
      <c r="B2813" s="6">
        <v>45146</v>
      </c>
      <c r="C2813" s="6">
        <v>45155</v>
      </c>
      <c r="D2813" s="1" t="s">
        <v>7</v>
      </c>
      <c r="E2813" s="1">
        <v>39</v>
      </c>
      <c r="F2813" s="1" t="s">
        <v>6</v>
      </c>
      <c r="G2813" s="44">
        <f t="shared" si="86"/>
        <v>9</v>
      </c>
      <c r="H2813" s="10" t="str">
        <f t="shared" si="87"/>
        <v>Tuesday</v>
      </c>
    </row>
    <row r="2814" spans="1:8">
      <c r="A2814" s="9">
        <v>160883429</v>
      </c>
      <c r="B2814" s="6">
        <v>45147</v>
      </c>
      <c r="C2814" s="1"/>
      <c r="D2814" s="1" t="s">
        <v>7</v>
      </c>
      <c r="E2814" s="1">
        <v>39</v>
      </c>
      <c r="F2814" s="1" t="s">
        <v>6</v>
      </c>
      <c r="G2814" s="44" t="str">
        <f t="shared" si="86"/>
        <v/>
      </c>
      <c r="H2814" s="10" t="str">
        <f t="shared" si="87"/>
        <v>Wednesday</v>
      </c>
    </row>
    <row r="2815" spans="1:8">
      <c r="A2815" s="9">
        <v>218556897</v>
      </c>
      <c r="B2815" s="6">
        <v>45147</v>
      </c>
      <c r="C2815" s="1"/>
      <c r="D2815" s="1" t="s">
        <v>7</v>
      </c>
      <c r="E2815" s="1">
        <v>39</v>
      </c>
      <c r="F2815" s="1" t="s">
        <v>6</v>
      </c>
      <c r="G2815" s="44" t="str">
        <f t="shared" si="86"/>
        <v/>
      </c>
      <c r="H2815" s="10" t="str">
        <f t="shared" si="87"/>
        <v>Wednesday</v>
      </c>
    </row>
    <row r="2816" spans="1:8">
      <c r="A2816" s="9">
        <v>219779586</v>
      </c>
      <c r="B2816" s="6">
        <v>45147</v>
      </c>
      <c r="C2816" s="1"/>
      <c r="D2816" s="1" t="s">
        <v>7</v>
      </c>
      <c r="E2816" s="1">
        <v>39</v>
      </c>
      <c r="F2816" s="1" t="s">
        <v>6</v>
      </c>
      <c r="G2816" s="44" t="str">
        <f t="shared" si="86"/>
        <v/>
      </c>
      <c r="H2816" s="10" t="str">
        <f t="shared" si="87"/>
        <v>Wednesday</v>
      </c>
    </row>
    <row r="2817" spans="1:8">
      <c r="A2817" s="9">
        <v>219437804</v>
      </c>
      <c r="B2817" s="6">
        <v>45147</v>
      </c>
      <c r="C2817" s="1"/>
      <c r="D2817" s="1" t="s">
        <v>7</v>
      </c>
      <c r="E2817" s="1">
        <v>39</v>
      </c>
      <c r="F2817" s="1" t="s">
        <v>6</v>
      </c>
      <c r="G2817" s="44" t="str">
        <f t="shared" si="86"/>
        <v/>
      </c>
      <c r="H2817" s="10" t="str">
        <f t="shared" si="87"/>
        <v>Wednesday</v>
      </c>
    </row>
    <row r="2818" spans="1:8">
      <c r="A2818" s="9">
        <v>206402783</v>
      </c>
      <c r="B2818" s="6">
        <v>45147</v>
      </c>
      <c r="C2818" s="1"/>
      <c r="D2818" s="1" t="s">
        <v>7</v>
      </c>
      <c r="E2818" s="1">
        <v>39</v>
      </c>
      <c r="F2818" s="1" t="s">
        <v>6</v>
      </c>
      <c r="G2818" s="44" t="str">
        <f t="shared" si="86"/>
        <v/>
      </c>
      <c r="H2818" s="10" t="str">
        <f t="shared" si="87"/>
        <v>Wednesday</v>
      </c>
    </row>
    <row r="2819" spans="1:8">
      <c r="A2819" s="9">
        <v>178419414</v>
      </c>
      <c r="B2819" s="6">
        <v>45147</v>
      </c>
      <c r="C2819" s="1"/>
      <c r="D2819" s="1" t="s">
        <v>7</v>
      </c>
      <c r="E2819" s="1">
        <v>39</v>
      </c>
      <c r="F2819" s="1" t="s">
        <v>6</v>
      </c>
      <c r="G2819" s="44" t="str">
        <f t="shared" ref="G2819:G2882" si="88">IF(C2819="", "", DATEDIF(B2819, C2819, "D"))</f>
        <v/>
      </c>
      <c r="H2819" s="10" t="str">
        <f t="shared" ref="H2819:H2882" si="89">TEXT(B2819, "dddd")</f>
        <v>Wednesday</v>
      </c>
    </row>
    <row r="2820" spans="1:8">
      <c r="A2820" s="9">
        <v>219719416</v>
      </c>
      <c r="B2820" s="6">
        <v>45147</v>
      </c>
      <c r="C2820" s="1"/>
      <c r="D2820" s="1" t="s">
        <v>7</v>
      </c>
      <c r="E2820" s="1">
        <v>39</v>
      </c>
      <c r="F2820" s="1" t="s">
        <v>6</v>
      </c>
      <c r="G2820" s="44" t="str">
        <f t="shared" si="88"/>
        <v/>
      </c>
      <c r="H2820" s="10" t="str">
        <f t="shared" si="89"/>
        <v>Wednesday</v>
      </c>
    </row>
    <row r="2821" spans="1:8">
      <c r="A2821" s="9">
        <v>156558244</v>
      </c>
      <c r="B2821" s="6">
        <v>45147</v>
      </c>
      <c r="C2821" s="1"/>
      <c r="D2821" s="1" t="s">
        <v>7</v>
      </c>
      <c r="E2821" s="1">
        <v>39</v>
      </c>
      <c r="F2821" s="1" t="s">
        <v>6</v>
      </c>
      <c r="G2821" s="44" t="str">
        <f t="shared" si="88"/>
        <v/>
      </c>
      <c r="H2821" s="10" t="str">
        <f t="shared" si="89"/>
        <v>Wednesday</v>
      </c>
    </row>
    <row r="2822" spans="1:8">
      <c r="A2822" s="9">
        <v>215602271</v>
      </c>
      <c r="B2822" s="6">
        <v>45147</v>
      </c>
      <c r="C2822" s="6">
        <v>45153</v>
      </c>
      <c r="D2822" s="1" t="s">
        <v>7</v>
      </c>
      <c r="E2822" s="1">
        <v>39</v>
      </c>
      <c r="F2822" s="1" t="s">
        <v>6</v>
      </c>
      <c r="G2822" s="44">
        <f t="shared" si="88"/>
        <v>6</v>
      </c>
      <c r="H2822" s="10" t="str">
        <f t="shared" si="89"/>
        <v>Wednesday</v>
      </c>
    </row>
    <row r="2823" spans="1:8">
      <c r="A2823" s="9">
        <v>219761422</v>
      </c>
      <c r="B2823" s="6">
        <v>45147</v>
      </c>
      <c r="C2823" s="6">
        <v>45152</v>
      </c>
      <c r="D2823" s="1" t="s">
        <v>7</v>
      </c>
      <c r="E2823" s="1">
        <v>39</v>
      </c>
      <c r="F2823" s="1" t="s">
        <v>6</v>
      </c>
      <c r="G2823" s="44">
        <f t="shared" si="88"/>
        <v>5</v>
      </c>
      <c r="H2823" s="10" t="str">
        <f t="shared" si="89"/>
        <v>Wednesday</v>
      </c>
    </row>
    <row r="2824" spans="1:8">
      <c r="A2824" s="9">
        <v>218594597</v>
      </c>
      <c r="B2824" s="6">
        <v>45147</v>
      </c>
      <c r="C2824" s="6">
        <v>45147</v>
      </c>
      <c r="D2824" s="1" t="s">
        <v>8</v>
      </c>
      <c r="E2824" s="1">
        <v>39</v>
      </c>
      <c r="F2824" s="1" t="s">
        <v>6</v>
      </c>
      <c r="G2824" s="44">
        <f t="shared" si="88"/>
        <v>0</v>
      </c>
      <c r="H2824" s="10" t="str">
        <f t="shared" si="89"/>
        <v>Wednesday</v>
      </c>
    </row>
    <row r="2825" spans="1:8">
      <c r="A2825" s="9">
        <v>219734107</v>
      </c>
      <c r="B2825" s="6">
        <v>45148</v>
      </c>
      <c r="C2825" s="1"/>
      <c r="D2825" s="1" t="s">
        <v>7</v>
      </c>
      <c r="E2825" s="1">
        <v>39</v>
      </c>
      <c r="F2825" s="1" t="s">
        <v>6</v>
      </c>
      <c r="G2825" s="44" t="str">
        <f t="shared" si="88"/>
        <v/>
      </c>
      <c r="H2825" s="10" t="str">
        <f t="shared" si="89"/>
        <v>Thursday</v>
      </c>
    </row>
    <row r="2826" spans="1:8">
      <c r="A2826" s="9">
        <v>219836911</v>
      </c>
      <c r="B2826" s="6">
        <v>45148</v>
      </c>
      <c r="C2826" s="1"/>
      <c r="D2826" s="1" t="s">
        <v>7</v>
      </c>
      <c r="E2826" s="1">
        <v>39</v>
      </c>
      <c r="F2826" s="1" t="s">
        <v>6</v>
      </c>
      <c r="G2826" s="44" t="str">
        <f t="shared" si="88"/>
        <v/>
      </c>
      <c r="H2826" s="10" t="str">
        <f t="shared" si="89"/>
        <v>Thursday</v>
      </c>
    </row>
    <row r="2827" spans="1:8">
      <c r="A2827" s="9">
        <v>215179190</v>
      </c>
      <c r="B2827" s="6">
        <v>45148</v>
      </c>
      <c r="C2827" s="1"/>
      <c r="D2827" s="1" t="s">
        <v>7</v>
      </c>
      <c r="E2827" s="1">
        <v>39</v>
      </c>
      <c r="F2827" s="1" t="s">
        <v>6</v>
      </c>
      <c r="G2827" s="44" t="str">
        <f t="shared" si="88"/>
        <v/>
      </c>
      <c r="H2827" s="10" t="str">
        <f t="shared" si="89"/>
        <v>Thursday</v>
      </c>
    </row>
    <row r="2828" spans="1:8">
      <c r="A2828" s="9">
        <v>219817702</v>
      </c>
      <c r="B2828" s="6">
        <v>45148</v>
      </c>
      <c r="C2828" s="1"/>
      <c r="D2828" s="1" t="s">
        <v>7</v>
      </c>
      <c r="E2828" s="1">
        <v>39</v>
      </c>
      <c r="F2828" s="1" t="s">
        <v>6</v>
      </c>
      <c r="G2828" s="44" t="str">
        <f t="shared" si="88"/>
        <v/>
      </c>
      <c r="H2828" s="10" t="str">
        <f t="shared" si="89"/>
        <v>Thursday</v>
      </c>
    </row>
    <row r="2829" spans="1:8">
      <c r="A2829" s="9">
        <v>150065982</v>
      </c>
      <c r="B2829" s="6">
        <v>45148</v>
      </c>
      <c r="C2829" s="6">
        <v>45149</v>
      </c>
      <c r="D2829" s="1" t="s">
        <v>7</v>
      </c>
      <c r="E2829" s="1">
        <v>39</v>
      </c>
      <c r="F2829" s="1" t="s">
        <v>6</v>
      </c>
      <c r="G2829" s="44">
        <f t="shared" si="88"/>
        <v>1</v>
      </c>
      <c r="H2829" s="10" t="str">
        <f t="shared" si="89"/>
        <v>Thursday</v>
      </c>
    </row>
    <row r="2830" spans="1:8">
      <c r="A2830" s="9">
        <v>219891350</v>
      </c>
      <c r="B2830" s="6">
        <v>45149</v>
      </c>
      <c r="C2830" s="1"/>
      <c r="D2830" s="1" t="s">
        <v>7</v>
      </c>
      <c r="E2830" s="1">
        <v>39</v>
      </c>
      <c r="F2830" s="1" t="s">
        <v>6</v>
      </c>
      <c r="G2830" s="44" t="str">
        <f t="shared" si="88"/>
        <v/>
      </c>
      <c r="H2830" s="10" t="str">
        <f t="shared" si="89"/>
        <v>Friday</v>
      </c>
    </row>
    <row r="2831" spans="1:8">
      <c r="A2831" s="9">
        <v>205210815</v>
      </c>
      <c r="B2831" s="6">
        <v>45149</v>
      </c>
      <c r="C2831" s="1"/>
      <c r="D2831" s="1" t="s">
        <v>7</v>
      </c>
      <c r="E2831" s="1">
        <v>39</v>
      </c>
      <c r="F2831" s="1" t="s">
        <v>6</v>
      </c>
      <c r="G2831" s="44" t="str">
        <f t="shared" si="88"/>
        <v/>
      </c>
      <c r="H2831" s="10" t="str">
        <f t="shared" si="89"/>
        <v>Friday</v>
      </c>
    </row>
    <row r="2832" spans="1:8">
      <c r="A2832" s="9">
        <v>219744473</v>
      </c>
      <c r="B2832" s="6">
        <v>45149</v>
      </c>
      <c r="C2832" s="1"/>
      <c r="D2832" s="1" t="s">
        <v>7</v>
      </c>
      <c r="E2832" s="1">
        <v>39</v>
      </c>
      <c r="F2832" s="1" t="s">
        <v>6</v>
      </c>
      <c r="G2832" s="44" t="str">
        <f t="shared" si="88"/>
        <v/>
      </c>
      <c r="H2832" s="10" t="str">
        <f t="shared" si="89"/>
        <v>Friday</v>
      </c>
    </row>
    <row r="2833" spans="1:8">
      <c r="A2833" s="9">
        <v>219851822</v>
      </c>
      <c r="B2833" s="6">
        <v>45149</v>
      </c>
      <c r="C2833" s="1"/>
      <c r="D2833" s="1" t="s">
        <v>7</v>
      </c>
      <c r="E2833" s="1">
        <v>39</v>
      </c>
      <c r="F2833" s="1" t="s">
        <v>6</v>
      </c>
      <c r="G2833" s="44" t="str">
        <f t="shared" si="88"/>
        <v/>
      </c>
      <c r="H2833" s="10" t="str">
        <f t="shared" si="89"/>
        <v>Friday</v>
      </c>
    </row>
    <row r="2834" spans="1:8">
      <c r="A2834" s="9">
        <v>150779000</v>
      </c>
      <c r="B2834" s="6">
        <v>45149</v>
      </c>
      <c r="C2834" s="6">
        <v>45175</v>
      </c>
      <c r="D2834" s="1" t="s">
        <v>7</v>
      </c>
      <c r="E2834" s="1">
        <v>39</v>
      </c>
      <c r="F2834" s="1" t="s">
        <v>6</v>
      </c>
      <c r="G2834" s="44">
        <f t="shared" si="88"/>
        <v>26</v>
      </c>
      <c r="H2834" s="10" t="str">
        <f t="shared" si="89"/>
        <v>Friday</v>
      </c>
    </row>
    <row r="2835" spans="1:8">
      <c r="A2835" s="9">
        <v>219876215</v>
      </c>
      <c r="B2835" s="6">
        <v>45149</v>
      </c>
      <c r="C2835" s="6">
        <v>45150</v>
      </c>
      <c r="D2835" s="1" t="s">
        <v>7</v>
      </c>
      <c r="E2835" s="1">
        <v>39</v>
      </c>
      <c r="F2835" s="1" t="s">
        <v>6</v>
      </c>
      <c r="G2835" s="44">
        <f t="shared" si="88"/>
        <v>1</v>
      </c>
      <c r="H2835" s="10" t="str">
        <f t="shared" si="89"/>
        <v>Friday</v>
      </c>
    </row>
    <row r="2836" spans="1:8">
      <c r="A2836" s="9">
        <v>151633468</v>
      </c>
      <c r="B2836" s="6">
        <v>45149</v>
      </c>
      <c r="C2836" s="6">
        <v>45150</v>
      </c>
      <c r="D2836" s="1" t="s">
        <v>7</v>
      </c>
      <c r="E2836" s="1">
        <v>39</v>
      </c>
      <c r="F2836" s="1" t="s">
        <v>6</v>
      </c>
      <c r="G2836" s="44">
        <f t="shared" si="88"/>
        <v>1</v>
      </c>
      <c r="H2836" s="10" t="str">
        <f t="shared" si="89"/>
        <v>Friday</v>
      </c>
    </row>
    <row r="2837" spans="1:8">
      <c r="A2837" s="9">
        <v>219834528</v>
      </c>
      <c r="B2837" s="6">
        <v>45149</v>
      </c>
      <c r="C2837" s="6">
        <v>45150</v>
      </c>
      <c r="D2837" s="1" t="s">
        <v>8</v>
      </c>
      <c r="E2837" s="1">
        <v>39</v>
      </c>
      <c r="F2837" s="1" t="s">
        <v>6</v>
      </c>
      <c r="G2837" s="44">
        <f t="shared" si="88"/>
        <v>1</v>
      </c>
      <c r="H2837" s="10" t="str">
        <f t="shared" si="89"/>
        <v>Friday</v>
      </c>
    </row>
    <row r="2838" spans="1:8">
      <c r="A2838" s="9">
        <v>202844600</v>
      </c>
      <c r="B2838" s="6">
        <v>45149</v>
      </c>
      <c r="C2838" s="6">
        <v>45150</v>
      </c>
      <c r="D2838" s="1" t="s">
        <v>8</v>
      </c>
      <c r="E2838" s="1">
        <v>39</v>
      </c>
      <c r="F2838" s="1" t="s">
        <v>6</v>
      </c>
      <c r="G2838" s="44">
        <f t="shared" si="88"/>
        <v>1</v>
      </c>
      <c r="H2838" s="10" t="str">
        <f t="shared" si="89"/>
        <v>Friday</v>
      </c>
    </row>
    <row r="2839" spans="1:8">
      <c r="A2839" s="9">
        <v>158093021</v>
      </c>
      <c r="B2839" s="6">
        <v>45150</v>
      </c>
      <c r="C2839" s="1"/>
      <c r="D2839" s="1" t="s">
        <v>7</v>
      </c>
      <c r="E2839" s="1">
        <v>39</v>
      </c>
      <c r="F2839" s="1" t="s">
        <v>6</v>
      </c>
      <c r="G2839" s="44" t="str">
        <f t="shared" si="88"/>
        <v/>
      </c>
      <c r="H2839" s="10" t="str">
        <f t="shared" si="89"/>
        <v>Saturday</v>
      </c>
    </row>
    <row r="2840" spans="1:8">
      <c r="A2840" s="9">
        <v>203366396</v>
      </c>
      <c r="B2840" s="6">
        <v>45150</v>
      </c>
      <c r="C2840" s="6">
        <v>45154</v>
      </c>
      <c r="D2840" s="1" t="s">
        <v>7</v>
      </c>
      <c r="E2840" s="1">
        <v>39</v>
      </c>
      <c r="F2840" s="1" t="s">
        <v>6</v>
      </c>
      <c r="G2840" s="44">
        <f t="shared" si="88"/>
        <v>4</v>
      </c>
      <c r="H2840" s="10" t="str">
        <f t="shared" si="89"/>
        <v>Saturday</v>
      </c>
    </row>
    <row r="2841" spans="1:8">
      <c r="A2841" s="9">
        <v>210694562</v>
      </c>
      <c r="B2841" s="6">
        <v>45150</v>
      </c>
      <c r="C2841" s="6">
        <v>45171</v>
      </c>
      <c r="D2841" s="1" t="s">
        <v>7</v>
      </c>
      <c r="E2841" s="1">
        <v>39</v>
      </c>
      <c r="F2841" s="1" t="s">
        <v>6</v>
      </c>
      <c r="G2841" s="44">
        <f t="shared" si="88"/>
        <v>21</v>
      </c>
      <c r="H2841" s="10" t="str">
        <f t="shared" si="89"/>
        <v>Saturday</v>
      </c>
    </row>
    <row r="2842" spans="1:8">
      <c r="A2842" s="9">
        <v>188347490</v>
      </c>
      <c r="B2842" s="6">
        <v>45151</v>
      </c>
      <c r="C2842" s="1"/>
      <c r="D2842" s="1" t="s">
        <v>7</v>
      </c>
      <c r="E2842" s="1">
        <v>39</v>
      </c>
      <c r="F2842" s="1" t="s">
        <v>6</v>
      </c>
      <c r="G2842" s="44" t="str">
        <f t="shared" si="88"/>
        <v/>
      </c>
      <c r="H2842" s="10" t="str">
        <f t="shared" si="89"/>
        <v>Sunday</v>
      </c>
    </row>
    <row r="2843" spans="1:8">
      <c r="A2843" s="9">
        <v>219947831</v>
      </c>
      <c r="B2843" s="6">
        <v>45151</v>
      </c>
      <c r="C2843" s="1"/>
      <c r="D2843" s="1" t="s">
        <v>7</v>
      </c>
      <c r="E2843" s="1">
        <v>39</v>
      </c>
      <c r="F2843" s="1" t="s">
        <v>6</v>
      </c>
      <c r="G2843" s="44" t="str">
        <f t="shared" si="88"/>
        <v/>
      </c>
      <c r="H2843" s="10" t="str">
        <f t="shared" si="89"/>
        <v>Sunday</v>
      </c>
    </row>
    <row r="2844" spans="1:8">
      <c r="A2844" s="9">
        <v>214775412</v>
      </c>
      <c r="B2844" s="6">
        <v>45151</v>
      </c>
      <c r="C2844" s="1"/>
      <c r="D2844" s="1" t="s">
        <v>7</v>
      </c>
      <c r="E2844" s="1">
        <v>39</v>
      </c>
      <c r="F2844" s="1" t="s">
        <v>6</v>
      </c>
      <c r="G2844" s="44" t="str">
        <f t="shared" si="88"/>
        <v/>
      </c>
      <c r="H2844" s="10" t="str">
        <f t="shared" si="89"/>
        <v>Sunday</v>
      </c>
    </row>
    <row r="2845" spans="1:8">
      <c r="A2845" s="9">
        <v>134753801</v>
      </c>
      <c r="B2845" s="6">
        <v>45151</v>
      </c>
      <c r="C2845" s="1"/>
      <c r="D2845" s="1" t="s">
        <v>7</v>
      </c>
      <c r="E2845" s="1">
        <v>39</v>
      </c>
      <c r="F2845" s="1" t="s">
        <v>6</v>
      </c>
      <c r="G2845" s="44" t="str">
        <f t="shared" si="88"/>
        <v/>
      </c>
      <c r="H2845" s="10" t="str">
        <f t="shared" si="89"/>
        <v>Sunday</v>
      </c>
    </row>
    <row r="2846" spans="1:8">
      <c r="A2846" s="9">
        <v>182584521</v>
      </c>
      <c r="B2846" s="6">
        <v>45151</v>
      </c>
      <c r="C2846" s="1"/>
      <c r="D2846" s="1" t="s">
        <v>7</v>
      </c>
      <c r="E2846" s="1">
        <v>39</v>
      </c>
      <c r="F2846" s="1" t="s">
        <v>6</v>
      </c>
      <c r="G2846" s="44" t="str">
        <f t="shared" si="88"/>
        <v/>
      </c>
      <c r="H2846" s="10" t="str">
        <f t="shared" si="89"/>
        <v>Sunday</v>
      </c>
    </row>
    <row r="2847" spans="1:8">
      <c r="A2847" s="9">
        <v>219955434</v>
      </c>
      <c r="B2847" s="6">
        <v>45151</v>
      </c>
      <c r="C2847" s="1"/>
      <c r="D2847" s="1" t="s">
        <v>7</v>
      </c>
      <c r="E2847" s="1">
        <v>39</v>
      </c>
      <c r="F2847" s="1" t="s">
        <v>6</v>
      </c>
      <c r="G2847" s="44" t="str">
        <f t="shared" si="88"/>
        <v/>
      </c>
      <c r="H2847" s="10" t="str">
        <f t="shared" si="89"/>
        <v>Sunday</v>
      </c>
    </row>
    <row r="2848" spans="1:8">
      <c r="A2848" s="9">
        <v>219951440</v>
      </c>
      <c r="B2848" s="6">
        <v>45151</v>
      </c>
      <c r="C2848" s="1"/>
      <c r="D2848" s="1" t="s">
        <v>7</v>
      </c>
      <c r="E2848" s="1">
        <v>39</v>
      </c>
      <c r="F2848" s="1" t="s">
        <v>6</v>
      </c>
      <c r="G2848" s="44" t="str">
        <f t="shared" si="88"/>
        <v/>
      </c>
      <c r="H2848" s="10" t="str">
        <f t="shared" si="89"/>
        <v>Sunday</v>
      </c>
    </row>
    <row r="2849" spans="1:8">
      <c r="A2849" s="9">
        <v>219808428</v>
      </c>
      <c r="B2849" s="6">
        <v>45151</v>
      </c>
      <c r="C2849" s="6">
        <v>45170</v>
      </c>
      <c r="D2849" s="1" t="s">
        <v>7</v>
      </c>
      <c r="E2849" s="1">
        <v>39</v>
      </c>
      <c r="F2849" s="1" t="s">
        <v>6</v>
      </c>
      <c r="G2849" s="44">
        <f t="shared" si="88"/>
        <v>19</v>
      </c>
      <c r="H2849" s="10" t="str">
        <f t="shared" si="89"/>
        <v>Sunday</v>
      </c>
    </row>
    <row r="2850" spans="1:8">
      <c r="A2850" s="9">
        <v>191034251</v>
      </c>
      <c r="B2850" s="6">
        <v>45152</v>
      </c>
      <c r="C2850" s="1"/>
      <c r="D2850" s="1" t="s">
        <v>7</v>
      </c>
      <c r="E2850" s="1">
        <v>39</v>
      </c>
      <c r="F2850" s="1" t="s">
        <v>6</v>
      </c>
      <c r="G2850" s="44" t="str">
        <f t="shared" si="88"/>
        <v/>
      </c>
      <c r="H2850" s="10" t="str">
        <f t="shared" si="89"/>
        <v>Monday</v>
      </c>
    </row>
    <row r="2851" spans="1:8">
      <c r="A2851" s="9">
        <v>220023196</v>
      </c>
      <c r="B2851" s="6">
        <v>45152</v>
      </c>
      <c r="C2851" s="1"/>
      <c r="D2851" s="1" t="s">
        <v>7</v>
      </c>
      <c r="E2851" s="1">
        <v>39</v>
      </c>
      <c r="F2851" s="1" t="s">
        <v>6</v>
      </c>
      <c r="G2851" s="44" t="str">
        <f t="shared" si="88"/>
        <v/>
      </c>
      <c r="H2851" s="10" t="str">
        <f t="shared" si="89"/>
        <v>Monday</v>
      </c>
    </row>
    <row r="2852" spans="1:8">
      <c r="A2852" s="9">
        <v>220028812</v>
      </c>
      <c r="B2852" s="6">
        <v>45152</v>
      </c>
      <c r="C2852" s="1"/>
      <c r="D2852" s="1" t="s">
        <v>7</v>
      </c>
      <c r="E2852" s="1">
        <v>39</v>
      </c>
      <c r="F2852" s="1" t="s">
        <v>6</v>
      </c>
      <c r="G2852" s="44" t="str">
        <f t="shared" si="88"/>
        <v/>
      </c>
      <c r="H2852" s="10" t="str">
        <f t="shared" si="89"/>
        <v>Monday</v>
      </c>
    </row>
    <row r="2853" spans="1:8">
      <c r="A2853" s="9">
        <v>195988242</v>
      </c>
      <c r="B2853" s="6">
        <v>45152</v>
      </c>
      <c r="C2853" s="1"/>
      <c r="D2853" s="1" t="s">
        <v>7</v>
      </c>
      <c r="E2853" s="1">
        <v>39</v>
      </c>
      <c r="F2853" s="1" t="s">
        <v>6</v>
      </c>
      <c r="G2853" s="44" t="str">
        <f t="shared" si="88"/>
        <v/>
      </c>
      <c r="H2853" s="10" t="str">
        <f t="shared" si="89"/>
        <v>Monday</v>
      </c>
    </row>
    <row r="2854" spans="1:8">
      <c r="A2854" s="9">
        <v>151633468</v>
      </c>
      <c r="B2854" s="6">
        <v>45152</v>
      </c>
      <c r="C2854" s="1"/>
      <c r="D2854" s="1" t="s">
        <v>7</v>
      </c>
      <c r="E2854" s="1">
        <v>39</v>
      </c>
      <c r="F2854" s="1" t="s">
        <v>6</v>
      </c>
      <c r="G2854" s="44" t="str">
        <f t="shared" si="88"/>
        <v/>
      </c>
      <c r="H2854" s="10" t="str">
        <f t="shared" si="89"/>
        <v>Monday</v>
      </c>
    </row>
    <row r="2855" spans="1:8">
      <c r="A2855" s="9">
        <v>220012044</v>
      </c>
      <c r="B2855" s="6">
        <v>45152</v>
      </c>
      <c r="C2855" s="1"/>
      <c r="D2855" s="1" t="s">
        <v>7</v>
      </c>
      <c r="E2855" s="1">
        <v>39</v>
      </c>
      <c r="F2855" s="1" t="s">
        <v>6</v>
      </c>
      <c r="G2855" s="44" t="str">
        <f t="shared" si="88"/>
        <v/>
      </c>
      <c r="H2855" s="10" t="str">
        <f t="shared" si="89"/>
        <v>Monday</v>
      </c>
    </row>
    <row r="2856" spans="1:8">
      <c r="A2856" s="9">
        <v>219981231</v>
      </c>
      <c r="B2856" s="6">
        <v>45152</v>
      </c>
      <c r="C2856" s="1"/>
      <c r="D2856" s="1" t="s">
        <v>7</v>
      </c>
      <c r="E2856" s="1">
        <v>39</v>
      </c>
      <c r="F2856" s="1" t="s">
        <v>6</v>
      </c>
      <c r="G2856" s="44" t="str">
        <f t="shared" si="88"/>
        <v/>
      </c>
      <c r="H2856" s="10" t="str">
        <f t="shared" si="89"/>
        <v>Monday</v>
      </c>
    </row>
    <row r="2857" spans="1:8">
      <c r="A2857" s="9">
        <v>169692209</v>
      </c>
      <c r="B2857" s="6">
        <v>45152</v>
      </c>
      <c r="C2857" s="1"/>
      <c r="D2857" s="1" t="s">
        <v>7</v>
      </c>
      <c r="E2857" s="1">
        <v>39</v>
      </c>
      <c r="F2857" s="1" t="s">
        <v>6</v>
      </c>
      <c r="G2857" s="44" t="str">
        <f t="shared" si="88"/>
        <v/>
      </c>
      <c r="H2857" s="10" t="str">
        <f t="shared" si="89"/>
        <v>Monday</v>
      </c>
    </row>
    <row r="2858" spans="1:8">
      <c r="A2858" s="9">
        <v>116156335</v>
      </c>
      <c r="B2858" s="6">
        <v>45152</v>
      </c>
      <c r="C2858" s="1"/>
      <c r="D2858" s="1" t="s">
        <v>7</v>
      </c>
      <c r="E2858" s="1">
        <v>39</v>
      </c>
      <c r="F2858" s="1" t="s">
        <v>6</v>
      </c>
      <c r="G2858" s="44" t="str">
        <f t="shared" si="88"/>
        <v/>
      </c>
      <c r="H2858" s="10" t="str">
        <f t="shared" si="89"/>
        <v>Monday</v>
      </c>
    </row>
    <row r="2859" spans="1:8">
      <c r="A2859" s="9">
        <v>153393340</v>
      </c>
      <c r="B2859" s="6">
        <v>45152</v>
      </c>
      <c r="C2859" s="1"/>
      <c r="D2859" s="1" t="s">
        <v>7</v>
      </c>
      <c r="E2859" s="1">
        <v>39</v>
      </c>
      <c r="F2859" s="1" t="s">
        <v>6</v>
      </c>
      <c r="G2859" s="44" t="str">
        <f t="shared" si="88"/>
        <v/>
      </c>
      <c r="H2859" s="10" t="str">
        <f t="shared" si="89"/>
        <v>Monday</v>
      </c>
    </row>
    <row r="2860" spans="1:8">
      <c r="A2860" s="9">
        <v>219974920</v>
      </c>
      <c r="B2860" s="6">
        <v>45152</v>
      </c>
      <c r="C2860" s="1"/>
      <c r="D2860" s="1" t="s">
        <v>7</v>
      </c>
      <c r="E2860" s="1">
        <v>39</v>
      </c>
      <c r="F2860" s="1" t="s">
        <v>6</v>
      </c>
      <c r="G2860" s="44" t="str">
        <f t="shared" si="88"/>
        <v/>
      </c>
      <c r="H2860" s="10" t="str">
        <f t="shared" si="89"/>
        <v>Monday</v>
      </c>
    </row>
    <row r="2861" spans="1:8">
      <c r="A2861" s="9">
        <v>121253113</v>
      </c>
      <c r="B2861" s="6">
        <v>45152</v>
      </c>
      <c r="C2861" s="6">
        <v>45154</v>
      </c>
      <c r="D2861" s="1" t="s">
        <v>7</v>
      </c>
      <c r="E2861" s="1">
        <v>39</v>
      </c>
      <c r="F2861" s="1" t="s">
        <v>6</v>
      </c>
      <c r="G2861" s="44">
        <f t="shared" si="88"/>
        <v>2</v>
      </c>
      <c r="H2861" s="10" t="str">
        <f t="shared" si="89"/>
        <v>Monday</v>
      </c>
    </row>
    <row r="2862" spans="1:8">
      <c r="A2862" s="9">
        <v>219690296</v>
      </c>
      <c r="B2862" s="6">
        <v>45153</v>
      </c>
      <c r="C2862" s="1"/>
      <c r="D2862" s="1" t="s">
        <v>7</v>
      </c>
      <c r="E2862" s="1">
        <v>39</v>
      </c>
      <c r="F2862" s="1" t="s">
        <v>6</v>
      </c>
      <c r="G2862" s="44" t="str">
        <f t="shared" si="88"/>
        <v/>
      </c>
      <c r="H2862" s="10" t="str">
        <f t="shared" si="89"/>
        <v>Tuesday</v>
      </c>
    </row>
    <row r="2863" spans="1:8">
      <c r="A2863" s="9">
        <v>187268085</v>
      </c>
      <c r="B2863" s="6">
        <v>45153</v>
      </c>
      <c r="C2863" s="1"/>
      <c r="D2863" s="1" t="s">
        <v>7</v>
      </c>
      <c r="E2863" s="1">
        <v>39</v>
      </c>
      <c r="F2863" s="1" t="s">
        <v>6</v>
      </c>
      <c r="G2863" s="44" t="str">
        <f t="shared" si="88"/>
        <v/>
      </c>
      <c r="H2863" s="10" t="str">
        <f t="shared" si="89"/>
        <v>Tuesday</v>
      </c>
    </row>
    <row r="2864" spans="1:8">
      <c r="A2864" s="9">
        <v>150623785</v>
      </c>
      <c r="B2864" s="6">
        <v>45153</v>
      </c>
      <c r="C2864" s="1"/>
      <c r="D2864" s="1" t="s">
        <v>7</v>
      </c>
      <c r="E2864" s="1">
        <v>39</v>
      </c>
      <c r="F2864" s="1" t="s">
        <v>6</v>
      </c>
      <c r="G2864" s="44" t="str">
        <f t="shared" si="88"/>
        <v/>
      </c>
      <c r="H2864" s="10" t="str">
        <f t="shared" si="89"/>
        <v>Tuesday</v>
      </c>
    </row>
    <row r="2865" spans="1:8">
      <c r="A2865" s="9">
        <v>220056524</v>
      </c>
      <c r="B2865" s="6">
        <v>45153</v>
      </c>
      <c r="C2865" s="6">
        <v>45154</v>
      </c>
      <c r="D2865" s="1" t="s">
        <v>8</v>
      </c>
      <c r="E2865" s="1">
        <v>39</v>
      </c>
      <c r="F2865" s="1" t="s">
        <v>6</v>
      </c>
      <c r="G2865" s="44">
        <f t="shared" si="88"/>
        <v>1</v>
      </c>
      <c r="H2865" s="10" t="str">
        <f t="shared" si="89"/>
        <v>Tuesday</v>
      </c>
    </row>
    <row r="2866" spans="1:8">
      <c r="A2866" s="9">
        <v>208188866</v>
      </c>
      <c r="B2866" s="6">
        <v>45154</v>
      </c>
      <c r="C2866" s="1"/>
      <c r="D2866" s="1" t="s">
        <v>7</v>
      </c>
      <c r="E2866" s="1">
        <v>39</v>
      </c>
      <c r="F2866" s="1" t="s">
        <v>6</v>
      </c>
      <c r="G2866" s="44" t="str">
        <f t="shared" si="88"/>
        <v/>
      </c>
      <c r="H2866" s="10" t="str">
        <f t="shared" si="89"/>
        <v>Wednesday</v>
      </c>
    </row>
    <row r="2867" spans="1:8">
      <c r="A2867" s="9">
        <v>219081046</v>
      </c>
      <c r="B2867" s="6">
        <v>45154</v>
      </c>
      <c r="C2867" s="1"/>
      <c r="D2867" s="1" t="s">
        <v>7</v>
      </c>
      <c r="E2867" s="1">
        <v>39</v>
      </c>
      <c r="F2867" s="1" t="s">
        <v>6</v>
      </c>
      <c r="G2867" s="44" t="str">
        <f t="shared" si="88"/>
        <v/>
      </c>
      <c r="H2867" s="10" t="str">
        <f t="shared" si="89"/>
        <v>Wednesday</v>
      </c>
    </row>
    <row r="2868" spans="1:8">
      <c r="A2868" s="9">
        <v>219569143</v>
      </c>
      <c r="B2868" s="6">
        <v>45154</v>
      </c>
      <c r="C2868" s="1"/>
      <c r="D2868" s="1" t="s">
        <v>7</v>
      </c>
      <c r="E2868" s="1">
        <v>39</v>
      </c>
      <c r="F2868" s="1" t="s">
        <v>6</v>
      </c>
      <c r="G2868" s="44" t="str">
        <f t="shared" si="88"/>
        <v/>
      </c>
      <c r="H2868" s="10" t="str">
        <f t="shared" si="89"/>
        <v>Wednesday</v>
      </c>
    </row>
    <row r="2869" spans="1:8">
      <c r="A2869" s="9">
        <v>219653068</v>
      </c>
      <c r="B2869" s="6">
        <v>45154</v>
      </c>
      <c r="C2869" s="1"/>
      <c r="D2869" s="1" t="s">
        <v>7</v>
      </c>
      <c r="E2869" s="1">
        <v>39</v>
      </c>
      <c r="F2869" s="1" t="s">
        <v>6</v>
      </c>
      <c r="G2869" s="44" t="str">
        <f t="shared" si="88"/>
        <v/>
      </c>
      <c r="H2869" s="10" t="str">
        <f t="shared" si="89"/>
        <v>Wednesday</v>
      </c>
    </row>
    <row r="2870" spans="1:8">
      <c r="A2870" s="9">
        <v>220120740</v>
      </c>
      <c r="B2870" s="6">
        <v>45154</v>
      </c>
      <c r="C2870" s="1"/>
      <c r="D2870" s="1" t="s">
        <v>7</v>
      </c>
      <c r="E2870" s="1">
        <v>39</v>
      </c>
      <c r="F2870" s="1" t="s">
        <v>6</v>
      </c>
      <c r="G2870" s="44" t="str">
        <f t="shared" si="88"/>
        <v/>
      </c>
      <c r="H2870" s="10" t="str">
        <f t="shared" si="89"/>
        <v>Wednesday</v>
      </c>
    </row>
    <row r="2871" spans="1:8">
      <c r="A2871" s="9">
        <v>186200901</v>
      </c>
      <c r="B2871" s="6">
        <v>45154</v>
      </c>
      <c r="C2871" s="1"/>
      <c r="D2871" s="1" t="s">
        <v>7</v>
      </c>
      <c r="E2871" s="1">
        <v>39</v>
      </c>
      <c r="F2871" s="1" t="s">
        <v>6</v>
      </c>
      <c r="G2871" s="44" t="str">
        <f t="shared" si="88"/>
        <v/>
      </c>
      <c r="H2871" s="10" t="str">
        <f t="shared" si="89"/>
        <v>Wednesday</v>
      </c>
    </row>
    <row r="2872" spans="1:8">
      <c r="A2872" s="9">
        <v>220116966</v>
      </c>
      <c r="B2872" s="6">
        <v>45154</v>
      </c>
      <c r="C2872" s="1"/>
      <c r="D2872" s="1" t="s">
        <v>7</v>
      </c>
      <c r="E2872" s="1">
        <v>39</v>
      </c>
      <c r="F2872" s="1" t="s">
        <v>6</v>
      </c>
      <c r="G2872" s="44" t="str">
        <f t="shared" si="88"/>
        <v/>
      </c>
      <c r="H2872" s="10" t="str">
        <f t="shared" si="89"/>
        <v>Wednesday</v>
      </c>
    </row>
    <row r="2873" spans="1:8">
      <c r="A2873" s="9">
        <v>219876215</v>
      </c>
      <c r="B2873" s="6">
        <v>45154</v>
      </c>
      <c r="C2873" s="1"/>
      <c r="D2873" s="1" t="s">
        <v>7</v>
      </c>
      <c r="E2873" s="1">
        <v>39</v>
      </c>
      <c r="F2873" s="1" t="s">
        <v>6</v>
      </c>
      <c r="G2873" s="44" t="str">
        <f t="shared" si="88"/>
        <v/>
      </c>
      <c r="H2873" s="10" t="str">
        <f t="shared" si="89"/>
        <v>Wednesday</v>
      </c>
    </row>
    <row r="2874" spans="1:8">
      <c r="A2874" s="9">
        <v>219996796</v>
      </c>
      <c r="B2874" s="6">
        <v>45154</v>
      </c>
      <c r="C2874" s="1"/>
      <c r="D2874" s="1" t="s">
        <v>7</v>
      </c>
      <c r="E2874" s="1">
        <v>39</v>
      </c>
      <c r="F2874" s="1" t="s">
        <v>6</v>
      </c>
      <c r="G2874" s="44" t="str">
        <f t="shared" si="88"/>
        <v/>
      </c>
      <c r="H2874" s="10" t="str">
        <f t="shared" si="89"/>
        <v>Wednesday</v>
      </c>
    </row>
    <row r="2875" spans="1:8">
      <c r="A2875" s="9">
        <v>218296652</v>
      </c>
      <c r="B2875" s="6">
        <v>45154</v>
      </c>
      <c r="C2875" s="1"/>
      <c r="D2875" s="1" t="s">
        <v>7</v>
      </c>
      <c r="E2875" s="1">
        <v>39</v>
      </c>
      <c r="F2875" s="1" t="s">
        <v>6</v>
      </c>
      <c r="G2875" s="44" t="str">
        <f t="shared" si="88"/>
        <v/>
      </c>
      <c r="H2875" s="10" t="str">
        <f t="shared" si="89"/>
        <v>Wednesday</v>
      </c>
    </row>
    <row r="2876" spans="1:8">
      <c r="A2876" s="9">
        <v>188748372</v>
      </c>
      <c r="B2876" s="6">
        <v>45154</v>
      </c>
      <c r="C2876" s="1"/>
      <c r="D2876" s="1" t="s">
        <v>7</v>
      </c>
      <c r="E2876" s="1">
        <v>39</v>
      </c>
      <c r="F2876" s="1" t="s">
        <v>6</v>
      </c>
      <c r="G2876" s="44" t="str">
        <f t="shared" si="88"/>
        <v/>
      </c>
      <c r="H2876" s="10" t="str">
        <f t="shared" si="89"/>
        <v>Wednesday</v>
      </c>
    </row>
    <row r="2877" spans="1:8">
      <c r="A2877" s="9">
        <v>220080560</v>
      </c>
      <c r="B2877" s="6">
        <v>45154</v>
      </c>
      <c r="C2877" s="1"/>
      <c r="D2877" s="1" t="s">
        <v>7</v>
      </c>
      <c r="E2877" s="1">
        <v>39</v>
      </c>
      <c r="F2877" s="1" t="s">
        <v>6</v>
      </c>
      <c r="G2877" s="44" t="str">
        <f t="shared" si="88"/>
        <v/>
      </c>
      <c r="H2877" s="10" t="str">
        <f t="shared" si="89"/>
        <v>Wednesday</v>
      </c>
    </row>
    <row r="2878" spans="1:8">
      <c r="A2878" s="9">
        <v>219899496</v>
      </c>
      <c r="B2878" s="6">
        <v>45155</v>
      </c>
      <c r="C2878" s="1"/>
      <c r="D2878" s="1" t="s">
        <v>7</v>
      </c>
      <c r="E2878" s="1">
        <v>39</v>
      </c>
      <c r="F2878" s="1" t="s">
        <v>6</v>
      </c>
      <c r="G2878" s="44" t="str">
        <f t="shared" si="88"/>
        <v/>
      </c>
      <c r="H2878" s="10" t="str">
        <f t="shared" si="89"/>
        <v>Thursday</v>
      </c>
    </row>
    <row r="2879" spans="1:8">
      <c r="A2879" s="9">
        <v>219000322</v>
      </c>
      <c r="B2879" s="6">
        <v>45155</v>
      </c>
      <c r="C2879" s="1"/>
      <c r="D2879" s="1" t="s">
        <v>7</v>
      </c>
      <c r="E2879" s="1">
        <v>39</v>
      </c>
      <c r="F2879" s="1" t="s">
        <v>6</v>
      </c>
      <c r="G2879" s="44" t="str">
        <f t="shared" si="88"/>
        <v/>
      </c>
      <c r="H2879" s="10" t="str">
        <f t="shared" si="89"/>
        <v>Thursday</v>
      </c>
    </row>
    <row r="2880" spans="1:8">
      <c r="A2880" s="9">
        <v>220181992</v>
      </c>
      <c r="B2880" s="6">
        <v>45155</v>
      </c>
      <c r="C2880" s="1"/>
      <c r="D2880" s="1" t="s">
        <v>7</v>
      </c>
      <c r="E2880" s="1">
        <v>39</v>
      </c>
      <c r="F2880" s="1" t="s">
        <v>6</v>
      </c>
      <c r="G2880" s="44" t="str">
        <f t="shared" si="88"/>
        <v/>
      </c>
      <c r="H2880" s="10" t="str">
        <f t="shared" si="89"/>
        <v>Thursday</v>
      </c>
    </row>
    <row r="2881" spans="1:8">
      <c r="A2881" s="9">
        <v>220196419</v>
      </c>
      <c r="B2881" s="6">
        <v>45155</v>
      </c>
      <c r="C2881" s="1"/>
      <c r="D2881" s="1" t="s">
        <v>7</v>
      </c>
      <c r="E2881" s="1">
        <v>39</v>
      </c>
      <c r="F2881" s="1" t="s">
        <v>6</v>
      </c>
      <c r="G2881" s="44" t="str">
        <f t="shared" si="88"/>
        <v/>
      </c>
      <c r="H2881" s="10" t="str">
        <f t="shared" si="89"/>
        <v>Thursday</v>
      </c>
    </row>
    <row r="2882" spans="1:8">
      <c r="A2882" s="9">
        <v>220155197</v>
      </c>
      <c r="B2882" s="6">
        <v>45155</v>
      </c>
      <c r="C2882" s="1"/>
      <c r="D2882" s="1" t="s">
        <v>7</v>
      </c>
      <c r="E2882" s="1">
        <v>39</v>
      </c>
      <c r="F2882" s="1" t="s">
        <v>6</v>
      </c>
      <c r="G2882" s="44" t="str">
        <f t="shared" si="88"/>
        <v/>
      </c>
      <c r="H2882" s="10" t="str">
        <f t="shared" si="89"/>
        <v>Thursday</v>
      </c>
    </row>
    <row r="2883" spans="1:8">
      <c r="A2883" s="9">
        <v>220144619</v>
      </c>
      <c r="B2883" s="6">
        <v>45155</v>
      </c>
      <c r="C2883" s="1"/>
      <c r="D2883" s="1" t="s">
        <v>7</v>
      </c>
      <c r="E2883" s="1">
        <v>39</v>
      </c>
      <c r="F2883" s="1" t="s">
        <v>6</v>
      </c>
      <c r="G2883" s="44" t="str">
        <f t="shared" ref="G2883:G2946" si="90">IF(C2883="", "", DATEDIF(B2883, C2883, "D"))</f>
        <v/>
      </c>
      <c r="H2883" s="10" t="str">
        <f t="shared" ref="H2883:H2946" si="91">TEXT(B2883, "dddd")</f>
        <v>Thursday</v>
      </c>
    </row>
    <row r="2884" spans="1:8">
      <c r="A2884" s="9">
        <v>220184550</v>
      </c>
      <c r="B2884" s="6">
        <v>45155</v>
      </c>
      <c r="C2884" s="1"/>
      <c r="D2884" s="1" t="s">
        <v>7</v>
      </c>
      <c r="E2884" s="1">
        <v>39</v>
      </c>
      <c r="F2884" s="1" t="s">
        <v>6</v>
      </c>
      <c r="G2884" s="44" t="str">
        <f t="shared" si="90"/>
        <v/>
      </c>
      <c r="H2884" s="10" t="str">
        <f t="shared" si="91"/>
        <v>Thursday</v>
      </c>
    </row>
    <row r="2885" spans="1:8">
      <c r="A2885" s="9">
        <v>152209352</v>
      </c>
      <c r="B2885" s="6">
        <v>45155</v>
      </c>
      <c r="C2885" s="1"/>
      <c r="D2885" s="1" t="s">
        <v>7</v>
      </c>
      <c r="E2885" s="1">
        <v>39</v>
      </c>
      <c r="F2885" s="1" t="s">
        <v>6</v>
      </c>
      <c r="G2885" s="44" t="str">
        <f t="shared" si="90"/>
        <v/>
      </c>
      <c r="H2885" s="10" t="str">
        <f t="shared" si="91"/>
        <v>Thursday</v>
      </c>
    </row>
    <row r="2886" spans="1:8">
      <c r="A2886" s="9">
        <v>146952862</v>
      </c>
      <c r="B2886" s="6">
        <v>45155</v>
      </c>
      <c r="C2886" s="1"/>
      <c r="D2886" s="1" t="s">
        <v>7</v>
      </c>
      <c r="E2886" s="1">
        <v>39</v>
      </c>
      <c r="F2886" s="1" t="s">
        <v>6</v>
      </c>
      <c r="G2886" s="44" t="str">
        <f t="shared" si="90"/>
        <v/>
      </c>
      <c r="H2886" s="10" t="str">
        <f t="shared" si="91"/>
        <v>Thursday</v>
      </c>
    </row>
    <row r="2887" spans="1:8">
      <c r="A2887" s="9">
        <v>220178530</v>
      </c>
      <c r="B2887" s="6">
        <v>45155</v>
      </c>
      <c r="C2887" s="1"/>
      <c r="D2887" s="1" t="s">
        <v>7</v>
      </c>
      <c r="E2887" s="1">
        <v>39</v>
      </c>
      <c r="F2887" s="1" t="s">
        <v>6</v>
      </c>
      <c r="G2887" s="44" t="str">
        <f t="shared" si="90"/>
        <v/>
      </c>
      <c r="H2887" s="10" t="str">
        <f t="shared" si="91"/>
        <v>Thursday</v>
      </c>
    </row>
    <row r="2888" spans="1:8">
      <c r="A2888" s="9">
        <v>219498470</v>
      </c>
      <c r="B2888" s="6">
        <v>45155</v>
      </c>
      <c r="C2888" s="1"/>
      <c r="D2888" s="1" t="s">
        <v>7</v>
      </c>
      <c r="E2888" s="1">
        <v>39</v>
      </c>
      <c r="F2888" s="1" t="s">
        <v>6</v>
      </c>
      <c r="G2888" s="44" t="str">
        <f t="shared" si="90"/>
        <v/>
      </c>
      <c r="H2888" s="10" t="str">
        <f t="shared" si="91"/>
        <v>Thursday</v>
      </c>
    </row>
    <row r="2889" spans="1:8">
      <c r="A2889" s="9">
        <v>216622895</v>
      </c>
      <c r="B2889" s="6">
        <v>45155</v>
      </c>
      <c r="C2889" s="1"/>
      <c r="D2889" s="1" t="s">
        <v>7</v>
      </c>
      <c r="E2889" s="1">
        <v>39</v>
      </c>
      <c r="F2889" s="1" t="s">
        <v>6</v>
      </c>
      <c r="G2889" s="44" t="str">
        <f t="shared" si="90"/>
        <v/>
      </c>
      <c r="H2889" s="10" t="str">
        <f t="shared" si="91"/>
        <v>Thursday</v>
      </c>
    </row>
    <row r="2890" spans="1:8">
      <c r="A2890" s="9">
        <v>153705354</v>
      </c>
      <c r="B2890" s="6">
        <v>45155</v>
      </c>
      <c r="C2890" s="6">
        <v>45155</v>
      </c>
      <c r="D2890" s="1" t="s">
        <v>7</v>
      </c>
      <c r="E2890" s="1">
        <v>39</v>
      </c>
      <c r="F2890" s="1" t="s">
        <v>6</v>
      </c>
      <c r="G2890" s="44">
        <f t="shared" si="90"/>
        <v>0</v>
      </c>
      <c r="H2890" s="10" t="str">
        <f t="shared" si="91"/>
        <v>Thursday</v>
      </c>
    </row>
    <row r="2891" spans="1:8">
      <c r="A2891" s="9">
        <v>219280628</v>
      </c>
      <c r="B2891" s="6">
        <v>45155</v>
      </c>
      <c r="C2891" s="6">
        <v>45156</v>
      </c>
      <c r="D2891" s="1" t="s">
        <v>8</v>
      </c>
      <c r="E2891" s="1">
        <v>39</v>
      </c>
      <c r="F2891" s="1" t="s">
        <v>6</v>
      </c>
      <c r="G2891" s="44">
        <f t="shared" si="90"/>
        <v>1</v>
      </c>
      <c r="H2891" s="10" t="str">
        <f t="shared" si="91"/>
        <v>Thursday</v>
      </c>
    </row>
    <row r="2892" spans="1:8">
      <c r="A2892" s="9">
        <v>220171290</v>
      </c>
      <c r="B2892" s="6">
        <v>45156</v>
      </c>
      <c r="C2892" s="1"/>
      <c r="D2892" s="1" t="s">
        <v>7</v>
      </c>
      <c r="E2892" s="1">
        <v>39</v>
      </c>
      <c r="F2892" s="1" t="s">
        <v>6</v>
      </c>
      <c r="G2892" s="44" t="str">
        <f t="shared" si="90"/>
        <v/>
      </c>
      <c r="H2892" s="10" t="str">
        <f t="shared" si="91"/>
        <v>Friday</v>
      </c>
    </row>
    <row r="2893" spans="1:8">
      <c r="A2893" s="9">
        <v>219553060</v>
      </c>
      <c r="B2893" s="6">
        <v>45156</v>
      </c>
      <c r="C2893" s="1"/>
      <c r="D2893" s="1" t="s">
        <v>7</v>
      </c>
      <c r="E2893" s="1">
        <v>39</v>
      </c>
      <c r="F2893" s="1" t="s">
        <v>6</v>
      </c>
      <c r="G2893" s="44" t="str">
        <f t="shared" si="90"/>
        <v/>
      </c>
      <c r="H2893" s="10" t="str">
        <f t="shared" si="91"/>
        <v>Friday</v>
      </c>
    </row>
    <row r="2894" spans="1:8">
      <c r="A2894" s="9">
        <v>220244827</v>
      </c>
      <c r="B2894" s="6">
        <v>45156</v>
      </c>
      <c r="C2894" s="1"/>
      <c r="D2894" s="1" t="s">
        <v>7</v>
      </c>
      <c r="E2894" s="1">
        <v>39</v>
      </c>
      <c r="F2894" s="1" t="s">
        <v>6</v>
      </c>
      <c r="G2894" s="44" t="str">
        <f t="shared" si="90"/>
        <v/>
      </c>
      <c r="H2894" s="10" t="str">
        <f t="shared" si="91"/>
        <v>Friday</v>
      </c>
    </row>
    <row r="2895" spans="1:8">
      <c r="A2895" s="9">
        <v>219612883</v>
      </c>
      <c r="B2895" s="6">
        <v>45156</v>
      </c>
      <c r="C2895" s="1"/>
      <c r="D2895" s="1" t="s">
        <v>7</v>
      </c>
      <c r="E2895" s="1">
        <v>39</v>
      </c>
      <c r="F2895" s="1" t="s">
        <v>6</v>
      </c>
      <c r="G2895" s="44" t="str">
        <f t="shared" si="90"/>
        <v/>
      </c>
      <c r="H2895" s="10" t="str">
        <f t="shared" si="91"/>
        <v>Friday</v>
      </c>
    </row>
    <row r="2896" spans="1:8">
      <c r="A2896" s="9">
        <v>217914279</v>
      </c>
      <c r="B2896" s="6">
        <v>45156</v>
      </c>
      <c r="C2896" s="1"/>
      <c r="D2896" s="1" t="s">
        <v>7</v>
      </c>
      <c r="E2896" s="1">
        <v>39</v>
      </c>
      <c r="F2896" s="1" t="s">
        <v>6</v>
      </c>
      <c r="G2896" s="44" t="str">
        <f t="shared" si="90"/>
        <v/>
      </c>
      <c r="H2896" s="10" t="str">
        <f t="shared" si="91"/>
        <v>Friday</v>
      </c>
    </row>
    <row r="2897" spans="1:8">
      <c r="A2897" s="9">
        <v>220171851</v>
      </c>
      <c r="B2897" s="6">
        <v>45156</v>
      </c>
      <c r="C2897" s="1"/>
      <c r="D2897" s="1" t="s">
        <v>7</v>
      </c>
      <c r="E2897" s="1">
        <v>39</v>
      </c>
      <c r="F2897" s="1" t="s">
        <v>6</v>
      </c>
      <c r="G2897" s="44" t="str">
        <f t="shared" si="90"/>
        <v/>
      </c>
      <c r="H2897" s="10" t="str">
        <f t="shared" si="91"/>
        <v>Friday</v>
      </c>
    </row>
    <row r="2898" spans="1:8">
      <c r="A2898" s="9">
        <v>217543308</v>
      </c>
      <c r="B2898" s="6">
        <v>45156</v>
      </c>
      <c r="C2898" s="1"/>
      <c r="D2898" s="1" t="s">
        <v>7</v>
      </c>
      <c r="E2898" s="1">
        <v>39</v>
      </c>
      <c r="F2898" s="1" t="s">
        <v>6</v>
      </c>
      <c r="G2898" s="44" t="str">
        <f t="shared" si="90"/>
        <v/>
      </c>
      <c r="H2898" s="10" t="str">
        <f t="shared" si="91"/>
        <v>Friday</v>
      </c>
    </row>
    <row r="2899" spans="1:8">
      <c r="A2899" s="9">
        <v>157008330</v>
      </c>
      <c r="B2899" s="6">
        <v>45156</v>
      </c>
      <c r="C2899" s="6">
        <v>45156</v>
      </c>
      <c r="D2899" s="1" t="s">
        <v>7</v>
      </c>
      <c r="E2899" s="1">
        <v>39</v>
      </c>
      <c r="F2899" s="1" t="s">
        <v>6</v>
      </c>
      <c r="G2899" s="44">
        <f t="shared" si="90"/>
        <v>0</v>
      </c>
      <c r="H2899" s="10" t="str">
        <f t="shared" si="91"/>
        <v>Friday</v>
      </c>
    </row>
    <row r="2900" spans="1:8">
      <c r="A2900" s="9">
        <v>206063908</v>
      </c>
      <c r="B2900" s="6">
        <v>45156</v>
      </c>
      <c r="C2900" s="6">
        <v>45176</v>
      </c>
      <c r="D2900" s="1" t="s">
        <v>7</v>
      </c>
      <c r="E2900" s="1">
        <v>39</v>
      </c>
      <c r="F2900" s="1" t="s">
        <v>6</v>
      </c>
      <c r="G2900" s="44">
        <f t="shared" si="90"/>
        <v>20</v>
      </c>
      <c r="H2900" s="10" t="str">
        <f t="shared" si="91"/>
        <v>Friday</v>
      </c>
    </row>
    <row r="2901" spans="1:8">
      <c r="A2901" s="9">
        <v>220182716</v>
      </c>
      <c r="B2901" s="6">
        <v>45156</v>
      </c>
      <c r="C2901" s="6">
        <v>45157</v>
      </c>
      <c r="D2901" s="1" t="s">
        <v>8</v>
      </c>
      <c r="E2901" s="1">
        <v>39</v>
      </c>
      <c r="F2901" s="1" t="s">
        <v>6</v>
      </c>
      <c r="G2901" s="44">
        <f t="shared" si="90"/>
        <v>1</v>
      </c>
      <c r="H2901" s="10" t="str">
        <f t="shared" si="91"/>
        <v>Friday</v>
      </c>
    </row>
    <row r="2902" spans="1:8">
      <c r="A2902" s="9">
        <v>202103959</v>
      </c>
      <c r="B2902" s="6">
        <v>45157</v>
      </c>
      <c r="C2902" s="1"/>
      <c r="D2902" s="1" t="s">
        <v>7</v>
      </c>
      <c r="E2902" s="1">
        <v>39</v>
      </c>
      <c r="F2902" s="1" t="s">
        <v>6</v>
      </c>
      <c r="G2902" s="44" t="str">
        <f t="shared" si="90"/>
        <v/>
      </c>
      <c r="H2902" s="10" t="str">
        <f t="shared" si="91"/>
        <v>Saturday</v>
      </c>
    </row>
    <row r="2903" spans="1:8">
      <c r="A2903" s="9">
        <v>218757796</v>
      </c>
      <c r="B2903" s="6">
        <v>45157</v>
      </c>
      <c r="C2903" s="1"/>
      <c r="D2903" s="1" t="s">
        <v>7</v>
      </c>
      <c r="E2903" s="1">
        <v>39</v>
      </c>
      <c r="F2903" s="1" t="s">
        <v>6</v>
      </c>
      <c r="G2903" s="44" t="str">
        <f t="shared" si="90"/>
        <v/>
      </c>
      <c r="H2903" s="10" t="str">
        <f t="shared" si="91"/>
        <v>Saturday</v>
      </c>
    </row>
    <row r="2904" spans="1:8">
      <c r="A2904" s="9">
        <v>220272556</v>
      </c>
      <c r="B2904" s="6">
        <v>45157</v>
      </c>
      <c r="C2904" s="1"/>
      <c r="D2904" s="1" t="s">
        <v>7</v>
      </c>
      <c r="E2904" s="1">
        <v>39</v>
      </c>
      <c r="F2904" s="1" t="s">
        <v>6</v>
      </c>
      <c r="G2904" s="44" t="str">
        <f t="shared" si="90"/>
        <v/>
      </c>
      <c r="H2904" s="10" t="str">
        <f t="shared" si="91"/>
        <v>Saturday</v>
      </c>
    </row>
    <row r="2905" spans="1:8">
      <c r="A2905" s="9">
        <v>219493644</v>
      </c>
      <c r="B2905" s="6">
        <v>45157</v>
      </c>
      <c r="C2905" s="1"/>
      <c r="D2905" s="1" t="s">
        <v>7</v>
      </c>
      <c r="E2905" s="1">
        <v>39</v>
      </c>
      <c r="F2905" s="1" t="s">
        <v>6</v>
      </c>
      <c r="G2905" s="44" t="str">
        <f t="shared" si="90"/>
        <v/>
      </c>
      <c r="H2905" s="10" t="str">
        <f t="shared" si="91"/>
        <v>Saturday</v>
      </c>
    </row>
    <row r="2906" spans="1:8">
      <c r="A2906" s="9">
        <v>148996798</v>
      </c>
      <c r="B2906" s="6">
        <v>45157</v>
      </c>
      <c r="C2906" s="1"/>
      <c r="D2906" s="1" t="s">
        <v>7</v>
      </c>
      <c r="E2906" s="1">
        <v>39</v>
      </c>
      <c r="F2906" s="1" t="s">
        <v>6</v>
      </c>
      <c r="G2906" s="44" t="str">
        <f t="shared" si="90"/>
        <v/>
      </c>
      <c r="H2906" s="10" t="str">
        <f t="shared" si="91"/>
        <v>Saturday</v>
      </c>
    </row>
    <row r="2907" spans="1:8">
      <c r="A2907" s="9">
        <v>218947678</v>
      </c>
      <c r="B2907" s="6">
        <v>45157</v>
      </c>
      <c r="C2907" s="1"/>
      <c r="D2907" s="1" t="s">
        <v>7</v>
      </c>
      <c r="E2907" s="1">
        <v>39</v>
      </c>
      <c r="F2907" s="1" t="s">
        <v>6</v>
      </c>
      <c r="G2907" s="44" t="str">
        <f t="shared" si="90"/>
        <v/>
      </c>
      <c r="H2907" s="10" t="str">
        <f t="shared" si="91"/>
        <v>Saturday</v>
      </c>
    </row>
    <row r="2908" spans="1:8">
      <c r="A2908" s="9">
        <v>119465934</v>
      </c>
      <c r="B2908" s="6">
        <v>45157</v>
      </c>
      <c r="C2908" s="1"/>
      <c r="D2908" s="1" t="s">
        <v>7</v>
      </c>
      <c r="E2908" s="1">
        <v>39</v>
      </c>
      <c r="F2908" s="1" t="s">
        <v>6</v>
      </c>
      <c r="G2908" s="44" t="str">
        <f t="shared" si="90"/>
        <v/>
      </c>
      <c r="H2908" s="10" t="str">
        <f t="shared" si="91"/>
        <v>Saturday</v>
      </c>
    </row>
    <row r="2909" spans="1:8">
      <c r="A2909" s="9">
        <v>219195061</v>
      </c>
      <c r="B2909" s="6">
        <v>45157</v>
      </c>
      <c r="C2909" s="1"/>
      <c r="D2909" s="1" t="s">
        <v>7</v>
      </c>
      <c r="E2909" s="1">
        <v>39</v>
      </c>
      <c r="F2909" s="1" t="s">
        <v>6</v>
      </c>
      <c r="G2909" s="44" t="str">
        <f t="shared" si="90"/>
        <v/>
      </c>
      <c r="H2909" s="10" t="str">
        <f t="shared" si="91"/>
        <v>Saturday</v>
      </c>
    </row>
    <row r="2910" spans="1:8">
      <c r="A2910" s="9">
        <v>219637590</v>
      </c>
      <c r="B2910" s="6">
        <v>45157</v>
      </c>
      <c r="C2910" s="6">
        <v>45163</v>
      </c>
      <c r="D2910" s="1" t="s">
        <v>7</v>
      </c>
      <c r="E2910" s="1">
        <v>39</v>
      </c>
      <c r="F2910" s="1" t="s">
        <v>6</v>
      </c>
      <c r="G2910" s="44">
        <f t="shared" si="90"/>
        <v>6</v>
      </c>
      <c r="H2910" s="10" t="str">
        <f t="shared" si="91"/>
        <v>Saturday</v>
      </c>
    </row>
    <row r="2911" spans="1:8">
      <c r="A2911" s="9">
        <v>218878930</v>
      </c>
      <c r="B2911" s="6">
        <v>45158</v>
      </c>
      <c r="C2911" s="1"/>
      <c r="D2911" s="1" t="s">
        <v>7</v>
      </c>
      <c r="E2911" s="1">
        <v>39</v>
      </c>
      <c r="F2911" s="1" t="s">
        <v>6</v>
      </c>
      <c r="G2911" s="44" t="str">
        <f t="shared" si="90"/>
        <v/>
      </c>
      <c r="H2911" s="10" t="str">
        <f t="shared" si="91"/>
        <v>Sunday</v>
      </c>
    </row>
    <row r="2912" spans="1:8">
      <c r="A2912" s="9">
        <v>134622358</v>
      </c>
      <c r="B2912" s="6">
        <v>45158</v>
      </c>
      <c r="C2912" s="1"/>
      <c r="D2912" s="1" t="s">
        <v>7</v>
      </c>
      <c r="E2912" s="1">
        <v>39</v>
      </c>
      <c r="F2912" s="1" t="s">
        <v>6</v>
      </c>
      <c r="G2912" s="44" t="str">
        <f t="shared" si="90"/>
        <v/>
      </c>
      <c r="H2912" s="10" t="str">
        <f t="shared" si="91"/>
        <v>Sunday</v>
      </c>
    </row>
    <row r="2913" spans="1:8">
      <c r="A2913" s="9">
        <v>219237524</v>
      </c>
      <c r="B2913" s="6">
        <v>45158</v>
      </c>
      <c r="C2913" s="1"/>
      <c r="D2913" s="1" t="s">
        <v>7</v>
      </c>
      <c r="E2913" s="1">
        <v>39</v>
      </c>
      <c r="F2913" s="1" t="s">
        <v>6</v>
      </c>
      <c r="G2913" s="44" t="str">
        <f t="shared" si="90"/>
        <v/>
      </c>
      <c r="H2913" s="10" t="str">
        <f t="shared" si="91"/>
        <v>Sunday</v>
      </c>
    </row>
    <row r="2914" spans="1:8">
      <c r="A2914" s="9">
        <v>147320092</v>
      </c>
      <c r="B2914" s="6">
        <v>45158</v>
      </c>
      <c r="C2914" s="1"/>
      <c r="D2914" s="1" t="s">
        <v>7</v>
      </c>
      <c r="E2914" s="1">
        <v>39</v>
      </c>
      <c r="F2914" s="1" t="s">
        <v>6</v>
      </c>
      <c r="G2914" s="44" t="str">
        <f t="shared" si="90"/>
        <v/>
      </c>
      <c r="H2914" s="10" t="str">
        <f t="shared" si="91"/>
        <v>Sunday</v>
      </c>
    </row>
    <row r="2915" spans="1:8">
      <c r="A2915" s="9">
        <v>219953886</v>
      </c>
      <c r="B2915" s="6">
        <v>45158</v>
      </c>
      <c r="C2915" s="1"/>
      <c r="D2915" s="1" t="s">
        <v>7</v>
      </c>
      <c r="E2915" s="1">
        <v>39</v>
      </c>
      <c r="F2915" s="1" t="s">
        <v>6</v>
      </c>
      <c r="G2915" s="44" t="str">
        <f t="shared" si="90"/>
        <v/>
      </c>
      <c r="H2915" s="10" t="str">
        <f t="shared" si="91"/>
        <v>Sunday</v>
      </c>
    </row>
    <row r="2916" spans="1:8">
      <c r="A2916" s="9">
        <v>207013932</v>
      </c>
      <c r="B2916" s="6">
        <v>45158</v>
      </c>
      <c r="C2916" s="6">
        <v>45158</v>
      </c>
      <c r="D2916" s="1" t="s">
        <v>8</v>
      </c>
      <c r="E2916" s="1">
        <v>39</v>
      </c>
      <c r="F2916" s="1" t="s">
        <v>6</v>
      </c>
      <c r="G2916" s="44">
        <f t="shared" si="90"/>
        <v>0</v>
      </c>
      <c r="H2916" s="10" t="str">
        <f t="shared" si="91"/>
        <v>Sunday</v>
      </c>
    </row>
    <row r="2917" spans="1:8">
      <c r="A2917" s="9">
        <v>205274562</v>
      </c>
      <c r="B2917" s="6">
        <v>45159</v>
      </c>
      <c r="C2917" s="1"/>
      <c r="D2917" s="1" t="s">
        <v>7</v>
      </c>
      <c r="E2917" s="1">
        <v>39</v>
      </c>
      <c r="F2917" s="1" t="s">
        <v>6</v>
      </c>
      <c r="G2917" s="44" t="str">
        <f t="shared" si="90"/>
        <v/>
      </c>
      <c r="H2917" s="10" t="str">
        <f t="shared" si="91"/>
        <v>Monday</v>
      </c>
    </row>
    <row r="2918" spans="1:8">
      <c r="A2918" s="9">
        <v>152698255</v>
      </c>
      <c r="B2918" s="6">
        <v>45159</v>
      </c>
      <c r="C2918" s="1"/>
      <c r="D2918" s="1" t="s">
        <v>7</v>
      </c>
      <c r="E2918" s="1">
        <v>39</v>
      </c>
      <c r="F2918" s="1" t="s">
        <v>6</v>
      </c>
      <c r="G2918" s="44" t="str">
        <f t="shared" si="90"/>
        <v/>
      </c>
      <c r="H2918" s="10" t="str">
        <f t="shared" si="91"/>
        <v>Monday</v>
      </c>
    </row>
    <row r="2919" spans="1:8">
      <c r="A2919" s="9">
        <v>209361492</v>
      </c>
      <c r="B2919" s="6">
        <v>45159</v>
      </c>
      <c r="C2919" s="1"/>
      <c r="D2919" s="1" t="s">
        <v>7</v>
      </c>
      <c r="E2919" s="1">
        <v>39</v>
      </c>
      <c r="F2919" s="1" t="s">
        <v>6</v>
      </c>
      <c r="G2919" s="44" t="str">
        <f t="shared" si="90"/>
        <v/>
      </c>
      <c r="H2919" s="10" t="str">
        <f t="shared" si="91"/>
        <v>Monday</v>
      </c>
    </row>
    <row r="2920" spans="1:8">
      <c r="A2920" s="9">
        <v>205530810</v>
      </c>
      <c r="B2920" s="6">
        <v>45159</v>
      </c>
      <c r="C2920" s="1"/>
      <c r="D2920" s="1" t="s">
        <v>7</v>
      </c>
      <c r="E2920" s="1">
        <v>39</v>
      </c>
      <c r="F2920" s="1" t="s">
        <v>6</v>
      </c>
      <c r="G2920" s="44" t="str">
        <f t="shared" si="90"/>
        <v/>
      </c>
      <c r="H2920" s="10" t="str">
        <f t="shared" si="91"/>
        <v>Monday</v>
      </c>
    </row>
    <row r="2921" spans="1:8">
      <c r="A2921" s="9">
        <v>220343801</v>
      </c>
      <c r="B2921" s="6">
        <v>45159</v>
      </c>
      <c r="C2921" s="1"/>
      <c r="D2921" s="1" t="s">
        <v>7</v>
      </c>
      <c r="E2921" s="1">
        <v>39</v>
      </c>
      <c r="F2921" s="1" t="s">
        <v>6</v>
      </c>
      <c r="G2921" s="44" t="str">
        <f t="shared" si="90"/>
        <v/>
      </c>
      <c r="H2921" s="10" t="str">
        <f t="shared" si="91"/>
        <v>Monday</v>
      </c>
    </row>
    <row r="2922" spans="1:8">
      <c r="A2922" s="9">
        <v>150441222</v>
      </c>
      <c r="B2922" s="6">
        <v>45159</v>
      </c>
      <c r="C2922" s="1"/>
      <c r="D2922" s="1" t="s">
        <v>7</v>
      </c>
      <c r="E2922" s="1">
        <v>39</v>
      </c>
      <c r="F2922" s="1" t="s">
        <v>6</v>
      </c>
      <c r="G2922" s="44" t="str">
        <f t="shared" si="90"/>
        <v/>
      </c>
      <c r="H2922" s="10" t="str">
        <f t="shared" si="91"/>
        <v>Monday</v>
      </c>
    </row>
    <row r="2923" spans="1:8">
      <c r="A2923" s="9">
        <v>214640803</v>
      </c>
      <c r="B2923" s="6">
        <v>45159</v>
      </c>
      <c r="C2923" s="1"/>
      <c r="D2923" s="1" t="s">
        <v>7</v>
      </c>
      <c r="E2923" s="1">
        <v>39</v>
      </c>
      <c r="F2923" s="1" t="s">
        <v>6</v>
      </c>
      <c r="G2923" s="44" t="str">
        <f t="shared" si="90"/>
        <v/>
      </c>
      <c r="H2923" s="10" t="str">
        <f t="shared" si="91"/>
        <v>Monday</v>
      </c>
    </row>
    <row r="2924" spans="1:8">
      <c r="A2924" s="9">
        <v>219569853</v>
      </c>
      <c r="B2924" s="6">
        <v>45159</v>
      </c>
      <c r="C2924" s="1"/>
      <c r="D2924" s="1" t="s">
        <v>7</v>
      </c>
      <c r="E2924" s="1">
        <v>39</v>
      </c>
      <c r="F2924" s="1" t="s">
        <v>6</v>
      </c>
      <c r="G2924" s="44" t="str">
        <f t="shared" si="90"/>
        <v/>
      </c>
      <c r="H2924" s="10" t="str">
        <f t="shared" si="91"/>
        <v>Monday</v>
      </c>
    </row>
    <row r="2925" spans="1:8">
      <c r="A2925" s="9">
        <v>220197494</v>
      </c>
      <c r="B2925" s="6">
        <v>45159</v>
      </c>
      <c r="C2925" s="1"/>
      <c r="D2925" s="1" t="s">
        <v>7</v>
      </c>
      <c r="E2925" s="1">
        <v>39</v>
      </c>
      <c r="F2925" s="1" t="s">
        <v>6</v>
      </c>
      <c r="G2925" s="44" t="str">
        <f t="shared" si="90"/>
        <v/>
      </c>
      <c r="H2925" s="10" t="str">
        <f t="shared" si="91"/>
        <v>Monday</v>
      </c>
    </row>
    <row r="2926" spans="1:8">
      <c r="A2926" s="9">
        <v>220323698</v>
      </c>
      <c r="B2926" s="6">
        <v>45159</v>
      </c>
      <c r="C2926" s="1"/>
      <c r="D2926" s="1" t="s">
        <v>7</v>
      </c>
      <c r="E2926" s="1">
        <v>39</v>
      </c>
      <c r="F2926" s="1" t="s">
        <v>6</v>
      </c>
      <c r="G2926" s="44" t="str">
        <f t="shared" si="90"/>
        <v/>
      </c>
      <c r="H2926" s="10" t="str">
        <f t="shared" si="91"/>
        <v>Monday</v>
      </c>
    </row>
    <row r="2927" spans="1:8">
      <c r="A2927" s="9">
        <v>215180470</v>
      </c>
      <c r="B2927" s="6">
        <v>45159</v>
      </c>
      <c r="C2927" s="6">
        <v>45159</v>
      </c>
      <c r="D2927" s="1" t="s">
        <v>7</v>
      </c>
      <c r="E2927" s="1">
        <v>39</v>
      </c>
      <c r="F2927" s="1" t="s">
        <v>6</v>
      </c>
      <c r="G2927" s="44">
        <f t="shared" si="90"/>
        <v>0</v>
      </c>
      <c r="H2927" s="10" t="str">
        <f t="shared" si="91"/>
        <v>Monday</v>
      </c>
    </row>
    <row r="2928" spans="1:8">
      <c r="A2928" s="9">
        <v>177323966</v>
      </c>
      <c r="B2928" s="6">
        <v>45159</v>
      </c>
      <c r="C2928" s="6">
        <v>45166</v>
      </c>
      <c r="D2928" s="1" t="s">
        <v>7</v>
      </c>
      <c r="E2928" s="1">
        <v>39</v>
      </c>
      <c r="F2928" s="1" t="s">
        <v>6</v>
      </c>
      <c r="G2928" s="44">
        <f t="shared" si="90"/>
        <v>7</v>
      </c>
      <c r="H2928" s="10" t="str">
        <f t="shared" si="91"/>
        <v>Monday</v>
      </c>
    </row>
    <row r="2929" spans="1:8">
      <c r="A2929" s="9">
        <v>214682826</v>
      </c>
      <c r="B2929" s="6">
        <v>45159</v>
      </c>
      <c r="C2929" s="6">
        <v>45160</v>
      </c>
      <c r="D2929" s="1" t="s">
        <v>7</v>
      </c>
      <c r="E2929" s="1">
        <v>39</v>
      </c>
      <c r="F2929" s="1" t="s">
        <v>6</v>
      </c>
      <c r="G2929" s="44">
        <f t="shared" si="90"/>
        <v>1</v>
      </c>
      <c r="H2929" s="10" t="str">
        <f t="shared" si="91"/>
        <v>Monday</v>
      </c>
    </row>
    <row r="2930" spans="1:8">
      <c r="A2930" s="9">
        <v>220414820</v>
      </c>
      <c r="B2930" s="6">
        <v>45160</v>
      </c>
      <c r="C2930" s="1"/>
      <c r="D2930" s="1" t="s">
        <v>7</v>
      </c>
      <c r="E2930" s="1">
        <v>39</v>
      </c>
      <c r="F2930" s="1" t="s">
        <v>6</v>
      </c>
      <c r="G2930" s="44" t="str">
        <f t="shared" si="90"/>
        <v/>
      </c>
      <c r="H2930" s="10" t="str">
        <f t="shared" si="91"/>
        <v>Tuesday</v>
      </c>
    </row>
    <row r="2931" spans="1:8">
      <c r="A2931" s="9">
        <v>214682826</v>
      </c>
      <c r="B2931" s="6">
        <v>45160</v>
      </c>
      <c r="C2931" s="1"/>
      <c r="D2931" s="1" t="s">
        <v>7</v>
      </c>
      <c r="E2931" s="1">
        <v>39</v>
      </c>
      <c r="F2931" s="1" t="s">
        <v>6</v>
      </c>
      <c r="G2931" s="44" t="str">
        <f t="shared" si="90"/>
        <v/>
      </c>
      <c r="H2931" s="10" t="str">
        <f t="shared" si="91"/>
        <v>Tuesday</v>
      </c>
    </row>
    <row r="2932" spans="1:8">
      <c r="A2932" s="9">
        <v>206147500</v>
      </c>
      <c r="B2932" s="6">
        <v>45160</v>
      </c>
      <c r="C2932" s="1"/>
      <c r="D2932" s="1" t="s">
        <v>7</v>
      </c>
      <c r="E2932" s="1">
        <v>39</v>
      </c>
      <c r="F2932" s="1" t="s">
        <v>6</v>
      </c>
      <c r="G2932" s="44" t="str">
        <f t="shared" si="90"/>
        <v/>
      </c>
      <c r="H2932" s="10" t="str">
        <f t="shared" si="91"/>
        <v>Tuesday</v>
      </c>
    </row>
    <row r="2933" spans="1:8">
      <c r="A2933" s="9">
        <v>220402308</v>
      </c>
      <c r="B2933" s="6">
        <v>45160</v>
      </c>
      <c r="C2933" s="1"/>
      <c r="D2933" s="1" t="s">
        <v>7</v>
      </c>
      <c r="E2933" s="1">
        <v>39</v>
      </c>
      <c r="F2933" s="1" t="s">
        <v>6</v>
      </c>
      <c r="G2933" s="44" t="str">
        <f t="shared" si="90"/>
        <v/>
      </c>
      <c r="H2933" s="10" t="str">
        <f t="shared" si="91"/>
        <v>Tuesday</v>
      </c>
    </row>
    <row r="2934" spans="1:8">
      <c r="A2934" s="9">
        <v>220205806</v>
      </c>
      <c r="B2934" s="6">
        <v>45160</v>
      </c>
      <c r="C2934" s="1"/>
      <c r="D2934" s="1" t="s">
        <v>7</v>
      </c>
      <c r="E2934" s="1">
        <v>39</v>
      </c>
      <c r="F2934" s="1" t="s">
        <v>6</v>
      </c>
      <c r="G2934" s="44" t="str">
        <f t="shared" si="90"/>
        <v/>
      </c>
      <c r="H2934" s="10" t="str">
        <f t="shared" si="91"/>
        <v>Tuesday</v>
      </c>
    </row>
    <row r="2935" spans="1:8">
      <c r="A2935" s="9">
        <v>152792045</v>
      </c>
      <c r="B2935" s="6">
        <v>45160</v>
      </c>
      <c r="C2935" s="1"/>
      <c r="D2935" s="1" t="s">
        <v>7</v>
      </c>
      <c r="E2935" s="1">
        <v>39</v>
      </c>
      <c r="F2935" s="1" t="s">
        <v>6</v>
      </c>
      <c r="G2935" s="44" t="str">
        <f t="shared" si="90"/>
        <v/>
      </c>
      <c r="H2935" s="10" t="str">
        <f t="shared" si="91"/>
        <v>Tuesday</v>
      </c>
    </row>
    <row r="2936" spans="1:8">
      <c r="A2936" s="9">
        <v>220381016</v>
      </c>
      <c r="B2936" s="6">
        <v>45160</v>
      </c>
      <c r="C2936" s="1"/>
      <c r="D2936" s="1" t="s">
        <v>7</v>
      </c>
      <c r="E2936" s="1">
        <v>39</v>
      </c>
      <c r="F2936" s="1" t="s">
        <v>6</v>
      </c>
      <c r="G2936" s="44" t="str">
        <f t="shared" si="90"/>
        <v/>
      </c>
      <c r="H2936" s="10" t="str">
        <f t="shared" si="91"/>
        <v>Tuesday</v>
      </c>
    </row>
    <row r="2937" spans="1:8">
      <c r="A2937" s="9">
        <v>220385078</v>
      </c>
      <c r="B2937" s="6">
        <v>45160</v>
      </c>
      <c r="C2937" s="1"/>
      <c r="D2937" s="1" t="s">
        <v>7</v>
      </c>
      <c r="E2937" s="1">
        <v>39</v>
      </c>
      <c r="F2937" s="1" t="s">
        <v>6</v>
      </c>
      <c r="G2937" s="44" t="str">
        <f t="shared" si="90"/>
        <v/>
      </c>
      <c r="H2937" s="10" t="str">
        <f t="shared" si="91"/>
        <v>Tuesday</v>
      </c>
    </row>
    <row r="2938" spans="1:8">
      <c r="A2938" s="9">
        <v>220414853</v>
      </c>
      <c r="B2938" s="6">
        <v>45160</v>
      </c>
      <c r="C2938" s="1"/>
      <c r="D2938" s="1" t="s">
        <v>7</v>
      </c>
      <c r="E2938" s="1">
        <v>39</v>
      </c>
      <c r="F2938" s="1" t="s">
        <v>6</v>
      </c>
      <c r="G2938" s="44" t="str">
        <f t="shared" si="90"/>
        <v/>
      </c>
      <c r="H2938" s="10" t="str">
        <f t="shared" si="91"/>
        <v>Tuesday</v>
      </c>
    </row>
    <row r="2939" spans="1:8">
      <c r="A2939" s="9">
        <v>220366524</v>
      </c>
      <c r="B2939" s="6">
        <v>45160</v>
      </c>
      <c r="C2939" s="1"/>
      <c r="D2939" s="1" t="s">
        <v>7</v>
      </c>
      <c r="E2939" s="1">
        <v>39</v>
      </c>
      <c r="F2939" s="1" t="s">
        <v>6</v>
      </c>
      <c r="G2939" s="44" t="str">
        <f t="shared" si="90"/>
        <v/>
      </c>
      <c r="H2939" s="10" t="str">
        <f t="shared" si="91"/>
        <v>Tuesday</v>
      </c>
    </row>
    <row r="2940" spans="1:8">
      <c r="A2940" s="9">
        <v>220407436</v>
      </c>
      <c r="B2940" s="6">
        <v>45160</v>
      </c>
      <c r="C2940" s="6">
        <v>45161</v>
      </c>
      <c r="D2940" s="1" t="s">
        <v>8</v>
      </c>
      <c r="E2940" s="1">
        <v>39</v>
      </c>
      <c r="F2940" s="1" t="s">
        <v>6</v>
      </c>
      <c r="G2940" s="44">
        <f t="shared" si="90"/>
        <v>1</v>
      </c>
      <c r="H2940" s="10" t="str">
        <f t="shared" si="91"/>
        <v>Tuesday</v>
      </c>
    </row>
    <row r="2941" spans="1:8">
      <c r="A2941" s="9">
        <v>192182455</v>
      </c>
      <c r="B2941" s="6">
        <v>45161</v>
      </c>
      <c r="C2941" s="1"/>
      <c r="D2941" s="1" t="s">
        <v>7</v>
      </c>
      <c r="E2941" s="1">
        <v>39</v>
      </c>
      <c r="F2941" s="1" t="s">
        <v>6</v>
      </c>
      <c r="G2941" s="44" t="str">
        <f t="shared" si="90"/>
        <v/>
      </c>
      <c r="H2941" s="10" t="str">
        <f t="shared" si="91"/>
        <v>Wednesday</v>
      </c>
    </row>
    <row r="2942" spans="1:8">
      <c r="A2942" s="9">
        <v>219439597</v>
      </c>
      <c r="B2942" s="6">
        <v>45161</v>
      </c>
      <c r="C2942" s="1"/>
      <c r="D2942" s="1" t="s">
        <v>7</v>
      </c>
      <c r="E2942" s="1">
        <v>39</v>
      </c>
      <c r="F2942" s="1" t="s">
        <v>6</v>
      </c>
      <c r="G2942" s="44" t="str">
        <f t="shared" si="90"/>
        <v/>
      </c>
      <c r="H2942" s="10" t="str">
        <f t="shared" si="91"/>
        <v>Wednesday</v>
      </c>
    </row>
    <row r="2943" spans="1:8">
      <c r="A2943" s="9">
        <v>219576812</v>
      </c>
      <c r="B2943" s="6">
        <v>45161</v>
      </c>
      <c r="C2943" s="1"/>
      <c r="D2943" s="1" t="s">
        <v>7</v>
      </c>
      <c r="E2943" s="1">
        <v>39</v>
      </c>
      <c r="F2943" s="1" t="s">
        <v>6</v>
      </c>
      <c r="G2943" s="44" t="str">
        <f t="shared" si="90"/>
        <v/>
      </c>
      <c r="H2943" s="10" t="str">
        <f t="shared" si="91"/>
        <v>Wednesday</v>
      </c>
    </row>
    <row r="2944" spans="1:8">
      <c r="A2944" s="9">
        <v>143111905</v>
      </c>
      <c r="B2944" s="6">
        <v>45161</v>
      </c>
      <c r="C2944" s="1"/>
      <c r="D2944" s="1" t="s">
        <v>7</v>
      </c>
      <c r="E2944" s="1">
        <v>39</v>
      </c>
      <c r="F2944" s="1" t="s">
        <v>6</v>
      </c>
      <c r="G2944" s="44" t="str">
        <f t="shared" si="90"/>
        <v/>
      </c>
      <c r="H2944" s="10" t="str">
        <f t="shared" si="91"/>
        <v>Wednesday</v>
      </c>
    </row>
    <row r="2945" spans="1:8">
      <c r="A2945" s="9">
        <v>123297208</v>
      </c>
      <c r="B2945" s="6">
        <v>45161</v>
      </c>
      <c r="C2945" s="1"/>
      <c r="D2945" s="1" t="s">
        <v>7</v>
      </c>
      <c r="E2945" s="1">
        <v>39</v>
      </c>
      <c r="F2945" s="1" t="s">
        <v>6</v>
      </c>
      <c r="G2945" s="44" t="str">
        <f t="shared" si="90"/>
        <v/>
      </c>
      <c r="H2945" s="10" t="str">
        <f t="shared" si="91"/>
        <v>Wednesday</v>
      </c>
    </row>
    <row r="2946" spans="1:8">
      <c r="A2946" s="9">
        <v>213194584</v>
      </c>
      <c r="B2946" s="6">
        <v>45161</v>
      </c>
      <c r="C2946" s="1"/>
      <c r="D2946" s="1" t="s">
        <v>7</v>
      </c>
      <c r="E2946" s="1">
        <v>39</v>
      </c>
      <c r="F2946" s="1" t="s">
        <v>6</v>
      </c>
      <c r="G2946" s="44" t="str">
        <f t="shared" si="90"/>
        <v/>
      </c>
      <c r="H2946" s="10" t="str">
        <f t="shared" si="91"/>
        <v>Wednesday</v>
      </c>
    </row>
    <row r="2947" spans="1:8">
      <c r="A2947" s="9">
        <v>220455205</v>
      </c>
      <c r="B2947" s="6">
        <v>45161</v>
      </c>
      <c r="C2947" s="1"/>
      <c r="D2947" s="1" t="s">
        <v>7</v>
      </c>
      <c r="E2947" s="1">
        <v>39</v>
      </c>
      <c r="F2947" s="1" t="s">
        <v>6</v>
      </c>
      <c r="G2947" s="44" t="str">
        <f t="shared" ref="G2947:G3010" si="92">IF(C2947="", "", DATEDIF(B2947, C2947, "D"))</f>
        <v/>
      </c>
      <c r="H2947" s="10" t="str">
        <f t="shared" ref="H2947:H3010" si="93">TEXT(B2947, "dddd")</f>
        <v>Wednesday</v>
      </c>
    </row>
    <row r="2948" spans="1:8">
      <c r="A2948" s="9">
        <v>220425056</v>
      </c>
      <c r="B2948" s="6">
        <v>45161</v>
      </c>
      <c r="C2948" s="1"/>
      <c r="D2948" s="1" t="s">
        <v>7</v>
      </c>
      <c r="E2948" s="1">
        <v>39</v>
      </c>
      <c r="F2948" s="1" t="s">
        <v>6</v>
      </c>
      <c r="G2948" s="44" t="str">
        <f t="shared" si="92"/>
        <v/>
      </c>
      <c r="H2948" s="10" t="str">
        <f t="shared" si="93"/>
        <v>Wednesday</v>
      </c>
    </row>
    <row r="2949" spans="1:8">
      <c r="A2949" s="9">
        <v>219685108</v>
      </c>
      <c r="B2949" s="6">
        <v>45161</v>
      </c>
      <c r="C2949" s="1"/>
      <c r="D2949" s="1" t="s">
        <v>7</v>
      </c>
      <c r="E2949" s="1">
        <v>39</v>
      </c>
      <c r="F2949" s="1" t="s">
        <v>6</v>
      </c>
      <c r="G2949" s="44" t="str">
        <f t="shared" si="92"/>
        <v/>
      </c>
      <c r="H2949" s="10" t="str">
        <f t="shared" si="93"/>
        <v>Wednesday</v>
      </c>
    </row>
    <row r="2950" spans="1:8">
      <c r="A2950" s="9">
        <v>220531090</v>
      </c>
      <c r="B2950" s="6">
        <v>45162</v>
      </c>
      <c r="C2950" s="1"/>
      <c r="D2950" s="1" t="s">
        <v>7</v>
      </c>
      <c r="E2950" s="1">
        <v>39</v>
      </c>
      <c r="F2950" s="1" t="s">
        <v>6</v>
      </c>
      <c r="G2950" s="44" t="str">
        <f t="shared" si="92"/>
        <v/>
      </c>
      <c r="H2950" s="10" t="str">
        <f t="shared" si="93"/>
        <v>Thursday</v>
      </c>
    </row>
    <row r="2951" spans="1:8">
      <c r="A2951" s="9">
        <v>220510482</v>
      </c>
      <c r="B2951" s="6">
        <v>45162</v>
      </c>
      <c r="C2951" s="1"/>
      <c r="D2951" s="1" t="s">
        <v>7</v>
      </c>
      <c r="E2951" s="1">
        <v>39</v>
      </c>
      <c r="F2951" s="1" t="s">
        <v>6</v>
      </c>
      <c r="G2951" s="44" t="str">
        <f t="shared" si="92"/>
        <v/>
      </c>
      <c r="H2951" s="10" t="str">
        <f t="shared" si="93"/>
        <v>Thursday</v>
      </c>
    </row>
    <row r="2952" spans="1:8">
      <c r="A2952" s="9">
        <v>149856123</v>
      </c>
      <c r="B2952" s="6">
        <v>45162</v>
      </c>
      <c r="C2952" s="1"/>
      <c r="D2952" s="1" t="s">
        <v>7</v>
      </c>
      <c r="E2952" s="1">
        <v>39</v>
      </c>
      <c r="F2952" s="1" t="s">
        <v>6</v>
      </c>
      <c r="G2952" s="44" t="str">
        <f t="shared" si="92"/>
        <v/>
      </c>
      <c r="H2952" s="10" t="str">
        <f t="shared" si="93"/>
        <v>Thursday</v>
      </c>
    </row>
    <row r="2953" spans="1:8">
      <c r="A2953" s="9">
        <v>217506938</v>
      </c>
      <c r="B2953" s="6">
        <v>45162</v>
      </c>
      <c r="C2953" s="1"/>
      <c r="D2953" s="1" t="s">
        <v>7</v>
      </c>
      <c r="E2953" s="1">
        <v>39</v>
      </c>
      <c r="F2953" s="1" t="s">
        <v>6</v>
      </c>
      <c r="G2953" s="44" t="str">
        <f t="shared" si="92"/>
        <v/>
      </c>
      <c r="H2953" s="10" t="str">
        <f t="shared" si="93"/>
        <v>Thursday</v>
      </c>
    </row>
    <row r="2954" spans="1:8">
      <c r="A2954" s="9">
        <v>189403535</v>
      </c>
      <c r="B2954" s="6">
        <v>45162</v>
      </c>
      <c r="C2954" s="1"/>
      <c r="D2954" s="1" t="s">
        <v>7</v>
      </c>
      <c r="E2954" s="1">
        <v>39</v>
      </c>
      <c r="F2954" s="1" t="s">
        <v>6</v>
      </c>
      <c r="G2954" s="44" t="str">
        <f t="shared" si="92"/>
        <v/>
      </c>
      <c r="H2954" s="10" t="str">
        <f t="shared" si="93"/>
        <v>Thursday</v>
      </c>
    </row>
    <row r="2955" spans="1:8">
      <c r="A2955" s="9">
        <v>132318451</v>
      </c>
      <c r="B2955" s="6">
        <v>45162</v>
      </c>
      <c r="C2955" s="6">
        <v>45163</v>
      </c>
      <c r="D2955" s="1" t="s">
        <v>7</v>
      </c>
      <c r="E2955" s="1">
        <v>39</v>
      </c>
      <c r="F2955" s="1" t="s">
        <v>6</v>
      </c>
      <c r="G2955" s="44">
        <f t="shared" si="92"/>
        <v>1</v>
      </c>
      <c r="H2955" s="10" t="str">
        <f t="shared" si="93"/>
        <v>Thursday</v>
      </c>
    </row>
    <row r="2956" spans="1:8">
      <c r="A2956" s="9">
        <v>220495479</v>
      </c>
      <c r="B2956" s="6">
        <v>45162</v>
      </c>
      <c r="C2956" s="6">
        <v>45163</v>
      </c>
      <c r="D2956" s="1" t="s">
        <v>8</v>
      </c>
      <c r="E2956" s="1">
        <v>39</v>
      </c>
      <c r="F2956" s="1" t="s">
        <v>6</v>
      </c>
      <c r="G2956" s="44">
        <f t="shared" si="92"/>
        <v>1</v>
      </c>
      <c r="H2956" s="10" t="str">
        <f t="shared" si="93"/>
        <v>Thursday</v>
      </c>
    </row>
    <row r="2957" spans="1:8">
      <c r="A2957" s="9">
        <v>164903790</v>
      </c>
      <c r="B2957" s="6">
        <v>45163</v>
      </c>
      <c r="C2957" s="1"/>
      <c r="D2957" s="1" t="s">
        <v>7</v>
      </c>
      <c r="E2957" s="1">
        <v>39</v>
      </c>
      <c r="F2957" s="1" t="s">
        <v>6</v>
      </c>
      <c r="G2957" s="44" t="str">
        <f t="shared" si="92"/>
        <v/>
      </c>
      <c r="H2957" s="10" t="str">
        <f t="shared" si="93"/>
        <v>Friday</v>
      </c>
    </row>
    <row r="2958" spans="1:8">
      <c r="A2958" s="9">
        <v>220371835</v>
      </c>
      <c r="B2958" s="6">
        <v>45163</v>
      </c>
      <c r="C2958" s="1"/>
      <c r="D2958" s="1" t="s">
        <v>7</v>
      </c>
      <c r="E2958" s="1">
        <v>39</v>
      </c>
      <c r="F2958" s="1" t="s">
        <v>6</v>
      </c>
      <c r="G2958" s="44" t="str">
        <f t="shared" si="92"/>
        <v/>
      </c>
      <c r="H2958" s="10" t="str">
        <f t="shared" si="93"/>
        <v>Friday</v>
      </c>
    </row>
    <row r="2959" spans="1:8">
      <c r="A2959" s="9">
        <v>125932988</v>
      </c>
      <c r="B2959" s="6">
        <v>45163</v>
      </c>
      <c r="C2959" s="1"/>
      <c r="D2959" s="1" t="s">
        <v>7</v>
      </c>
      <c r="E2959" s="1">
        <v>39</v>
      </c>
      <c r="F2959" s="1" t="s">
        <v>6</v>
      </c>
      <c r="G2959" s="44" t="str">
        <f t="shared" si="92"/>
        <v/>
      </c>
      <c r="H2959" s="10" t="str">
        <f t="shared" si="93"/>
        <v>Friday</v>
      </c>
    </row>
    <row r="2960" spans="1:8">
      <c r="A2960" s="9">
        <v>214924190</v>
      </c>
      <c r="B2960" s="6">
        <v>45163</v>
      </c>
      <c r="C2960" s="1"/>
      <c r="D2960" s="1" t="s">
        <v>7</v>
      </c>
      <c r="E2960" s="1">
        <v>39</v>
      </c>
      <c r="F2960" s="1" t="s">
        <v>6</v>
      </c>
      <c r="G2960" s="44" t="str">
        <f t="shared" si="92"/>
        <v/>
      </c>
      <c r="H2960" s="10" t="str">
        <f t="shared" si="93"/>
        <v>Friday</v>
      </c>
    </row>
    <row r="2961" spans="1:8">
      <c r="A2961" s="9">
        <v>117300170</v>
      </c>
      <c r="B2961" s="6">
        <v>45163</v>
      </c>
      <c r="C2961" s="1"/>
      <c r="D2961" s="1" t="s">
        <v>7</v>
      </c>
      <c r="E2961" s="1">
        <v>39</v>
      </c>
      <c r="F2961" s="1" t="s">
        <v>6</v>
      </c>
      <c r="G2961" s="44" t="str">
        <f t="shared" si="92"/>
        <v/>
      </c>
      <c r="H2961" s="10" t="str">
        <f t="shared" si="93"/>
        <v>Friday</v>
      </c>
    </row>
    <row r="2962" spans="1:8">
      <c r="A2962" s="9">
        <v>162913792</v>
      </c>
      <c r="B2962" s="6">
        <v>45163</v>
      </c>
      <c r="C2962" s="1"/>
      <c r="D2962" s="1" t="s">
        <v>7</v>
      </c>
      <c r="E2962" s="1">
        <v>39</v>
      </c>
      <c r="F2962" s="1" t="s">
        <v>6</v>
      </c>
      <c r="G2962" s="44" t="str">
        <f t="shared" si="92"/>
        <v/>
      </c>
      <c r="H2962" s="10" t="str">
        <f t="shared" si="93"/>
        <v>Friday</v>
      </c>
    </row>
    <row r="2963" spans="1:8">
      <c r="A2963" s="9">
        <v>220551506</v>
      </c>
      <c r="B2963" s="6">
        <v>45163</v>
      </c>
      <c r="C2963" s="1"/>
      <c r="D2963" s="1" t="s">
        <v>7</v>
      </c>
      <c r="E2963" s="1">
        <v>39</v>
      </c>
      <c r="F2963" s="1" t="s">
        <v>6</v>
      </c>
      <c r="G2963" s="44" t="str">
        <f t="shared" si="92"/>
        <v/>
      </c>
      <c r="H2963" s="10" t="str">
        <f t="shared" si="93"/>
        <v>Friday</v>
      </c>
    </row>
    <row r="2964" spans="1:8">
      <c r="A2964" s="9">
        <v>161187523</v>
      </c>
      <c r="B2964" s="6">
        <v>45163</v>
      </c>
      <c r="C2964" s="1"/>
      <c r="D2964" s="1" t="s">
        <v>7</v>
      </c>
      <c r="E2964" s="1">
        <v>39</v>
      </c>
      <c r="F2964" s="1" t="s">
        <v>6</v>
      </c>
      <c r="G2964" s="44" t="str">
        <f t="shared" si="92"/>
        <v/>
      </c>
      <c r="H2964" s="10" t="str">
        <f t="shared" si="93"/>
        <v>Friday</v>
      </c>
    </row>
    <row r="2965" spans="1:8">
      <c r="A2965" s="9">
        <v>220562110</v>
      </c>
      <c r="B2965" s="6">
        <v>45163</v>
      </c>
      <c r="C2965" s="6">
        <v>45164</v>
      </c>
      <c r="D2965" s="1" t="s">
        <v>8</v>
      </c>
      <c r="E2965" s="1">
        <v>39</v>
      </c>
      <c r="F2965" s="1" t="s">
        <v>6</v>
      </c>
      <c r="G2965" s="44">
        <f t="shared" si="92"/>
        <v>1</v>
      </c>
      <c r="H2965" s="10" t="str">
        <f t="shared" si="93"/>
        <v>Friday</v>
      </c>
    </row>
    <row r="2966" spans="1:8">
      <c r="A2966" s="9">
        <v>220589305</v>
      </c>
      <c r="B2966" s="6">
        <v>45164</v>
      </c>
      <c r="C2966" s="1"/>
      <c r="D2966" s="1" t="s">
        <v>7</v>
      </c>
      <c r="E2966" s="1">
        <v>39</v>
      </c>
      <c r="F2966" s="1" t="s">
        <v>6</v>
      </c>
      <c r="G2966" s="44" t="str">
        <f t="shared" si="92"/>
        <v/>
      </c>
      <c r="H2966" s="10" t="str">
        <f t="shared" si="93"/>
        <v>Saturday</v>
      </c>
    </row>
    <row r="2967" spans="1:8">
      <c r="A2967" s="9">
        <v>220496139</v>
      </c>
      <c r="B2967" s="6">
        <v>45164</v>
      </c>
      <c r="C2967" s="1"/>
      <c r="D2967" s="1" t="s">
        <v>7</v>
      </c>
      <c r="E2967" s="1">
        <v>39</v>
      </c>
      <c r="F2967" s="1" t="s">
        <v>6</v>
      </c>
      <c r="G2967" s="44" t="str">
        <f t="shared" si="92"/>
        <v/>
      </c>
      <c r="H2967" s="10" t="str">
        <f t="shared" si="93"/>
        <v>Saturday</v>
      </c>
    </row>
    <row r="2968" spans="1:8">
      <c r="A2968" s="9">
        <v>219211334</v>
      </c>
      <c r="B2968" s="6">
        <v>45164</v>
      </c>
      <c r="C2968" s="1"/>
      <c r="D2968" s="1" t="s">
        <v>7</v>
      </c>
      <c r="E2968" s="1">
        <v>39</v>
      </c>
      <c r="F2968" s="1" t="s">
        <v>6</v>
      </c>
      <c r="G2968" s="44" t="str">
        <f t="shared" si="92"/>
        <v/>
      </c>
      <c r="H2968" s="10" t="str">
        <f t="shared" si="93"/>
        <v>Saturday</v>
      </c>
    </row>
    <row r="2969" spans="1:8">
      <c r="A2969" s="9">
        <v>220582817</v>
      </c>
      <c r="B2969" s="6">
        <v>45164</v>
      </c>
      <c r="C2969" s="1"/>
      <c r="D2969" s="1" t="s">
        <v>7</v>
      </c>
      <c r="E2969" s="1">
        <v>39</v>
      </c>
      <c r="F2969" s="1" t="s">
        <v>6</v>
      </c>
      <c r="G2969" s="44" t="str">
        <f t="shared" si="92"/>
        <v/>
      </c>
      <c r="H2969" s="10" t="str">
        <f t="shared" si="93"/>
        <v>Saturday</v>
      </c>
    </row>
    <row r="2970" spans="1:8">
      <c r="A2970" s="9">
        <v>217513777</v>
      </c>
      <c r="B2970" s="6">
        <v>45164</v>
      </c>
      <c r="C2970" s="6">
        <v>45166</v>
      </c>
      <c r="D2970" s="1" t="s">
        <v>7</v>
      </c>
      <c r="E2970" s="1">
        <v>39</v>
      </c>
      <c r="F2970" s="1" t="s">
        <v>6</v>
      </c>
      <c r="G2970" s="44">
        <f t="shared" si="92"/>
        <v>2</v>
      </c>
      <c r="H2970" s="10" t="str">
        <f t="shared" si="93"/>
        <v>Saturday</v>
      </c>
    </row>
    <row r="2971" spans="1:8">
      <c r="A2971" s="9">
        <v>220576148</v>
      </c>
      <c r="B2971" s="6">
        <v>45164</v>
      </c>
      <c r="C2971" s="6">
        <v>45174</v>
      </c>
      <c r="D2971" s="1" t="s">
        <v>7</v>
      </c>
      <c r="E2971" s="1">
        <v>39</v>
      </c>
      <c r="F2971" s="1" t="s">
        <v>6</v>
      </c>
      <c r="G2971" s="44">
        <f t="shared" si="92"/>
        <v>10</v>
      </c>
      <c r="H2971" s="10" t="str">
        <f t="shared" si="93"/>
        <v>Saturday</v>
      </c>
    </row>
    <row r="2972" spans="1:8">
      <c r="A2972" s="9">
        <v>219294264</v>
      </c>
      <c r="B2972" s="6">
        <v>45165</v>
      </c>
      <c r="C2972" s="1"/>
      <c r="D2972" s="1" t="s">
        <v>7</v>
      </c>
      <c r="E2972" s="1">
        <v>39</v>
      </c>
      <c r="F2972" s="1" t="s">
        <v>6</v>
      </c>
      <c r="G2972" s="44" t="str">
        <f t="shared" si="92"/>
        <v/>
      </c>
      <c r="H2972" s="10" t="str">
        <f t="shared" si="93"/>
        <v>Sunday</v>
      </c>
    </row>
    <row r="2973" spans="1:8">
      <c r="A2973" s="9">
        <v>220617197</v>
      </c>
      <c r="B2973" s="6">
        <v>45165</v>
      </c>
      <c r="C2973" s="1"/>
      <c r="D2973" s="1" t="s">
        <v>7</v>
      </c>
      <c r="E2973" s="1">
        <v>39</v>
      </c>
      <c r="F2973" s="1" t="s">
        <v>6</v>
      </c>
      <c r="G2973" s="44" t="str">
        <f t="shared" si="92"/>
        <v/>
      </c>
      <c r="H2973" s="10" t="str">
        <f t="shared" si="93"/>
        <v>Sunday</v>
      </c>
    </row>
    <row r="2974" spans="1:8">
      <c r="A2974" s="9">
        <v>220227691</v>
      </c>
      <c r="B2974" s="6">
        <v>45165</v>
      </c>
      <c r="C2974" s="1"/>
      <c r="D2974" s="1" t="s">
        <v>7</v>
      </c>
      <c r="E2974" s="1">
        <v>39</v>
      </c>
      <c r="F2974" s="1" t="s">
        <v>6</v>
      </c>
      <c r="G2974" s="44" t="str">
        <f t="shared" si="92"/>
        <v/>
      </c>
      <c r="H2974" s="10" t="str">
        <f t="shared" si="93"/>
        <v>Sunday</v>
      </c>
    </row>
    <row r="2975" spans="1:8">
      <c r="A2975" s="9">
        <v>220672607</v>
      </c>
      <c r="B2975" s="6">
        <v>45166</v>
      </c>
      <c r="C2975" s="1"/>
      <c r="D2975" s="1" t="s">
        <v>7</v>
      </c>
      <c r="E2975" s="1">
        <v>39</v>
      </c>
      <c r="F2975" s="1" t="s">
        <v>6</v>
      </c>
      <c r="G2975" s="44" t="str">
        <f t="shared" si="92"/>
        <v/>
      </c>
      <c r="H2975" s="10" t="str">
        <f t="shared" si="93"/>
        <v>Monday</v>
      </c>
    </row>
    <row r="2976" spans="1:8">
      <c r="A2976" s="9">
        <v>218608353</v>
      </c>
      <c r="B2976" s="6">
        <v>45166</v>
      </c>
      <c r="C2976" s="1"/>
      <c r="D2976" s="1" t="s">
        <v>7</v>
      </c>
      <c r="E2976" s="1">
        <v>39</v>
      </c>
      <c r="F2976" s="1" t="s">
        <v>6</v>
      </c>
      <c r="G2976" s="44" t="str">
        <f t="shared" si="92"/>
        <v/>
      </c>
      <c r="H2976" s="10" t="str">
        <f t="shared" si="93"/>
        <v>Monday</v>
      </c>
    </row>
    <row r="2977" spans="1:8">
      <c r="A2977" s="9">
        <v>135128238</v>
      </c>
      <c r="B2977" s="6">
        <v>45166</v>
      </c>
      <c r="C2977" s="1"/>
      <c r="D2977" s="1" t="s">
        <v>7</v>
      </c>
      <c r="E2977" s="1">
        <v>39</v>
      </c>
      <c r="F2977" s="1" t="s">
        <v>6</v>
      </c>
      <c r="G2977" s="44" t="str">
        <f t="shared" si="92"/>
        <v/>
      </c>
      <c r="H2977" s="10" t="str">
        <f t="shared" si="93"/>
        <v>Monday</v>
      </c>
    </row>
    <row r="2978" spans="1:8">
      <c r="A2978" s="9">
        <v>220285147</v>
      </c>
      <c r="B2978" s="6">
        <v>45166</v>
      </c>
      <c r="C2978" s="1"/>
      <c r="D2978" s="1" t="s">
        <v>7</v>
      </c>
      <c r="E2978" s="1">
        <v>39</v>
      </c>
      <c r="F2978" s="1" t="s">
        <v>6</v>
      </c>
      <c r="G2978" s="44" t="str">
        <f t="shared" si="92"/>
        <v/>
      </c>
      <c r="H2978" s="10" t="str">
        <f t="shared" si="93"/>
        <v>Monday</v>
      </c>
    </row>
    <row r="2979" spans="1:8">
      <c r="A2979" s="9">
        <v>218645057</v>
      </c>
      <c r="B2979" s="6">
        <v>45166</v>
      </c>
      <c r="C2979" s="1"/>
      <c r="D2979" s="1" t="s">
        <v>7</v>
      </c>
      <c r="E2979" s="1">
        <v>39</v>
      </c>
      <c r="F2979" s="1" t="s">
        <v>6</v>
      </c>
      <c r="G2979" s="44" t="str">
        <f t="shared" si="92"/>
        <v/>
      </c>
      <c r="H2979" s="10" t="str">
        <f t="shared" si="93"/>
        <v>Monday</v>
      </c>
    </row>
    <row r="2980" spans="1:8">
      <c r="A2980" s="9">
        <v>128199550</v>
      </c>
      <c r="B2980" s="6">
        <v>45166</v>
      </c>
      <c r="C2980" s="6">
        <v>45169</v>
      </c>
      <c r="D2980" s="1" t="s">
        <v>7</v>
      </c>
      <c r="E2980" s="1">
        <v>39</v>
      </c>
      <c r="F2980" s="1" t="s">
        <v>6</v>
      </c>
      <c r="G2980" s="44">
        <f t="shared" si="92"/>
        <v>3</v>
      </c>
      <c r="H2980" s="10" t="str">
        <f t="shared" si="93"/>
        <v>Monday</v>
      </c>
    </row>
    <row r="2981" spans="1:8">
      <c r="A2981" s="9">
        <v>220747618</v>
      </c>
      <c r="B2981" s="6">
        <v>45167</v>
      </c>
      <c r="C2981" s="1"/>
      <c r="D2981" s="1" t="s">
        <v>7</v>
      </c>
      <c r="E2981" s="1">
        <v>39</v>
      </c>
      <c r="F2981" s="1" t="s">
        <v>6</v>
      </c>
      <c r="G2981" s="44" t="str">
        <f t="shared" si="92"/>
        <v/>
      </c>
      <c r="H2981" s="10" t="str">
        <f t="shared" si="93"/>
        <v>Tuesday</v>
      </c>
    </row>
    <row r="2982" spans="1:8">
      <c r="A2982" s="9">
        <v>207386830</v>
      </c>
      <c r="B2982" s="6">
        <v>45167</v>
      </c>
      <c r="C2982" s="1"/>
      <c r="D2982" s="1" t="s">
        <v>7</v>
      </c>
      <c r="E2982" s="1">
        <v>39</v>
      </c>
      <c r="F2982" s="1" t="s">
        <v>6</v>
      </c>
      <c r="G2982" s="44" t="str">
        <f t="shared" si="92"/>
        <v/>
      </c>
      <c r="H2982" s="10" t="str">
        <f t="shared" si="93"/>
        <v>Tuesday</v>
      </c>
    </row>
    <row r="2983" spans="1:8">
      <c r="A2983" s="9">
        <v>205109812</v>
      </c>
      <c r="B2983" s="6">
        <v>45167</v>
      </c>
      <c r="C2983" s="1"/>
      <c r="D2983" s="1" t="s">
        <v>7</v>
      </c>
      <c r="E2983" s="1">
        <v>39</v>
      </c>
      <c r="F2983" s="1" t="s">
        <v>6</v>
      </c>
      <c r="G2983" s="44" t="str">
        <f t="shared" si="92"/>
        <v/>
      </c>
      <c r="H2983" s="10" t="str">
        <f t="shared" si="93"/>
        <v>Tuesday</v>
      </c>
    </row>
    <row r="2984" spans="1:8">
      <c r="A2984" s="9">
        <v>132318451</v>
      </c>
      <c r="B2984" s="6">
        <v>45167</v>
      </c>
      <c r="C2984" s="1"/>
      <c r="D2984" s="1" t="s">
        <v>7</v>
      </c>
      <c r="E2984" s="1">
        <v>39</v>
      </c>
      <c r="F2984" s="1" t="s">
        <v>6</v>
      </c>
      <c r="G2984" s="44" t="str">
        <f t="shared" si="92"/>
        <v/>
      </c>
      <c r="H2984" s="10" t="str">
        <f t="shared" si="93"/>
        <v>Tuesday</v>
      </c>
    </row>
    <row r="2985" spans="1:8">
      <c r="A2985" s="9">
        <v>218596318</v>
      </c>
      <c r="B2985" s="6">
        <v>45167</v>
      </c>
      <c r="C2985" s="1"/>
      <c r="D2985" s="1" t="s">
        <v>7</v>
      </c>
      <c r="E2985" s="1">
        <v>39</v>
      </c>
      <c r="F2985" s="1" t="s">
        <v>6</v>
      </c>
      <c r="G2985" s="44" t="str">
        <f t="shared" si="92"/>
        <v/>
      </c>
      <c r="H2985" s="10" t="str">
        <f t="shared" si="93"/>
        <v>Tuesday</v>
      </c>
    </row>
    <row r="2986" spans="1:8">
      <c r="A2986" s="9">
        <v>220699520</v>
      </c>
      <c r="B2986" s="6">
        <v>45167</v>
      </c>
      <c r="C2986" s="1"/>
      <c r="D2986" s="1" t="s">
        <v>7</v>
      </c>
      <c r="E2986" s="1">
        <v>39</v>
      </c>
      <c r="F2986" s="1" t="s">
        <v>6</v>
      </c>
      <c r="G2986" s="44" t="str">
        <f t="shared" si="92"/>
        <v/>
      </c>
      <c r="H2986" s="10" t="str">
        <f t="shared" si="93"/>
        <v>Tuesday</v>
      </c>
    </row>
    <row r="2987" spans="1:8">
      <c r="A2987" s="9">
        <v>218307579</v>
      </c>
      <c r="B2987" s="6">
        <v>45167</v>
      </c>
      <c r="C2987" s="1"/>
      <c r="D2987" s="1" t="s">
        <v>7</v>
      </c>
      <c r="E2987" s="1">
        <v>39</v>
      </c>
      <c r="F2987" s="1" t="s">
        <v>6</v>
      </c>
      <c r="G2987" s="44" t="str">
        <f t="shared" si="92"/>
        <v/>
      </c>
      <c r="H2987" s="10" t="str">
        <f t="shared" si="93"/>
        <v>Tuesday</v>
      </c>
    </row>
    <row r="2988" spans="1:8">
      <c r="A2988" s="9">
        <v>218514844</v>
      </c>
      <c r="B2988" s="6">
        <v>45168</v>
      </c>
      <c r="C2988" s="1"/>
      <c r="D2988" s="1" t="s">
        <v>7</v>
      </c>
      <c r="E2988" s="1">
        <v>39</v>
      </c>
      <c r="F2988" s="1" t="s">
        <v>6</v>
      </c>
      <c r="G2988" s="44" t="str">
        <f t="shared" si="92"/>
        <v/>
      </c>
      <c r="H2988" s="10" t="str">
        <f t="shared" si="93"/>
        <v>Wednesday</v>
      </c>
    </row>
    <row r="2989" spans="1:8">
      <c r="A2989" s="9">
        <v>188622328</v>
      </c>
      <c r="B2989" s="6">
        <v>45168</v>
      </c>
      <c r="C2989" s="1"/>
      <c r="D2989" s="1" t="s">
        <v>7</v>
      </c>
      <c r="E2989" s="1">
        <v>39</v>
      </c>
      <c r="F2989" s="1" t="s">
        <v>6</v>
      </c>
      <c r="G2989" s="44" t="str">
        <f t="shared" si="92"/>
        <v/>
      </c>
      <c r="H2989" s="10" t="str">
        <f t="shared" si="93"/>
        <v>Wednesday</v>
      </c>
    </row>
    <row r="2990" spans="1:8">
      <c r="A2990" s="9">
        <v>220790640</v>
      </c>
      <c r="B2990" s="6">
        <v>45168</v>
      </c>
      <c r="C2990" s="1"/>
      <c r="D2990" s="1" t="s">
        <v>7</v>
      </c>
      <c r="E2990" s="1">
        <v>39</v>
      </c>
      <c r="F2990" s="1" t="s">
        <v>6</v>
      </c>
      <c r="G2990" s="44" t="str">
        <f t="shared" si="92"/>
        <v/>
      </c>
      <c r="H2990" s="10" t="str">
        <f t="shared" si="93"/>
        <v>Wednesday</v>
      </c>
    </row>
    <row r="2991" spans="1:8">
      <c r="A2991" s="9">
        <v>220675005</v>
      </c>
      <c r="B2991" s="6">
        <v>45168</v>
      </c>
      <c r="C2991" s="1"/>
      <c r="D2991" s="1" t="s">
        <v>7</v>
      </c>
      <c r="E2991" s="1">
        <v>39</v>
      </c>
      <c r="F2991" s="1" t="s">
        <v>6</v>
      </c>
      <c r="G2991" s="44" t="str">
        <f t="shared" si="92"/>
        <v/>
      </c>
      <c r="H2991" s="10" t="str">
        <f t="shared" si="93"/>
        <v>Wednesday</v>
      </c>
    </row>
    <row r="2992" spans="1:8">
      <c r="A2992" s="9">
        <v>142757196</v>
      </c>
      <c r="B2992" s="6">
        <v>45168</v>
      </c>
      <c r="C2992" s="1"/>
      <c r="D2992" s="1" t="s">
        <v>7</v>
      </c>
      <c r="E2992" s="1">
        <v>39</v>
      </c>
      <c r="F2992" s="1" t="s">
        <v>6</v>
      </c>
      <c r="G2992" s="44" t="str">
        <f t="shared" si="92"/>
        <v/>
      </c>
      <c r="H2992" s="10" t="str">
        <f t="shared" si="93"/>
        <v>Wednesday</v>
      </c>
    </row>
    <row r="2993" spans="1:8">
      <c r="A2993" s="9">
        <v>220411940</v>
      </c>
      <c r="B2993" s="6">
        <v>45168</v>
      </c>
      <c r="C2993" s="1"/>
      <c r="D2993" s="1" t="s">
        <v>7</v>
      </c>
      <c r="E2993" s="1">
        <v>39</v>
      </c>
      <c r="F2993" s="1" t="s">
        <v>6</v>
      </c>
      <c r="G2993" s="44" t="str">
        <f t="shared" si="92"/>
        <v/>
      </c>
      <c r="H2993" s="10" t="str">
        <f t="shared" si="93"/>
        <v>Wednesday</v>
      </c>
    </row>
    <row r="2994" spans="1:8">
      <c r="A2994" s="9">
        <v>155613371</v>
      </c>
      <c r="B2994" s="6">
        <v>45168</v>
      </c>
      <c r="C2994" s="1"/>
      <c r="D2994" s="1" t="s">
        <v>7</v>
      </c>
      <c r="E2994" s="1">
        <v>39</v>
      </c>
      <c r="F2994" s="1" t="s">
        <v>6</v>
      </c>
      <c r="G2994" s="44" t="str">
        <f t="shared" si="92"/>
        <v/>
      </c>
      <c r="H2994" s="10" t="str">
        <f t="shared" si="93"/>
        <v>Wednesday</v>
      </c>
    </row>
    <row r="2995" spans="1:8">
      <c r="A2995" s="9">
        <v>164548755</v>
      </c>
      <c r="B2995" s="6">
        <v>45168</v>
      </c>
      <c r="C2995" s="1"/>
      <c r="D2995" s="1" t="s">
        <v>7</v>
      </c>
      <c r="E2995" s="1">
        <v>39</v>
      </c>
      <c r="F2995" s="1" t="s">
        <v>6</v>
      </c>
      <c r="G2995" s="44" t="str">
        <f t="shared" si="92"/>
        <v/>
      </c>
      <c r="H2995" s="10" t="str">
        <f t="shared" si="93"/>
        <v>Wednesday</v>
      </c>
    </row>
    <row r="2996" spans="1:8">
      <c r="A2996" s="9">
        <v>220546810</v>
      </c>
      <c r="B2996" s="6">
        <v>45168</v>
      </c>
      <c r="C2996" s="1"/>
      <c r="D2996" s="1" t="s">
        <v>7</v>
      </c>
      <c r="E2996" s="1">
        <v>39</v>
      </c>
      <c r="F2996" s="1" t="s">
        <v>6</v>
      </c>
      <c r="G2996" s="44" t="str">
        <f t="shared" si="92"/>
        <v/>
      </c>
      <c r="H2996" s="10" t="str">
        <f t="shared" si="93"/>
        <v>Wednesday</v>
      </c>
    </row>
    <row r="2997" spans="1:8">
      <c r="A2997" s="9">
        <v>215202566</v>
      </c>
      <c r="B2997" s="6">
        <v>45168</v>
      </c>
      <c r="C2997" s="6">
        <v>45168</v>
      </c>
      <c r="D2997" s="1" t="s">
        <v>7</v>
      </c>
      <c r="E2997" s="1">
        <v>39</v>
      </c>
      <c r="F2997" s="1" t="s">
        <v>6</v>
      </c>
      <c r="G2997" s="44">
        <f t="shared" si="92"/>
        <v>0</v>
      </c>
      <c r="H2997" s="10" t="str">
        <f t="shared" si="93"/>
        <v>Wednesday</v>
      </c>
    </row>
    <row r="2998" spans="1:8">
      <c r="A2998" s="9">
        <v>135092264</v>
      </c>
      <c r="B2998" s="6">
        <v>45169</v>
      </c>
      <c r="C2998" s="1"/>
      <c r="D2998" s="1" t="s">
        <v>7</v>
      </c>
      <c r="E2998" s="1">
        <v>39</v>
      </c>
      <c r="F2998" s="1" t="s">
        <v>6</v>
      </c>
      <c r="G2998" s="44" t="str">
        <f t="shared" si="92"/>
        <v/>
      </c>
      <c r="H2998" s="10" t="str">
        <f t="shared" si="93"/>
        <v>Thursday</v>
      </c>
    </row>
    <row r="2999" spans="1:8">
      <c r="A2999" s="9">
        <v>220854418</v>
      </c>
      <c r="B2999" s="6">
        <v>45169</v>
      </c>
      <c r="C2999" s="1"/>
      <c r="D2999" s="1" t="s">
        <v>7</v>
      </c>
      <c r="E2999" s="1">
        <v>39</v>
      </c>
      <c r="F2999" s="1" t="s">
        <v>6</v>
      </c>
      <c r="G2999" s="44" t="str">
        <f t="shared" si="92"/>
        <v/>
      </c>
      <c r="H2999" s="10" t="str">
        <f t="shared" si="93"/>
        <v>Thursday</v>
      </c>
    </row>
    <row r="3000" spans="1:8">
      <c r="A3000" s="9">
        <v>220851140</v>
      </c>
      <c r="B3000" s="6">
        <v>45169</v>
      </c>
      <c r="C3000" s="1"/>
      <c r="D3000" s="1" t="s">
        <v>7</v>
      </c>
      <c r="E3000" s="1">
        <v>39</v>
      </c>
      <c r="F3000" s="1" t="s">
        <v>6</v>
      </c>
      <c r="G3000" s="44" t="str">
        <f t="shared" si="92"/>
        <v/>
      </c>
      <c r="H3000" s="10" t="str">
        <f t="shared" si="93"/>
        <v>Thursday</v>
      </c>
    </row>
    <row r="3001" spans="1:8">
      <c r="A3001" s="9">
        <v>220843911</v>
      </c>
      <c r="B3001" s="6">
        <v>45169</v>
      </c>
      <c r="C3001" s="1"/>
      <c r="D3001" s="1" t="s">
        <v>7</v>
      </c>
      <c r="E3001" s="1">
        <v>39</v>
      </c>
      <c r="F3001" s="1" t="s">
        <v>6</v>
      </c>
      <c r="G3001" s="44" t="str">
        <f t="shared" si="92"/>
        <v/>
      </c>
      <c r="H3001" s="10" t="str">
        <f t="shared" si="93"/>
        <v>Thursday</v>
      </c>
    </row>
    <row r="3002" spans="1:8">
      <c r="A3002" s="9">
        <v>216137022</v>
      </c>
      <c r="B3002" s="6">
        <v>45169</v>
      </c>
      <c r="C3002" s="1"/>
      <c r="D3002" s="1" t="s">
        <v>7</v>
      </c>
      <c r="E3002" s="1">
        <v>39</v>
      </c>
      <c r="F3002" s="1" t="s">
        <v>6</v>
      </c>
      <c r="G3002" s="44" t="str">
        <f t="shared" si="92"/>
        <v/>
      </c>
      <c r="H3002" s="10" t="str">
        <f t="shared" si="93"/>
        <v>Thursday</v>
      </c>
    </row>
    <row r="3003" spans="1:8">
      <c r="A3003" s="9">
        <v>161151062</v>
      </c>
      <c r="B3003" s="6">
        <v>45169</v>
      </c>
      <c r="C3003" s="1"/>
      <c r="D3003" s="1" t="s">
        <v>7</v>
      </c>
      <c r="E3003" s="1">
        <v>39</v>
      </c>
      <c r="F3003" s="1" t="s">
        <v>6</v>
      </c>
      <c r="G3003" s="44" t="str">
        <f t="shared" si="92"/>
        <v/>
      </c>
      <c r="H3003" s="10" t="str">
        <f t="shared" si="93"/>
        <v>Thursday</v>
      </c>
    </row>
    <row r="3004" spans="1:8">
      <c r="A3004" s="9">
        <v>148085880</v>
      </c>
      <c r="B3004" s="6">
        <v>45169</v>
      </c>
      <c r="C3004" s="1"/>
      <c r="D3004" s="1" t="s">
        <v>7</v>
      </c>
      <c r="E3004" s="1">
        <v>39</v>
      </c>
      <c r="F3004" s="1" t="s">
        <v>6</v>
      </c>
      <c r="G3004" s="44" t="str">
        <f t="shared" si="92"/>
        <v/>
      </c>
      <c r="H3004" s="10" t="str">
        <f t="shared" si="93"/>
        <v>Thursday</v>
      </c>
    </row>
    <row r="3005" spans="1:8">
      <c r="A3005" s="9">
        <v>182061738</v>
      </c>
      <c r="B3005" s="6">
        <v>45170</v>
      </c>
      <c r="C3005" s="1"/>
      <c r="D3005" s="1" t="s">
        <v>7</v>
      </c>
      <c r="E3005" s="1">
        <v>39</v>
      </c>
      <c r="F3005" s="1" t="s">
        <v>6</v>
      </c>
      <c r="G3005" s="44" t="str">
        <f t="shared" si="92"/>
        <v/>
      </c>
      <c r="H3005" s="10" t="str">
        <f t="shared" si="93"/>
        <v>Friday</v>
      </c>
    </row>
    <row r="3006" spans="1:8">
      <c r="A3006" s="9">
        <v>220860582</v>
      </c>
      <c r="B3006" s="6">
        <v>45170</v>
      </c>
      <c r="C3006" s="1"/>
      <c r="D3006" s="1" t="s">
        <v>7</v>
      </c>
      <c r="E3006" s="1">
        <v>39</v>
      </c>
      <c r="F3006" s="1" t="s">
        <v>6</v>
      </c>
      <c r="G3006" s="44" t="str">
        <f t="shared" si="92"/>
        <v/>
      </c>
      <c r="H3006" s="10" t="str">
        <f t="shared" si="93"/>
        <v>Friday</v>
      </c>
    </row>
    <row r="3007" spans="1:8">
      <c r="A3007" s="9">
        <v>218315334</v>
      </c>
      <c r="B3007" s="6">
        <v>45170</v>
      </c>
      <c r="C3007" s="1"/>
      <c r="D3007" s="1" t="s">
        <v>7</v>
      </c>
      <c r="E3007" s="1">
        <v>39</v>
      </c>
      <c r="F3007" s="1" t="s">
        <v>6</v>
      </c>
      <c r="G3007" s="44" t="str">
        <f t="shared" si="92"/>
        <v/>
      </c>
      <c r="H3007" s="10" t="str">
        <f t="shared" si="93"/>
        <v>Friday</v>
      </c>
    </row>
    <row r="3008" spans="1:8">
      <c r="A3008" s="9">
        <v>217246008</v>
      </c>
      <c r="B3008" s="6">
        <v>45170</v>
      </c>
      <c r="C3008" s="1"/>
      <c r="D3008" s="1" t="s">
        <v>7</v>
      </c>
      <c r="E3008" s="1">
        <v>39</v>
      </c>
      <c r="F3008" s="1" t="s">
        <v>6</v>
      </c>
      <c r="G3008" s="44" t="str">
        <f t="shared" si="92"/>
        <v/>
      </c>
      <c r="H3008" s="10" t="str">
        <f t="shared" si="93"/>
        <v>Friday</v>
      </c>
    </row>
    <row r="3009" spans="1:8">
      <c r="A3009" s="9">
        <v>220835326</v>
      </c>
      <c r="B3009" s="6">
        <v>45170</v>
      </c>
      <c r="C3009" s="1"/>
      <c r="D3009" s="1" t="s">
        <v>7</v>
      </c>
      <c r="E3009" s="1">
        <v>39</v>
      </c>
      <c r="F3009" s="1" t="s">
        <v>6</v>
      </c>
      <c r="G3009" s="44" t="str">
        <f t="shared" si="92"/>
        <v/>
      </c>
      <c r="H3009" s="10" t="str">
        <f t="shared" si="93"/>
        <v>Friday</v>
      </c>
    </row>
    <row r="3010" spans="1:8">
      <c r="A3010" s="9">
        <v>219470485</v>
      </c>
      <c r="B3010" s="6">
        <v>45170</v>
      </c>
      <c r="C3010" s="1"/>
      <c r="D3010" s="1" t="s">
        <v>7</v>
      </c>
      <c r="E3010" s="1">
        <v>39</v>
      </c>
      <c r="F3010" s="1" t="s">
        <v>6</v>
      </c>
      <c r="G3010" s="44" t="str">
        <f t="shared" si="92"/>
        <v/>
      </c>
      <c r="H3010" s="10" t="str">
        <f t="shared" si="93"/>
        <v>Friday</v>
      </c>
    </row>
    <row r="3011" spans="1:8">
      <c r="A3011" s="9">
        <v>182153913</v>
      </c>
      <c r="B3011" s="6">
        <v>45171</v>
      </c>
      <c r="C3011" s="1"/>
      <c r="D3011" s="1" t="s">
        <v>7</v>
      </c>
      <c r="E3011" s="1">
        <v>39</v>
      </c>
      <c r="F3011" s="1" t="s">
        <v>6</v>
      </c>
      <c r="G3011" s="44" t="str">
        <f t="shared" ref="G3011:G3070" si="94">IF(C3011="", "", DATEDIF(B3011, C3011, "D"))</f>
        <v/>
      </c>
      <c r="H3011" s="10" t="str">
        <f t="shared" ref="H3011:H3070" si="95">TEXT(B3011, "dddd")</f>
        <v>Saturday</v>
      </c>
    </row>
    <row r="3012" spans="1:8">
      <c r="A3012" s="9">
        <v>217223132</v>
      </c>
      <c r="B3012" s="6">
        <v>45171</v>
      </c>
      <c r="C3012" s="1"/>
      <c r="D3012" s="1" t="s">
        <v>7</v>
      </c>
      <c r="E3012" s="1">
        <v>39</v>
      </c>
      <c r="F3012" s="1" t="s">
        <v>6</v>
      </c>
      <c r="G3012" s="44" t="str">
        <f t="shared" si="94"/>
        <v/>
      </c>
      <c r="H3012" s="10" t="str">
        <f t="shared" si="95"/>
        <v>Saturday</v>
      </c>
    </row>
    <row r="3013" spans="1:8">
      <c r="A3013" s="9">
        <v>219643599</v>
      </c>
      <c r="B3013" s="6">
        <v>45171</v>
      </c>
      <c r="C3013" s="1"/>
      <c r="D3013" s="1" t="s">
        <v>7</v>
      </c>
      <c r="E3013" s="1">
        <v>39</v>
      </c>
      <c r="F3013" s="1" t="s">
        <v>6</v>
      </c>
      <c r="G3013" s="44" t="str">
        <f t="shared" si="94"/>
        <v/>
      </c>
      <c r="H3013" s="10" t="str">
        <f t="shared" si="95"/>
        <v>Saturday</v>
      </c>
    </row>
    <row r="3014" spans="1:8">
      <c r="A3014" s="9">
        <v>152851458</v>
      </c>
      <c r="B3014" s="6">
        <v>45171</v>
      </c>
      <c r="C3014" s="1"/>
      <c r="D3014" s="1" t="s">
        <v>7</v>
      </c>
      <c r="E3014" s="1">
        <v>39</v>
      </c>
      <c r="F3014" s="1" t="s">
        <v>6</v>
      </c>
      <c r="G3014" s="44" t="str">
        <f t="shared" si="94"/>
        <v/>
      </c>
      <c r="H3014" s="10" t="str">
        <f t="shared" si="95"/>
        <v>Saturday</v>
      </c>
    </row>
    <row r="3015" spans="1:8">
      <c r="A3015" s="9">
        <v>219657672</v>
      </c>
      <c r="B3015" s="6">
        <v>45171</v>
      </c>
      <c r="C3015" s="1"/>
      <c r="D3015" s="1" t="s">
        <v>7</v>
      </c>
      <c r="E3015" s="1">
        <v>39</v>
      </c>
      <c r="F3015" s="1" t="s">
        <v>6</v>
      </c>
      <c r="G3015" s="44" t="str">
        <f t="shared" si="94"/>
        <v/>
      </c>
      <c r="H3015" s="10" t="str">
        <f t="shared" si="95"/>
        <v>Saturday</v>
      </c>
    </row>
    <row r="3016" spans="1:8">
      <c r="A3016" s="9">
        <v>220973656</v>
      </c>
      <c r="B3016" s="6">
        <v>45172</v>
      </c>
      <c r="C3016" s="1"/>
      <c r="D3016" s="1" t="s">
        <v>7</v>
      </c>
      <c r="E3016" s="1">
        <v>39</v>
      </c>
      <c r="F3016" s="1" t="s">
        <v>6</v>
      </c>
      <c r="G3016" s="44" t="str">
        <f t="shared" si="94"/>
        <v/>
      </c>
      <c r="H3016" s="10" t="str">
        <f t="shared" si="95"/>
        <v>Sunday</v>
      </c>
    </row>
    <row r="3017" spans="1:8">
      <c r="A3017" s="9">
        <v>159717680</v>
      </c>
      <c r="B3017" s="6">
        <v>45172</v>
      </c>
      <c r="C3017" s="1"/>
      <c r="D3017" s="1" t="s">
        <v>7</v>
      </c>
      <c r="E3017" s="1">
        <v>39</v>
      </c>
      <c r="F3017" s="1" t="s">
        <v>6</v>
      </c>
      <c r="G3017" s="44" t="str">
        <f t="shared" si="94"/>
        <v/>
      </c>
      <c r="H3017" s="10" t="str">
        <f t="shared" si="95"/>
        <v>Sunday</v>
      </c>
    </row>
    <row r="3018" spans="1:8">
      <c r="A3018" s="9">
        <v>220420126</v>
      </c>
      <c r="B3018" s="6">
        <v>45172</v>
      </c>
      <c r="C3018" s="1"/>
      <c r="D3018" s="1" t="s">
        <v>7</v>
      </c>
      <c r="E3018" s="1">
        <v>39</v>
      </c>
      <c r="F3018" s="1" t="s">
        <v>6</v>
      </c>
      <c r="G3018" s="44" t="str">
        <f t="shared" si="94"/>
        <v/>
      </c>
      <c r="H3018" s="10" t="str">
        <f t="shared" si="95"/>
        <v>Sunday</v>
      </c>
    </row>
    <row r="3019" spans="1:8">
      <c r="A3019" s="9">
        <v>220965750</v>
      </c>
      <c r="B3019" s="6">
        <v>45172</v>
      </c>
      <c r="C3019" s="1"/>
      <c r="D3019" s="1" t="s">
        <v>7</v>
      </c>
      <c r="E3019" s="1">
        <v>39</v>
      </c>
      <c r="F3019" s="1" t="s">
        <v>6</v>
      </c>
      <c r="G3019" s="44" t="str">
        <f t="shared" si="94"/>
        <v/>
      </c>
      <c r="H3019" s="10" t="str">
        <f t="shared" si="95"/>
        <v>Sunday</v>
      </c>
    </row>
    <row r="3020" spans="1:8">
      <c r="A3020" s="9">
        <v>219065931</v>
      </c>
      <c r="B3020" s="6">
        <v>45172</v>
      </c>
      <c r="C3020" s="1"/>
      <c r="D3020" s="1" t="s">
        <v>7</v>
      </c>
      <c r="E3020" s="1">
        <v>39</v>
      </c>
      <c r="F3020" s="1" t="s">
        <v>6</v>
      </c>
      <c r="G3020" s="44" t="str">
        <f t="shared" si="94"/>
        <v/>
      </c>
      <c r="H3020" s="10" t="str">
        <f t="shared" si="95"/>
        <v>Sunday</v>
      </c>
    </row>
    <row r="3021" spans="1:8">
      <c r="A3021" s="9">
        <v>220707034</v>
      </c>
      <c r="B3021" s="6">
        <v>45172</v>
      </c>
      <c r="C3021" s="1"/>
      <c r="D3021" s="1" t="s">
        <v>7</v>
      </c>
      <c r="E3021" s="1">
        <v>39</v>
      </c>
      <c r="F3021" s="1" t="s">
        <v>6</v>
      </c>
      <c r="G3021" s="44" t="str">
        <f t="shared" si="94"/>
        <v/>
      </c>
      <c r="H3021" s="10" t="str">
        <f t="shared" si="95"/>
        <v>Sunday</v>
      </c>
    </row>
    <row r="3022" spans="1:8">
      <c r="A3022" s="9">
        <v>220875396</v>
      </c>
      <c r="B3022" s="6">
        <v>45172</v>
      </c>
      <c r="C3022" s="1"/>
      <c r="D3022" s="1" t="s">
        <v>7</v>
      </c>
      <c r="E3022" s="1">
        <v>39</v>
      </c>
      <c r="F3022" s="1" t="s">
        <v>6</v>
      </c>
      <c r="G3022" s="44" t="str">
        <f t="shared" si="94"/>
        <v/>
      </c>
      <c r="H3022" s="10" t="str">
        <f t="shared" si="95"/>
        <v>Sunday</v>
      </c>
    </row>
    <row r="3023" spans="1:8">
      <c r="A3023" s="9">
        <v>134054676</v>
      </c>
      <c r="B3023" s="6">
        <v>45172</v>
      </c>
      <c r="C3023" s="6">
        <v>45174</v>
      </c>
      <c r="D3023" s="1" t="s">
        <v>7</v>
      </c>
      <c r="E3023" s="1">
        <v>39</v>
      </c>
      <c r="F3023" s="1" t="s">
        <v>6</v>
      </c>
      <c r="G3023" s="44">
        <f t="shared" si="94"/>
        <v>2</v>
      </c>
      <c r="H3023" s="10" t="str">
        <f t="shared" si="95"/>
        <v>Sunday</v>
      </c>
    </row>
    <row r="3024" spans="1:8">
      <c r="A3024" s="9">
        <v>183702574</v>
      </c>
      <c r="B3024" s="6">
        <v>45172</v>
      </c>
      <c r="C3024" s="6">
        <v>45172</v>
      </c>
      <c r="D3024" s="1" t="s">
        <v>7</v>
      </c>
      <c r="E3024" s="1">
        <v>39</v>
      </c>
      <c r="F3024" s="1" t="s">
        <v>6</v>
      </c>
      <c r="G3024" s="44">
        <f t="shared" si="94"/>
        <v>0</v>
      </c>
      <c r="H3024" s="10" t="str">
        <f t="shared" si="95"/>
        <v>Sunday</v>
      </c>
    </row>
    <row r="3025" spans="1:8">
      <c r="A3025" s="9">
        <v>220997288</v>
      </c>
      <c r="B3025" s="6">
        <v>45173</v>
      </c>
      <c r="C3025" s="1"/>
      <c r="D3025" s="1" t="s">
        <v>7</v>
      </c>
      <c r="E3025" s="1">
        <v>39</v>
      </c>
      <c r="F3025" s="1" t="s">
        <v>6</v>
      </c>
      <c r="G3025" s="44" t="str">
        <f t="shared" si="94"/>
        <v/>
      </c>
      <c r="H3025" s="10" t="str">
        <f t="shared" si="95"/>
        <v>Monday</v>
      </c>
    </row>
    <row r="3026" spans="1:8">
      <c r="A3026" s="9">
        <v>218617631</v>
      </c>
      <c r="B3026" s="6">
        <v>45173</v>
      </c>
      <c r="C3026" s="1"/>
      <c r="D3026" s="1" t="s">
        <v>7</v>
      </c>
      <c r="E3026" s="1">
        <v>39</v>
      </c>
      <c r="F3026" s="1" t="s">
        <v>6</v>
      </c>
      <c r="G3026" s="44" t="str">
        <f t="shared" si="94"/>
        <v/>
      </c>
      <c r="H3026" s="10" t="str">
        <f t="shared" si="95"/>
        <v>Monday</v>
      </c>
    </row>
    <row r="3027" spans="1:8">
      <c r="A3027" s="9">
        <v>220952702</v>
      </c>
      <c r="B3027" s="6">
        <v>45173</v>
      </c>
      <c r="C3027" s="1"/>
      <c r="D3027" s="1" t="s">
        <v>7</v>
      </c>
      <c r="E3027" s="1">
        <v>39</v>
      </c>
      <c r="F3027" s="1" t="s">
        <v>6</v>
      </c>
      <c r="G3027" s="44" t="str">
        <f t="shared" si="94"/>
        <v/>
      </c>
      <c r="H3027" s="10" t="str">
        <f t="shared" si="95"/>
        <v>Monday</v>
      </c>
    </row>
    <row r="3028" spans="1:8">
      <c r="A3028" s="9">
        <v>156460574</v>
      </c>
      <c r="B3028" s="6">
        <v>45173</v>
      </c>
      <c r="C3028" s="1"/>
      <c r="D3028" s="1" t="s">
        <v>7</v>
      </c>
      <c r="E3028" s="1">
        <v>39</v>
      </c>
      <c r="F3028" s="1" t="s">
        <v>6</v>
      </c>
      <c r="G3028" s="44" t="str">
        <f t="shared" si="94"/>
        <v/>
      </c>
      <c r="H3028" s="10" t="str">
        <f t="shared" si="95"/>
        <v>Monday</v>
      </c>
    </row>
    <row r="3029" spans="1:8">
      <c r="A3029" s="9">
        <v>221012872</v>
      </c>
      <c r="B3029" s="6">
        <v>45173</v>
      </c>
      <c r="C3029" s="1"/>
      <c r="D3029" s="1" t="s">
        <v>7</v>
      </c>
      <c r="E3029" s="1">
        <v>39</v>
      </c>
      <c r="F3029" s="1" t="s">
        <v>6</v>
      </c>
      <c r="G3029" s="44" t="str">
        <f t="shared" si="94"/>
        <v/>
      </c>
      <c r="H3029" s="10" t="str">
        <f t="shared" si="95"/>
        <v>Monday</v>
      </c>
    </row>
    <row r="3030" spans="1:8">
      <c r="A3030" s="9">
        <v>220845656</v>
      </c>
      <c r="B3030" s="6">
        <v>45173</v>
      </c>
      <c r="C3030" s="1"/>
      <c r="D3030" s="1" t="s">
        <v>7</v>
      </c>
      <c r="E3030" s="1">
        <v>39</v>
      </c>
      <c r="F3030" s="1" t="s">
        <v>6</v>
      </c>
      <c r="G3030" s="44" t="str">
        <f t="shared" si="94"/>
        <v/>
      </c>
      <c r="H3030" s="10" t="str">
        <f t="shared" si="95"/>
        <v>Monday</v>
      </c>
    </row>
    <row r="3031" spans="1:8">
      <c r="A3031" s="9">
        <v>220989516</v>
      </c>
      <c r="B3031" s="6">
        <v>45173</v>
      </c>
      <c r="C3031" s="1"/>
      <c r="D3031" s="1" t="s">
        <v>7</v>
      </c>
      <c r="E3031" s="1">
        <v>39</v>
      </c>
      <c r="F3031" s="1" t="s">
        <v>6</v>
      </c>
      <c r="G3031" s="44" t="str">
        <f t="shared" si="94"/>
        <v/>
      </c>
      <c r="H3031" s="10" t="str">
        <f t="shared" si="95"/>
        <v>Monday</v>
      </c>
    </row>
    <row r="3032" spans="1:8">
      <c r="A3032" s="9">
        <v>135317128</v>
      </c>
      <c r="B3032" s="6">
        <v>45173</v>
      </c>
      <c r="C3032" s="1"/>
      <c r="D3032" s="1" t="s">
        <v>7</v>
      </c>
      <c r="E3032" s="1">
        <v>39</v>
      </c>
      <c r="F3032" s="1" t="s">
        <v>6</v>
      </c>
      <c r="G3032" s="44" t="str">
        <f t="shared" si="94"/>
        <v/>
      </c>
      <c r="H3032" s="10" t="str">
        <f t="shared" si="95"/>
        <v>Monday</v>
      </c>
    </row>
    <row r="3033" spans="1:8">
      <c r="A3033" s="9">
        <v>220984730</v>
      </c>
      <c r="B3033" s="6">
        <v>45173</v>
      </c>
      <c r="C3033" s="1"/>
      <c r="D3033" s="1" t="s">
        <v>7</v>
      </c>
      <c r="E3033" s="1">
        <v>39</v>
      </c>
      <c r="F3033" s="1" t="s">
        <v>6</v>
      </c>
      <c r="G3033" s="44" t="str">
        <f t="shared" si="94"/>
        <v/>
      </c>
      <c r="H3033" s="10" t="str">
        <f t="shared" si="95"/>
        <v>Monday</v>
      </c>
    </row>
    <row r="3034" spans="1:8">
      <c r="A3034" s="9">
        <v>220984628</v>
      </c>
      <c r="B3034" s="6">
        <v>45173</v>
      </c>
      <c r="C3034" s="1"/>
      <c r="D3034" s="1" t="s">
        <v>7</v>
      </c>
      <c r="E3034" s="1">
        <v>39</v>
      </c>
      <c r="F3034" s="1" t="s">
        <v>6</v>
      </c>
      <c r="G3034" s="44" t="str">
        <f t="shared" si="94"/>
        <v/>
      </c>
      <c r="H3034" s="10" t="str">
        <f t="shared" si="95"/>
        <v>Monday</v>
      </c>
    </row>
    <row r="3035" spans="1:8">
      <c r="A3035" s="9">
        <v>220989226</v>
      </c>
      <c r="B3035" s="6">
        <v>45173</v>
      </c>
      <c r="C3035" s="1"/>
      <c r="D3035" s="1" t="s">
        <v>7</v>
      </c>
      <c r="E3035" s="1">
        <v>39</v>
      </c>
      <c r="F3035" s="1" t="s">
        <v>6</v>
      </c>
      <c r="G3035" s="44" t="str">
        <f t="shared" si="94"/>
        <v/>
      </c>
      <c r="H3035" s="10" t="str">
        <f t="shared" si="95"/>
        <v>Monday</v>
      </c>
    </row>
    <row r="3036" spans="1:8">
      <c r="A3036" s="9">
        <v>220988969</v>
      </c>
      <c r="B3036" s="6">
        <v>45173</v>
      </c>
      <c r="C3036" s="1"/>
      <c r="D3036" s="1" t="s">
        <v>7</v>
      </c>
      <c r="E3036" s="1">
        <v>39</v>
      </c>
      <c r="F3036" s="1" t="s">
        <v>6</v>
      </c>
      <c r="G3036" s="44" t="str">
        <f t="shared" si="94"/>
        <v/>
      </c>
      <c r="H3036" s="10" t="str">
        <f t="shared" si="95"/>
        <v>Monday</v>
      </c>
    </row>
    <row r="3037" spans="1:8">
      <c r="A3037" s="9">
        <v>220988022</v>
      </c>
      <c r="B3037" s="6">
        <v>45173</v>
      </c>
      <c r="C3037" s="1"/>
      <c r="D3037" s="1" t="s">
        <v>7</v>
      </c>
      <c r="E3037" s="1">
        <v>39</v>
      </c>
      <c r="F3037" s="1" t="s">
        <v>6</v>
      </c>
      <c r="G3037" s="44" t="str">
        <f t="shared" si="94"/>
        <v/>
      </c>
      <c r="H3037" s="10" t="str">
        <f t="shared" si="95"/>
        <v>Monday</v>
      </c>
    </row>
    <row r="3038" spans="1:8">
      <c r="A3038" s="9">
        <v>220984390</v>
      </c>
      <c r="B3038" s="6">
        <v>45173</v>
      </c>
      <c r="C3038" s="1"/>
      <c r="D3038" s="1" t="s">
        <v>7</v>
      </c>
      <c r="E3038" s="1">
        <v>39</v>
      </c>
      <c r="F3038" s="1" t="s">
        <v>6</v>
      </c>
      <c r="G3038" s="44" t="str">
        <f t="shared" si="94"/>
        <v/>
      </c>
      <c r="H3038" s="10" t="str">
        <f t="shared" si="95"/>
        <v>Monday</v>
      </c>
    </row>
    <row r="3039" spans="1:8">
      <c r="A3039" s="9">
        <v>181480437</v>
      </c>
      <c r="B3039" s="6">
        <v>45173</v>
      </c>
      <c r="C3039" s="1"/>
      <c r="D3039" s="1" t="s">
        <v>7</v>
      </c>
      <c r="E3039" s="1">
        <v>39</v>
      </c>
      <c r="F3039" s="1" t="s">
        <v>6</v>
      </c>
      <c r="G3039" s="44" t="str">
        <f t="shared" si="94"/>
        <v/>
      </c>
      <c r="H3039" s="10" t="str">
        <f t="shared" si="95"/>
        <v>Monday</v>
      </c>
    </row>
    <row r="3040" spans="1:8">
      <c r="A3040" s="9">
        <v>125219153</v>
      </c>
      <c r="B3040" s="6">
        <v>45174</v>
      </c>
      <c r="C3040" s="1"/>
      <c r="D3040" s="1" t="s">
        <v>7</v>
      </c>
      <c r="E3040" s="1">
        <v>39</v>
      </c>
      <c r="F3040" s="1" t="s">
        <v>6</v>
      </c>
      <c r="G3040" s="44" t="str">
        <f t="shared" si="94"/>
        <v/>
      </c>
      <c r="H3040" s="10" t="str">
        <f t="shared" si="95"/>
        <v>Tuesday</v>
      </c>
    </row>
    <row r="3041" spans="1:8">
      <c r="A3041" s="9">
        <v>160833652</v>
      </c>
      <c r="B3041" s="6">
        <v>45174</v>
      </c>
      <c r="C3041" s="1"/>
      <c r="D3041" s="1" t="s">
        <v>7</v>
      </c>
      <c r="E3041" s="1">
        <v>39</v>
      </c>
      <c r="F3041" s="1" t="s">
        <v>6</v>
      </c>
      <c r="G3041" s="44" t="str">
        <f t="shared" si="94"/>
        <v/>
      </c>
      <c r="H3041" s="10" t="str">
        <f t="shared" si="95"/>
        <v>Tuesday</v>
      </c>
    </row>
    <row r="3042" spans="1:8">
      <c r="A3042" s="9">
        <v>221073196</v>
      </c>
      <c r="B3042" s="6">
        <v>45174</v>
      </c>
      <c r="C3042" s="1"/>
      <c r="D3042" s="1" t="s">
        <v>7</v>
      </c>
      <c r="E3042" s="1">
        <v>39</v>
      </c>
      <c r="F3042" s="1" t="s">
        <v>6</v>
      </c>
      <c r="G3042" s="44" t="str">
        <f t="shared" si="94"/>
        <v/>
      </c>
      <c r="H3042" s="10" t="str">
        <f t="shared" si="95"/>
        <v>Tuesday</v>
      </c>
    </row>
    <row r="3043" spans="1:8">
      <c r="A3043" s="9">
        <v>153733292</v>
      </c>
      <c r="B3043" s="6">
        <v>45174</v>
      </c>
      <c r="C3043" s="1"/>
      <c r="D3043" s="1" t="s">
        <v>7</v>
      </c>
      <c r="E3043" s="1">
        <v>39</v>
      </c>
      <c r="F3043" s="1" t="s">
        <v>6</v>
      </c>
      <c r="G3043" s="44" t="str">
        <f t="shared" si="94"/>
        <v/>
      </c>
      <c r="H3043" s="10" t="str">
        <f t="shared" si="95"/>
        <v>Tuesday</v>
      </c>
    </row>
    <row r="3044" spans="1:8">
      <c r="A3044" s="9">
        <v>152692003</v>
      </c>
      <c r="B3044" s="6">
        <v>45174</v>
      </c>
      <c r="C3044" s="1"/>
      <c r="D3044" s="1" t="s">
        <v>7</v>
      </c>
      <c r="E3044" s="1">
        <v>39</v>
      </c>
      <c r="F3044" s="1" t="s">
        <v>6</v>
      </c>
      <c r="G3044" s="44" t="str">
        <f t="shared" si="94"/>
        <v/>
      </c>
      <c r="H3044" s="10" t="str">
        <f t="shared" si="95"/>
        <v>Tuesday</v>
      </c>
    </row>
    <row r="3045" spans="1:8">
      <c r="A3045" s="9">
        <v>220528931</v>
      </c>
      <c r="B3045" s="6">
        <v>45174</v>
      </c>
      <c r="C3045" s="1"/>
      <c r="D3045" s="1" t="s">
        <v>7</v>
      </c>
      <c r="E3045" s="1">
        <v>39</v>
      </c>
      <c r="F3045" s="1" t="s">
        <v>6</v>
      </c>
      <c r="G3045" s="44" t="str">
        <f t="shared" si="94"/>
        <v/>
      </c>
      <c r="H3045" s="10" t="str">
        <f t="shared" si="95"/>
        <v>Tuesday</v>
      </c>
    </row>
    <row r="3046" spans="1:8">
      <c r="A3046" s="9">
        <v>221052611</v>
      </c>
      <c r="B3046" s="6">
        <v>45174</v>
      </c>
      <c r="C3046" s="1"/>
      <c r="D3046" s="1" t="s">
        <v>7</v>
      </c>
      <c r="E3046" s="1">
        <v>39</v>
      </c>
      <c r="F3046" s="1" t="s">
        <v>6</v>
      </c>
      <c r="G3046" s="44" t="str">
        <f t="shared" si="94"/>
        <v/>
      </c>
      <c r="H3046" s="10" t="str">
        <f t="shared" si="95"/>
        <v>Tuesday</v>
      </c>
    </row>
    <row r="3047" spans="1:8">
      <c r="A3047" s="9">
        <v>220665801</v>
      </c>
      <c r="B3047" s="6">
        <v>45174</v>
      </c>
      <c r="C3047" s="1"/>
      <c r="D3047" s="1" t="s">
        <v>7</v>
      </c>
      <c r="E3047" s="1">
        <v>39</v>
      </c>
      <c r="F3047" s="1" t="s">
        <v>6</v>
      </c>
      <c r="G3047" s="44" t="str">
        <f t="shared" si="94"/>
        <v/>
      </c>
      <c r="H3047" s="10" t="str">
        <f t="shared" si="95"/>
        <v>Tuesday</v>
      </c>
    </row>
    <row r="3048" spans="1:8">
      <c r="A3048" s="9">
        <v>221028388</v>
      </c>
      <c r="B3048" s="6">
        <v>45174</v>
      </c>
      <c r="C3048" s="1"/>
      <c r="D3048" s="1" t="s">
        <v>7</v>
      </c>
      <c r="E3048" s="1">
        <v>39</v>
      </c>
      <c r="F3048" s="1" t="s">
        <v>6</v>
      </c>
      <c r="G3048" s="44" t="str">
        <f t="shared" si="94"/>
        <v/>
      </c>
      <c r="H3048" s="10" t="str">
        <f t="shared" si="95"/>
        <v>Tuesday</v>
      </c>
    </row>
    <row r="3049" spans="1:8">
      <c r="A3049" s="9">
        <v>206284545</v>
      </c>
      <c r="B3049" s="6">
        <v>45174</v>
      </c>
      <c r="C3049" s="1"/>
      <c r="D3049" s="1" t="s">
        <v>7</v>
      </c>
      <c r="E3049" s="1">
        <v>39</v>
      </c>
      <c r="F3049" s="1" t="s">
        <v>6</v>
      </c>
      <c r="G3049" s="44" t="str">
        <f t="shared" si="94"/>
        <v/>
      </c>
      <c r="H3049" s="10" t="str">
        <f t="shared" si="95"/>
        <v>Tuesday</v>
      </c>
    </row>
    <row r="3050" spans="1:8">
      <c r="A3050" s="9">
        <v>178531928</v>
      </c>
      <c r="B3050" s="6">
        <v>45174</v>
      </c>
      <c r="C3050" s="1"/>
      <c r="D3050" s="1" t="s">
        <v>7</v>
      </c>
      <c r="E3050" s="1">
        <v>39</v>
      </c>
      <c r="F3050" s="1" t="s">
        <v>6</v>
      </c>
      <c r="G3050" s="44" t="str">
        <f t="shared" si="94"/>
        <v/>
      </c>
      <c r="H3050" s="10" t="str">
        <f t="shared" si="95"/>
        <v>Tuesday</v>
      </c>
    </row>
    <row r="3051" spans="1:8">
      <c r="A3051" s="9">
        <v>220994271</v>
      </c>
      <c r="B3051" s="6">
        <v>45174</v>
      </c>
      <c r="C3051" s="1"/>
      <c r="D3051" s="1" t="s">
        <v>7</v>
      </c>
      <c r="E3051" s="1">
        <v>39</v>
      </c>
      <c r="F3051" s="1" t="s">
        <v>6</v>
      </c>
      <c r="G3051" s="44" t="str">
        <f t="shared" si="94"/>
        <v/>
      </c>
      <c r="H3051" s="10" t="str">
        <f t="shared" si="95"/>
        <v>Tuesday</v>
      </c>
    </row>
    <row r="3052" spans="1:8">
      <c r="A3052" s="9">
        <v>218720472</v>
      </c>
      <c r="B3052" s="6">
        <v>45174</v>
      </c>
      <c r="C3052" s="1"/>
      <c r="D3052" s="1" t="s">
        <v>7</v>
      </c>
      <c r="E3052" s="1">
        <v>39</v>
      </c>
      <c r="F3052" s="1" t="s">
        <v>6</v>
      </c>
      <c r="G3052" s="44" t="str">
        <f t="shared" si="94"/>
        <v/>
      </c>
      <c r="H3052" s="10" t="str">
        <f t="shared" si="95"/>
        <v>Tuesday</v>
      </c>
    </row>
    <row r="3053" spans="1:8">
      <c r="A3053" s="9">
        <v>218900441</v>
      </c>
      <c r="B3053" s="6">
        <v>45175</v>
      </c>
      <c r="C3053" s="1"/>
      <c r="D3053" s="1" t="s">
        <v>7</v>
      </c>
      <c r="E3053" s="1">
        <v>39</v>
      </c>
      <c r="F3053" s="1" t="s">
        <v>6</v>
      </c>
      <c r="G3053" s="44" t="str">
        <f t="shared" si="94"/>
        <v/>
      </c>
      <c r="H3053" s="10" t="str">
        <f t="shared" si="95"/>
        <v>Wednesday</v>
      </c>
    </row>
    <row r="3054" spans="1:8">
      <c r="A3054" s="9">
        <v>221123938</v>
      </c>
      <c r="B3054" s="6">
        <v>45175</v>
      </c>
      <c r="C3054" s="1"/>
      <c r="D3054" s="1" t="s">
        <v>7</v>
      </c>
      <c r="E3054" s="1">
        <v>39</v>
      </c>
      <c r="F3054" s="1" t="s">
        <v>6</v>
      </c>
      <c r="G3054" s="44" t="str">
        <f t="shared" si="94"/>
        <v/>
      </c>
      <c r="H3054" s="10" t="str">
        <f t="shared" si="95"/>
        <v>Wednesday</v>
      </c>
    </row>
    <row r="3055" spans="1:8">
      <c r="A3055" s="9">
        <v>166750222</v>
      </c>
      <c r="B3055" s="6">
        <v>45175</v>
      </c>
      <c r="C3055" s="1"/>
      <c r="D3055" s="1" t="s">
        <v>7</v>
      </c>
      <c r="E3055" s="1">
        <v>39</v>
      </c>
      <c r="F3055" s="1" t="s">
        <v>6</v>
      </c>
      <c r="G3055" s="44" t="str">
        <f t="shared" si="94"/>
        <v/>
      </c>
      <c r="H3055" s="10" t="str">
        <f t="shared" si="95"/>
        <v>Wednesday</v>
      </c>
    </row>
    <row r="3056" spans="1:8">
      <c r="A3056" s="9">
        <v>154783053</v>
      </c>
      <c r="B3056" s="6">
        <v>45175</v>
      </c>
      <c r="C3056" s="1"/>
      <c r="D3056" s="1" t="s">
        <v>7</v>
      </c>
      <c r="E3056" s="1">
        <v>39</v>
      </c>
      <c r="F3056" s="1" t="s">
        <v>6</v>
      </c>
      <c r="G3056" s="44" t="str">
        <f t="shared" si="94"/>
        <v/>
      </c>
      <c r="H3056" s="10" t="str">
        <f t="shared" si="95"/>
        <v>Wednesday</v>
      </c>
    </row>
    <row r="3057" spans="1:8">
      <c r="A3057" s="9">
        <v>221100604</v>
      </c>
      <c r="B3057" s="6">
        <v>45175</v>
      </c>
      <c r="C3057" s="1"/>
      <c r="D3057" s="1" t="s">
        <v>7</v>
      </c>
      <c r="E3057" s="1">
        <v>39</v>
      </c>
      <c r="F3057" s="1" t="s">
        <v>6</v>
      </c>
      <c r="G3057" s="44" t="str">
        <f t="shared" si="94"/>
        <v/>
      </c>
      <c r="H3057" s="10" t="str">
        <f t="shared" si="95"/>
        <v>Wednesday</v>
      </c>
    </row>
    <row r="3058" spans="1:8">
      <c r="A3058" s="9">
        <v>220703723</v>
      </c>
      <c r="B3058" s="6">
        <v>45175</v>
      </c>
      <c r="C3058" s="1"/>
      <c r="D3058" s="1" t="s">
        <v>7</v>
      </c>
      <c r="E3058" s="1">
        <v>39</v>
      </c>
      <c r="F3058" s="1" t="s">
        <v>6</v>
      </c>
      <c r="G3058" s="44" t="str">
        <f t="shared" si="94"/>
        <v/>
      </c>
      <c r="H3058" s="10" t="str">
        <f t="shared" si="95"/>
        <v>Wednesday</v>
      </c>
    </row>
    <row r="3059" spans="1:8">
      <c r="A3059" s="9">
        <v>220815627</v>
      </c>
      <c r="B3059" s="6">
        <v>45175</v>
      </c>
      <c r="C3059" s="1"/>
      <c r="D3059" s="1" t="s">
        <v>7</v>
      </c>
      <c r="E3059" s="1">
        <v>39</v>
      </c>
      <c r="F3059" s="1" t="s">
        <v>6</v>
      </c>
      <c r="G3059" s="44" t="str">
        <f t="shared" si="94"/>
        <v/>
      </c>
      <c r="H3059" s="10" t="str">
        <f>TEXT(B3059, "dddd")</f>
        <v>Wednesday</v>
      </c>
    </row>
    <row r="3060" spans="1:8">
      <c r="A3060" s="9">
        <v>214764106</v>
      </c>
      <c r="B3060" s="6">
        <v>45175</v>
      </c>
      <c r="C3060" s="1"/>
      <c r="D3060" s="1" t="s">
        <v>7</v>
      </c>
      <c r="E3060" s="1">
        <v>39</v>
      </c>
      <c r="F3060" s="1" t="s">
        <v>6</v>
      </c>
      <c r="G3060" s="44" t="str">
        <f t="shared" si="94"/>
        <v/>
      </c>
      <c r="H3060" s="10" t="str">
        <f t="shared" si="95"/>
        <v>Wednesday</v>
      </c>
    </row>
    <row r="3061" spans="1:8">
      <c r="A3061" s="9">
        <v>158763940</v>
      </c>
      <c r="B3061" s="6">
        <v>45176</v>
      </c>
      <c r="C3061" s="1"/>
      <c r="D3061" s="1" t="s">
        <v>7</v>
      </c>
      <c r="E3061" s="1">
        <v>39</v>
      </c>
      <c r="F3061" s="1" t="s">
        <v>6</v>
      </c>
      <c r="G3061" s="44" t="str">
        <f t="shared" si="94"/>
        <v/>
      </c>
      <c r="H3061" s="10" t="str">
        <f t="shared" si="95"/>
        <v>Thursday</v>
      </c>
    </row>
    <row r="3062" spans="1:8">
      <c r="A3062" s="9">
        <v>220065316</v>
      </c>
      <c r="B3062" s="6">
        <v>45176</v>
      </c>
      <c r="C3062" s="1"/>
      <c r="D3062" s="1" t="s">
        <v>7</v>
      </c>
      <c r="E3062" s="1">
        <v>39</v>
      </c>
      <c r="F3062" s="1" t="s">
        <v>6</v>
      </c>
      <c r="G3062" s="44" t="str">
        <f t="shared" si="94"/>
        <v/>
      </c>
      <c r="H3062" s="10" t="str">
        <f t="shared" si="95"/>
        <v>Thursday</v>
      </c>
    </row>
    <row r="3063" spans="1:8">
      <c r="A3063" s="9">
        <v>217662862</v>
      </c>
      <c r="B3063" s="6">
        <v>45176</v>
      </c>
      <c r="C3063" s="1"/>
      <c r="D3063" s="1" t="s">
        <v>7</v>
      </c>
      <c r="E3063" s="1">
        <v>39</v>
      </c>
      <c r="F3063" s="1" t="s">
        <v>6</v>
      </c>
      <c r="G3063" s="44" t="str">
        <f t="shared" si="94"/>
        <v/>
      </c>
      <c r="H3063" s="10" t="str">
        <f t="shared" si="95"/>
        <v>Thursday</v>
      </c>
    </row>
    <row r="3064" spans="1:8">
      <c r="A3064" s="9">
        <v>220328388</v>
      </c>
      <c r="B3064" s="6">
        <v>45176</v>
      </c>
      <c r="C3064" s="1"/>
      <c r="D3064" s="1" t="s">
        <v>7</v>
      </c>
      <c r="E3064" s="1">
        <v>39</v>
      </c>
      <c r="F3064" s="1" t="s">
        <v>6</v>
      </c>
      <c r="G3064" s="44" t="str">
        <f t="shared" si="94"/>
        <v/>
      </c>
      <c r="H3064" s="10" t="str">
        <f t="shared" si="95"/>
        <v>Thursday</v>
      </c>
    </row>
    <row r="3065" spans="1:8">
      <c r="A3065" s="9">
        <v>219521019</v>
      </c>
      <c r="B3065" s="6">
        <v>45176</v>
      </c>
      <c r="C3065" s="1"/>
      <c r="D3065" s="1" t="s">
        <v>7</v>
      </c>
      <c r="E3065" s="1">
        <v>39</v>
      </c>
      <c r="F3065" s="1" t="s">
        <v>6</v>
      </c>
      <c r="G3065" s="44" t="str">
        <f t="shared" si="94"/>
        <v/>
      </c>
      <c r="H3065" s="10" t="str">
        <f t="shared" si="95"/>
        <v>Thursday</v>
      </c>
    </row>
    <row r="3066" spans="1:8">
      <c r="A3066" s="9">
        <v>221145374</v>
      </c>
      <c r="B3066" s="6">
        <v>45176</v>
      </c>
      <c r="C3066" s="1"/>
      <c r="D3066" s="1" t="s">
        <v>7</v>
      </c>
      <c r="E3066" s="1">
        <v>39</v>
      </c>
      <c r="F3066" s="1" t="s">
        <v>6</v>
      </c>
      <c r="G3066" s="44" t="str">
        <f t="shared" si="94"/>
        <v/>
      </c>
      <c r="H3066" s="10" t="str">
        <f t="shared" si="95"/>
        <v>Thursday</v>
      </c>
    </row>
    <row r="3067" spans="1:8">
      <c r="A3067" s="9">
        <v>221130434</v>
      </c>
      <c r="B3067" s="6">
        <v>45176</v>
      </c>
      <c r="C3067" s="1"/>
      <c r="D3067" s="1" t="s">
        <v>7</v>
      </c>
      <c r="E3067" s="1">
        <v>39</v>
      </c>
      <c r="F3067" s="1" t="s">
        <v>6</v>
      </c>
      <c r="G3067" s="44" t="str">
        <f t="shared" si="94"/>
        <v/>
      </c>
      <c r="H3067" s="10" t="str">
        <f t="shared" si="95"/>
        <v>Thursday</v>
      </c>
    </row>
    <row r="3068" spans="1:8">
      <c r="A3068" s="9">
        <v>221189604</v>
      </c>
      <c r="B3068" s="6">
        <v>45177</v>
      </c>
      <c r="C3068" s="1"/>
      <c r="D3068" s="1" t="s">
        <v>7</v>
      </c>
      <c r="E3068" s="1">
        <v>39</v>
      </c>
      <c r="F3068" s="1" t="s">
        <v>6</v>
      </c>
      <c r="G3068" s="44" t="str">
        <f t="shared" si="94"/>
        <v/>
      </c>
      <c r="H3068" s="10" t="str">
        <f t="shared" si="95"/>
        <v>Friday</v>
      </c>
    </row>
    <row r="3069" spans="1:8">
      <c r="A3069" s="9">
        <v>215174643</v>
      </c>
      <c r="B3069" s="6">
        <v>45177</v>
      </c>
      <c r="C3069" s="1"/>
      <c r="D3069" s="1" t="s">
        <v>7</v>
      </c>
      <c r="E3069" s="1">
        <v>39</v>
      </c>
      <c r="F3069" s="1" t="s">
        <v>6</v>
      </c>
      <c r="G3069" s="44" t="str">
        <f t="shared" si="94"/>
        <v/>
      </c>
      <c r="H3069" s="10" t="str">
        <f t="shared" si="95"/>
        <v>Friday</v>
      </c>
    </row>
    <row r="3070" spans="1:8">
      <c r="A3070" s="13">
        <v>188354637</v>
      </c>
      <c r="B3070" s="14">
        <v>45177</v>
      </c>
      <c r="C3070" s="15"/>
      <c r="D3070" s="15" t="s">
        <v>7</v>
      </c>
      <c r="E3070" s="15">
        <v>39</v>
      </c>
      <c r="F3070" s="15" t="s">
        <v>6</v>
      </c>
      <c r="G3070" s="45" t="str">
        <f t="shared" si="94"/>
        <v/>
      </c>
      <c r="H3070" s="16" t="str">
        <f t="shared" si="95"/>
        <v>Friday</v>
      </c>
    </row>
  </sheetData>
  <phoneticPr fontId="20"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A6C05-BDE1-4850-94D5-388AB18FC3D9}">
  <dimension ref="A2:C8"/>
  <sheetViews>
    <sheetView showGridLines="0" workbookViewId="0">
      <selection activeCell="B2" sqref="B2:C8"/>
    </sheetView>
  </sheetViews>
  <sheetFormatPr defaultRowHeight="14.5"/>
  <cols>
    <col min="2" max="2" width="21" bestFit="1" customWidth="1"/>
    <col min="3" max="3" width="108.81640625" bestFit="1" customWidth="1"/>
  </cols>
  <sheetData>
    <row r="2" spans="1:3">
      <c r="B2" s="2" t="s">
        <v>14</v>
      </c>
      <c r="C2" s="2" t="s">
        <v>13</v>
      </c>
    </row>
    <row r="3" spans="1:3">
      <c r="A3" t="s">
        <v>30</v>
      </c>
      <c r="B3" s="1" t="s">
        <v>0</v>
      </c>
      <c r="C3" s="1" t="s">
        <v>12</v>
      </c>
    </row>
    <row r="4" spans="1:3">
      <c r="A4" t="s">
        <v>32</v>
      </c>
      <c r="B4" s="1" t="s">
        <v>1</v>
      </c>
      <c r="C4" s="1" t="s">
        <v>16</v>
      </c>
    </row>
    <row r="5" spans="1:3">
      <c r="A5" t="s">
        <v>33</v>
      </c>
      <c r="B5" s="1" t="s">
        <v>2</v>
      </c>
      <c r="C5" s="1" t="s">
        <v>17</v>
      </c>
    </row>
    <row r="6" spans="1:3">
      <c r="A6" t="s">
        <v>34</v>
      </c>
      <c r="B6" s="1" t="s">
        <v>3</v>
      </c>
      <c r="C6" s="1" t="s">
        <v>11</v>
      </c>
    </row>
    <row r="7" spans="1:3">
      <c r="A7" t="s">
        <v>31</v>
      </c>
      <c r="B7" s="1" t="s">
        <v>4</v>
      </c>
      <c r="C7" s="1" t="s">
        <v>10</v>
      </c>
    </row>
    <row r="8" spans="1:3">
      <c r="A8" t="s">
        <v>35</v>
      </c>
      <c r="B8" s="1" t="s">
        <v>5</v>
      </c>
      <c r="C8"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200E-5002-43A9-BF0E-62544F686903}">
  <dimension ref="A12:T32"/>
  <sheetViews>
    <sheetView showGridLines="0" topLeftCell="A6" workbookViewId="0">
      <selection activeCell="I20" sqref="I20"/>
    </sheetView>
  </sheetViews>
  <sheetFormatPr defaultRowHeight="14.5"/>
  <sheetData>
    <row r="12" spans="20:20">
      <c r="T12" s="4"/>
    </row>
    <row r="13" spans="20:20">
      <c r="T13" s="5"/>
    </row>
    <row r="14" spans="20:20">
      <c r="T14" s="5"/>
    </row>
    <row r="15" spans="20:20">
      <c r="T15" s="5"/>
    </row>
    <row r="16" spans="20:20">
      <c r="T16" s="5"/>
    </row>
    <row r="17" spans="1:20">
      <c r="T17" s="5"/>
    </row>
    <row r="18" spans="1:20">
      <c r="T18" s="5"/>
    </row>
    <row r="19" spans="1:20">
      <c r="T19" s="5"/>
    </row>
    <row r="32" spans="1:20">
      <c r="A32" s="3" t="s">
        <v>15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436D-FAD9-4097-8621-7EDC4E61AFD9}">
  <dimension ref="A3:F84"/>
  <sheetViews>
    <sheetView topLeftCell="H18" workbookViewId="0">
      <selection activeCell="D108" sqref="D108"/>
    </sheetView>
  </sheetViews>
  <sheetFormatPr defaultRowHeight="14.5"/>
  <cols>
    <col min="2" max="2" width="12.36328125" bestFit="1" customWidth="1"/>
    <col min="3" max="3" width="28.08984375" bestFit="1" customWidth="1"/>
    <col min="4" max="4" width="37.08984375" bestFit="1" customWidth="1"/>
    <col min="5" max="5" width="15.26953125" bestFit="1" customWidth="1"/>
    <col min="6" max="6" width="14.7265625" bestFit="1" customWidth="1"/>
    <col min="7" max="7" width="10.7265625" bestFit="1" customWidth="1"/>
    <col min="8" max="374" width="15.26953125" bestFit="1" customWidth="1"/>
    <col min="375" max="375" width="10.7265625" bestFit="1" customWidth="1"/>
  </cols>
  <sheetData>
    <row r="3" spans="1:5">
      <c r="A3" s="8" t="s">
        <v>43</v>
      </c>
    </row>
    <row r="8" spans="1:5">
      <c r="D8" t="s">
        <v>51</v>
      </c>
      <c r="E8" s="17" t="s">
        <v>49</v>
      </c>
    </row>
    <row r="9" spans="1:5">
      <c r="D9" t="s">
        <v>50</v>
      </c>
      <c r="E9" t="s">
        <v>48</v>
      </c>
    </row>
    <row r="12" spans="1:5">
      <c r="D12" t="str">
        <f>_xlfn.TEXTJOIN(" ",TRUE,D9:G9)</f>
        <v>Number of new subcription in month  2022</v>
      </c>
    </row>
    <row r="15" spans="1:5">
      <c r="B15" s="17" t="s">
        <v>36</v>
      </c>
      <c r="C15" t="s">
        <v>39</v>
      </c>
    </row>
    <row r="16" spans="1:5">
      <c r="B16" s="19" t="s">
        <v>44</v>
      </c>
      <c r="C16">
        <v>217</v>
      </c>
    </row>
    <row r="17" spans="1:3">
      <c r="B17" s="19" t="s">
        <v>45</v>
      </c>
      <c r="C17">
        <v>196</v>
      </c>
    </row>
    <row r="18" spans="1:3">
      <c r="B18" s="19" t="s">
        <v>46</v>
      </c>
      <c r="C18">
        <v>189</v>
      </c>
    </row>
    <row r="19" spans="1:3">
      <c r="B19" s="19" t="s">
        <v>47</v>
      </c>
      <c r="C19">
        <v>230</v>
      </c>
    </row>
    <row r="20" spans="1:3">
      <c r="B20" s="19" t="s">
        <v>37</v>
      </c>
      <c r="C20">
        <v>832</v>
      </c>
    </row>
    <row r="25" spans="1:3">
      <c r="A25" s="8" t="s">
        <v>62</v>
      </c>
    </row>
    <row r="26" spans="1:3">
      <c r="A26" s="8"/>
    </row>
    <row r="27" spans="1:3">
      <c r="A27" s="8"/>
    </row>
    <row r="28" spans="1:3">
      <c r="A28" s="8"/>
      <c r="B28" s="17" t="s">
        <v>36</v>
      </c>
      <c r="C28" t="s">
        <v>54</v>
      </c>
    </row>
    <row r="29" spans="1:3">
      <c r="A29" s="8"/>
      <c r="B29" s="19" t="s">
        <v>8</v>
      </c>
      <c r="C29" s="22">
        <v>4.3336591723688499E-2</v>
      </c>
    </row>
    <row r="30" spans="1:3">
      <c r="A30" s="8"/>
      <c r="B30" s="19" t="s">
        <v>7</v>
      </c>
      <c r="C30" s="22">
        <v>0.95666340827631147</v>
      </c>
    </row>
    <row r="31" spans="1:3">
      <c r="A31" s="8"/>
      <c r="B31" s="19" t="s">
        <v>37</v>
      </c>
      <c r="C31" s="22">
        <v>1</v>
      </c>
    </row>
    <row r="32" spans="1:3">
      <c r="A32" s="8"/>
    </row>
    <row r="35" spans="1:3">
      <c r="A35">
        <v>3</v>
      </c>
      <c r="B35" t="s">
        <v>63</v>
      </c>
    </row>
    <row r="37" spans="1:3">
      <c r="B37" s="17" t="s">
        <v>36</v>
      </c>
      <c r="C37" t="s">
        <v>39</v>
      </c>
    </row>
    <row r="38" spans="1:3">
      <c r="B38" s="19" t="s">
        <v>61</v>
      </c>
      <c r="C38">
        <v>306</v>
      </c>
    </row>
    <row r="39" spans="1:3">
      <c r="B39" s="19" t="s">
        <v>60</v>
      </c>
      <c r="C39">
        <v>308</v>
      </c>
    </row>
    <row r="40" spans="1:3">
      <c r="B40" s="19" t="s">
        <v>59</v>
      </c>
      <c r="C40">
        <v>452</v>
      </c>
    </row>
    <row r="41" spans="1:3">
      <c r="B41" s="19" t="s">
        <v>58</v>
      </c>
      <c r="C41">
        <v>505</v>
      </c>
    </row>
    <row r="42" spans="1:3">
      <c r="B42" s="19" t="s">
        <v>57</v>
      </c>
      <c r="C42">
        <v>472</v>
      </c>
    </row>
    <row r="43" spans="1:3">
      <c r="B43" s="19" t="s">
        <v>56</v>
      </c>
      <c r="C43">
        <v>487</v>
      </c>
    </row>
    <row r="44" spans="1:3">
      <c r="B44" s="19" t="s">
        <v>55</v>
      </c>
      <c r="C44">
        <v>539</v>
      </c>
    </row>
    <row r="45" spans="1:3">
      <c r="B45" s="19" t="s">
        <v>37</v>
      </c>
      <c r="C45">
        <v>3069</v>
      </c>
    </row>
    <row r="51" spans="1:6">
      <c r="A51">
        <v>4</v>
      </c>
      <c r="B51" t="s">
        <v>66</v>
      </c>
    </row>
    <row r="53" spans="1:6">
      <c r="B53" s="17" t="s">
        <v>36</v>
      </c>
      <c r="C53" t="s">
        <v>39</v>
      </c>
    </row>
    <row r="54" spans="1:6">
      <c r="B54" s="19" t="s">
        <v>64</v>
      </c>
      <c r="C54">
        <v>1065</v>
      </c>
    </row>
    <row r="55" spans="1:6">
      <c r="B55" s="19" t="s">
        <v>48</v>
      </c>
      <c r="C55">
        <v>346</v>
      </c>
    </row>
    <row r="56" spans="1:6">
      <c r="B56" s="19" t="s">
        <v>65</v>
      </c>
      <c r="C56">
        <v>1658</v>
      </c>
    </row>
    <row r="57" spans="1:6">
      <c r="B57" s="19" t="s">
        <v>37</v>
      </c>
      <c r="C57">
        <v>3069</v>
      </c>
    </row>
    <row r="61" spans="1:6">
      <c r="A61">
        <v>5</v>
      </c>
      <c r="B61" s="52" t="s">
        <v>67</v>
      </c>
      <c r="C61" s="52"/>
      <c r="D61" s="52"/>
    </row>
    <row r="63" spans="1:6">
      <c r="B63" s="17" t="s">
        <v>36</v>
      </c>
      <c r="C63" t="s">
        <v>39</v>
      </c>
    </row>
    <row r="64" spans="1:6">
      <c r="B64" s="19" t="s">
        <v>48</v>
      </c>
      <c r="C64">
        <v>832</v>
      </c>
      <c r="F64" s="23"/>
    </row>
    <row r="65" spans="1:3">
      <c r="B65" s="19" t="s">
        <v>65</v>
      </c>
      <c r="C65">
        <v>2237</v>
      </c>
    </row>
    <row r="66" spans="1:3">
      <c r="B66" s="19" t="s">
        <v>37</v>
      </c>
      <c r="C66">
        <v>3069</v>
      </c>
    </row>
    <row r="71" spans="1:3">
      <c r="A71">
        <v>6</v>
      </c>
      <c r="B71" t="s">
        <v>69</v>
      </c>
    </row>
    <row r="73" spans="1:3">
      <c r="B73" t="s">
        <v>68</v>
      </c>
    </row>
    <row r="74" spans="1:3">
      <c r="B74">
        <v>2004</v>
      </c>
    </row>
    <row r="79" spans="1:3">
      <c r="A79">
        <v>7</v>
      </c>
      <c r="B79" t="s">
        <v>70</v>
      </c>
    </row>
    <row r="81" spans="2:3">
      <c r="B81" s="17" t="s">
        <v>36</v>
      </c>
      <c r="C81" t="s">
        <v>54</v>
      </c>
    </row>
    <row r="82" spans="2:3">
      <c r="B82" s="19" t="s">
        <v>8</v>
      </c>
      <c r="C82" s="22">
        <v>4.3336591723688499E-2</v>
      </c>
    </row>
    <row r="83" spans="2:3">
      <c r="B83" s="19" t="s">
        <v>7</v>
      </c>
      <c r="C83" s="22">
        <v>0.95666340827631147</v>
      </c>
    </row>
    <row r="84" spans="2:3">
      <c r="B84" s="19" t="s">
        <v>37</v>
      </c>
      <c r="C84" s="22">
        <v>1</v>
      </c>
    </row>
  </sheetData>
  <mergeCells count="1">
    <mergeCell ref="B61:D61"/>
  </mergeCells>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37A56-9CF0-4C17-B0F8-222E8F5390E0}">
  <dimension ref="A3:F31"/>
  <sheetViews>
    <sheetView topLeftCell="A15" workbookViewId="0">
      <selection activeCell="E30" sqref="E30"/>
    </sheetView>
  </sheetViews>
  <sheetFormatPr defaultRowHeight="14.5"/>
  <cols>
    <col min="1" max="1" width="16.81640625" customWidth="1"/>
    <col min="2" max="2" width="15.1796875" bestFit="1" customWidth="1"/>
    <col min="3" max="3" width="19.90625" bestFit="1" customWidth="1"/>
    <col min="7" max="7" width="12.7265625" bestFit="1" customWidth="1"/>
  </cols>
  <sheetData>
    <row r="3" spans="1:5">
      <c r="A3" s="7" t="s">
        <v>20</v>
      </c>
    </row>
    <row r="4" spans="1:5">
      <c r="A4" s="76" t="s">
        <v>21</v>
      </c>
      <c r="B4" s="3"/>
      <c r="C4" s="3"/>
      <c r="D4" s="3"/>
    </row>
    <row r="5" spans="1:5">
      <c r="A5" s="8"/>
      <c r="B5" s="51" t="s">
        <v>26</v>
      </c>
      <c r="C5" s="51"/>
      <c r="D5" s="51" t="s">
        <v>27</v>
      </c>
      <c r="E5" s="51"/>
    </row>
    <row r="6" spans="1:5">
      <c r="A6" s="8"/>
      <c r="B6" s="51">
        <f>COUNTA('Subscription Cohort Data'!A2:A3070)-COUNTBLANK('Subscription Cohort Data'!A2:A3070)</f>
        <v>3069</v>
      </c>
      <c r="C6" s="51"/>
      <c r="D6" s="51">
        <f>COUNT('Subscription Cohort Data'!C2:C3070)-COUNTBLANK('Subscription Cohort Data'!C2:C3070)</f>
        <v>939</v>
      </c>
      <c r="E6" s="51"/>
    </row>
    <row r="7" spans="1:5">
      <c r="A7" s="8"/>
    </row>
    <row r="8" spans="1:5">
      <c r="A8" s="76" t="s">
        <v>22</v>
      </c>
      <c r="B8" s="3"/>
      <c r="C8" s="3"/>
      <c r="D8" s="3"/>
    </row>
    <row r="9" spans="1:5">
      <c r="A9" s="8"/>
    </row>
    <row r="10" spans="1:5">
      <c r="A10" s="8"/>
      <c r="B10" t="s">
        <v>28</v>
      </c>
      <c r="C10" t="s">
        <v>29</v>
      </c>
    </row>
    <row r="11" spans="1:5">
      <c r="A11" s="8"/>
      <c r="B11">
        <f>COUNTIF(Table1[was_subscription_paid], "Yes")</f>
        <v>2936</v>
      </c>
      <c r="C11">
        <f>COUNTIF(Table1[was_subscription_paid], "No")</f>
        <v>133</v>
      </c>
    </row>
    <row r="12" spans="1:5">
      <c r="A12" s="8"/>
    </row>
    <row r="13" spans="1:5">
      <c r="A13" s="8"/>
      <c r="B13" t="s">
        <v>52</v>
      </c>
      <c r="C13" t="s">
        <v>53</v>
      </c>
    </row>
    <row r="14" spans="1:5">
      <c r="A14" s="8"/>
      <c r="B14">
        <f>B11/B6*100</f>
        <v>95.666340827631146</v>
      </c>
      <c r="C14">
        <f>C11/B6*100</f>
        <v>4.3336591723688498</v>
      </c>
    </row>
    <row r="15" spans="1:5">
      <c r="A15" s="8"/>
    </row>
    <row r="16" spans="1:5">
      <c r="A16" s="8"/>
    </row>
    <row r="17" spans="1:6">
      <c r="A17" s="8"/>
    </row>
    <row r="18" spans="1:6">
      <c r="A18" s="76" t="s">
        <v>23</v>
      </c>
      <c r="B18" s="3"/>
      <c r="C18" s="3"/>
      <c r="D18" s="3"/>
    </row>
    <row r="19" spans="1:6">
      <c r="A19" s="8"/>
      <c r="B19">
        <f>AVERAGE(Table1[Cancellation Duration] )</f>
        <v>58.374251497005986</v>
      </c>
    </row>
    <row r="20" spans="1:6">
      <c r="A20" s="76" t="s">
        <v>24</v>
      </c>
      <c r="B20" s="3"/>
      <c r="C20" s="3"/>
      <c r="D20" s="3"/>
    </row>
    <row r="21" spans="1:6">
      <c r="A21" s="8"/>
    </row>
    <row r="22" spans="1:6">
      <c r="A22" s="8"/>
      <c r="B22" s="17" t="s">
        <v>36</v>
      </c>
      <c r="C22" t="s">
        <v>38</v>
      </c>
    </row>
    <row r="23" spans="1:6">
      <c r="A23" s="8"/>
      <c r="B23" s="18">
        <v>44879</v>
      </c>
      <c r="C23">
        <v>20</v>
      </c>
    </row>
    <row r="24" spans="1:6">
      <c r="A24" s="8"/>
      <c r="B24" s="19" t="s">
        <v>37</v>
      </c>
      <c r="C24">
        <v>20</v>
      </c>
    </row>
    <row r="25" spans="1:6">
      <c r="A25" s="8"/>
    </row>
    <row r="26" spans="1:6">
      <c r="A26" s="8"/>
    </row>
    <row r="27" spans="1:6">
      <c r="A27" s="76" t="s">
        <v>25</v>
      </c>
      <c r="B27" s="3"/>
      <c r="C27" s="3"/>
      <c r="D27" s="3"/>
      <c r="E27" s="3"/>
      <c r="F27" s="20">
        <f>'Subscription Cohort Data'!J2/'Subscription Cohort Data'!K2</f>
        <v>8.6826347305389226E-2</v>
      </c>
    </row>
    <row r="28" spans="1:6">
      <c r="A28" s="8"/>
    </row>
    <row r="29" spans="1:6">
      <c r="A29" s="8"/>
    </row>
    <row r="30" spans="1:6">
      <c r="A30" s="8"/>
    </row>
    <row r="31" spans="1:6">
      <c r="A31" s="8"/>
    </row>
  </sheetData>
  <mergeCells count="4">
    <mergeCell ref="B5:C5"/>
    <mergeCell ref="D5:E5"/>
    <mergeCell ref="B6:C6"/>
    <mergeCell ref="D6:E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3FE6-BF43-4150-A0BA-FA1DA59F26E2}">
  <dimension ref="A2:W51"/>
  <sheetViews>
    <sheetView showGridLines="0" topLeftCell="A8" zoomScale="51" zoomScaleNormal="91" workbookViewId="0">
      <selection activeCell="Z19" sqref="Z19"/>
    </sheetView>
  </sheetViews>
  <sheetFormatPr defaultRowHeight="14.5"/>
  <cols>
    <col min="5" max="5" width="5.1796875" customWidth="1"/>
    <col min="10" max="10" width="5.6328125" customWidth="1"/>
    <col min="13" max="13" width="8.7265625" customWidth="1"/>
  </cols>
  <sheetData>
    <row r="2" spans="1:23">
      <c r="A2" s="28"/>
      <c r="B2" s="29"/>
      <c r="C2" s="29"/>
      <c r="D2" s="29"/>
      <c r="E2" s="29"/>
      <c r="F2" s="29"/>
      <c r="G2" s="29"/>
      <c r="H2" s="29"/>
      <c r="I2" s="29"/>
      <c r="J2" s="29"/>
      <c r="K2" s="29"/>
      <c r="L2" s="29"/>
      <c r="M2" s="29"/>
      <c r="N2" s="29"/>
      <c r="O2" s="29"/>
      <c r="P2" s="29"/>
      <c r="Q2" s="29"/>
      <c r="R2" s="29"/>
      <c r="S2" s="29"/>
      <c r="T2" s="29"/>
      <c r="U2" s="29"/>
      <c r="V2" s="29"/>
      <c r="W2" s="30"/>
    </row>
    <row r="3" spans="1:23">
      <c r="A3" s="31"/>
      <c r="B3" s="32"/>
      <c r="C3" s="32"/>
      <c r="D3" s="32"/>
      <c r="E3" s="32"/>
      <c r="F3" s="32"/>
      <c r="G3" s="32"/>
      <c r="H3" s="32"/>
      <c r="I3" s="32"/>
      <c r="J3" s="32"/>
      <c r="K3" s="32"/>
      <c r="L3" s="32"/>
      <c r="M3" s="32"/>
      <c r="N3" s="32"/>
      <c r="O3" s="32"/>
      <c r="P3" s="32"/>
      <c r="Q3" s="32"/>
      <c r="R3" s="32"/>
      <c r="S3" s="32"/>
      <c r="T3" s="32"/>
      <c r="U3" s="32"/>
      <c r="V3" s="32"/>
      <c r="W3" s="33"/>
    </row>
    <row r="4" spans="1:23">
      <c r="A4" s="31"/>
      <c r="B4" s="32"/>
      <c r="C4" s="32"/>
      <c r="D4" s="32"/>
      <c r="E4" s="32"/>
      <c r="F4" s="32"/>
      <c r="G4" s="32"/>
      <c r="H4" s="32"/>
      <c r="I4" s="32"/>
      <c r="J4" s="32"/>
      <c r="K4" s="32"/>
      <c r="L4" s="32"/>
      <c r="M4" s="32"/>
      <c r="N4" s="32"/>
      <c r="O4" s="32"/>
      <c r="P4" s="32"/>
      <c r="Q4" s="32"/>
      <c r="R4" s="32"/>
      <c r="S4" s="32"/>
      <c r="T4" s="32"/>
      <c r="U4" s="32"/>
      <c r="V4" s="32"/>
      <c r="W4" s="33"/>
    </row>
    <row r="5" spans="1:23">
      <c r="A5" s="31"/>
      <c r="B5" s="32"/>
      <c r="C5" s="32"/>
      <c r="D5" s="32"/>
      <c r="E5" s="32"/>
      <c r="F5" s="32"/>
      <c r="G5" s="32"/>
      <c r="H5" s="32"/>
      <c r="I5" s="32"/>
      <c r="J5" s="32"/>
      <c r="K5" s="32"/>
      <c r="L5" s="32"/>
      <c r="M5" s="32"/>
      <c r="N5" s="32"/>
      <c r="O5" s="32"/>
      <c r="P5" s="32"/>
      <c r="Q5" s="32"/>
      <c r="R5" s="32"/>
      <c r="S5" s="32"/>
      <c r="T5" s="32"/>
      <c r="U5" s="32"/>
      <c r="V5" s="32"/>
      <c r="W5" s="33"/>
    </row>
    <row r="6" spans="1:23">
      <c r="A6" s="31"/>
      <c r="B6" s="32"/>
      <c r="C6" s="32"/>
      <c r="D6" s="32"/>
      <c r="E6" s="32"/>
      <c r="F6" s="32"/>
      <c r="G6" s="32"/>
      <c r="H6" s="32"/>
      <c r="I6" s="32"/>
      <c r="J6" s="32"/>
      <c r="K6" s="32"/>
      <c r="L6" s="32"/>
      <c r="M6" s="32"/>
      <c r="N6" s="32"/>
      <c r="O6" s="32"/>
      <c r="P6" s="32"/>
      <c r="Q6" s="32"/>
      <c r="R6" s="32"/>
      <c r="S6" s="32"/>
      <c r="T6" s="32"/>
      <c r="U6" s="32"/>
      <c r="V6" s="32"/>
      <c r="W6" s="33"/>
    </row>
    <row r="7" spans="1:23">
      <c r="A7" s="31"/>
      <c r="B7" s="32"/>
      <c r="C7" s="32"/>
      <c r="D7" s="32"/>
      <c r="E7" s="32"/>
      <c r="F7" s="32"/>
      <c r="G7" s="32"/>
      <c r="H7" s="32"/>
      <c r="I7" s="32"/>
      <c r="J7" s="32"/>
      <c r="K7" s="32"/>
      <c r="L7" s="32"/>
      <c r="M7" s="32"/>
      <c r="N7" s="32"/>
      <c r="O7" s="32"/>
      <c r="P7" s="32"/>
      <c r="Q7" s="32"/>
      <c r="R7" s="32"/>
      <c r="S7" s="32"/>
      <c r="T7" s="32"/>
      <c r="U7" s="32"/>
      <c r="V7" s="32"/>
      <c r="W7" s="33"/>
    </row>
    <row r="8" spans="1:23">
      <c r="A8" s="31"/>
      <c r="B8" s="32"/>
      <c r="C8" s="32"/>
      <c r="D8" s="32"/>
      <c r="E8" s="32"/>
      <c r="F8" s="32"/>
      <c r="G8" s="32"/>
      <c r="H8" s="32"/>
      <c r="I8" s="32"/>
      <c r="J8" s="32"/>
      <c r="K8" s="32"/>
      <c r="L8" s="32"/>
      <c r="M8" s="32"/>
      <c r="N8" s="32"/>
      <c r="O8" s="32"/>
      <c r="P8" s="32"/>
      <c r="Q8" s="32"/>
      <c r="R8" s="32"/>
      <c r="S8" s="32"/>
      <c r="T8" s="32"/>
      <c r="U8" s="32"/>
      <c r="V8" s="32"/>
      <c r="W8" s="33"/>
    </row>
    <row r="9" spans="1:23">
      <c r="A9" s="31"/>
      <c r="B9" s="32"/>
      <c r="C9" s="32"/>
      <c r="D9" s="32"/>
      <c r="E9" s="32"/>
      <c r="F9" s="32"/>
      <c r="G9" s="32"/>
      <c r="H9" s="32"/>
      <c r="I9" s="32"/>
      <c r="J9" s="32"/>
      <c r="K9" s="32"/>
      <c r="L9" s="32"/>
      <c r="M9" s="32"/>
      <c r="N9" s="32"/>
      <c r="O9" s="32"/>
      <c r="P9" s="32"/>
      <c r="Q9" s="32"/>
      <c r="R9" s="32"/>
      <c r="S9" s="32"/>
      <c r="T9" s="32"/>
      <c r="U9" s="32"/>
      <c r="V9" s="32"/>
      <c r="W9" s="33"/>
    </row>
    <row r="10" spans="1:23" ht="14.5" customHeight="1">
      <c r="A10" s="31"/>
      <c r="B10" s="32"/>
      <c r="C10" s="32"/>
      <c r="D10" s="32"/>
      <c r="E10" s="32"/>
      <c r="F10" s="54"/>
      <c r="G10" s="54"/>
      <c r="H10" s="54"/>
      <c r="I10" s="32"/>
      <c r="J10" s="32"/>
      <c r="K10" s="32"/>
      <c r="L10" s="32"/>
      <c r="M10" s="32"/>
      <c r="N10" s="32"/>
      <c r="O10" s="32"/>
      <c r="P10" s="32"/>
      <c r="Q10" s="32"/>
      <c r="R10" s="32"/>
      <c r="S10" s="32"/>
      <c r="T10" s="32"/>
      <c r="U10" s="32"/>
      <c r="V10" s="32"/>
      <c r="W10" s="33"/>
    </row>
    <row r="11" spans="1:23">
      <c r="A11" s="31"/>
      <c r="B11" s="32"/>
      <c r="C11" s="53"/>
      <c r="D11" s="53"/>
      <c r="E11" s="34"/>
      <c r="F11" s="35"/>
      <c r="G11" s="32"/>
      <c r="H11" s="35"/>
      <c r="I11" s="32"/>
      <c r="J11" s="32"/>
      <c r="K11" s="32"/>
      <c r="L11" s="32"/>
      <c r="M11" s="32"/>
      <c r="N11" s="32"/>
      <c r="O11" s="32"/>
      <c r="P11" s="32"/>
      <c r="Q11" s="32"/>
      <c r="R11" s="32"/>
      <c r="S11" s="32"/>
      <c r="T11" s="32"/>
      <c r="U11" s="32"/>
      <c r="V11" s="32"/>
      <c r="W11" s="33"/>
    </row>
    <row r="12" spans="1:23">
      <c r="A12" s="31"/>
      <c r="B12" s="32"/>
      <c r="C12" s="32"/>
      <c r="D12" s="32"/>
      <c r="E12" s="32"/>
      <c r="F12" s="32"/>
      <c r="G12" s="32"/>
      <c r="H12" s="32"/>
      <c r="I12" s="32"/>
      <c r="J12" s="32"/>
      <c r="K12" s="32"/>
      <c r="L12" s="32"/>
      <c r="M12" s="32"/>
      <c r="N12" s="32"/>
      <c r="O12" s="32"/>
      <c r="P12" s="32"/>
      <c r="Q12" s="32"/>
      <c r="R12" s="32"/>
      <c r="S12" s="32"/>
      <c r="T12" s="32"/>
      <c r="U12" s="32"/>
      <c r="V12" s="32"/>
      <c r="W12" s="33"/>
    </row>
    <row r="13" spans="1:23">
      <c r="A13" s="31"/>
      <c r="B13" s="32"/>
      <c r="C13" s="32"/>
      <c r="D13" s="32"/>
      <c r="E13" s="32"/>
      <c r="F13" s="32"/>
      <c r="G13" s="32"/>
      <c r="H13" s="32"/>
      <c r="I13" s="32"/>
      <c r="J13" s="32"/>
      <c r="K13" s="32"/>
      <c r="L13" s="32"/>
      <c r="M13" s="32"/>
      <c r="N13" s="32"/>
      <c r="O13" s="32"/>
      <c r="P13" s="32"/>
      <c r="Q13" s="32"/>
      <c r="R13" s="32"/>
      <c r="S13" s="32"/>
      <c r="T13" s="32"/>
      <c r="U13" s="32"/>
      <c r="V13" s="32"/>
      <c r="W13" s="33"/>
    </row>
    <row r="14" spans="1:23">
      <c r="A14" s="31"/>
      <c r="B14" s="32"/>
      <c r="C14" s="32"/>
      <c r="D14" s="32"/>
      <c r="E14" s="32"/>
      <c r="F14" s="32"/>
      <c r="G14" s="32"/>
      <c r="H14" s="32"/>
      <c r="I14" s="32"/>
      <c r="J14" s="32"/>
      <c r="K14" s="32"/>
      <c r="L14" s="32"/>
      <c r="M14" s="32"/>
      <c r="N14" s="32"/>
      <c r="O14" s="32"/>
      <c r="P14" s="32"/>
      <c r="Q14" s="32"/>
      <c r="R14" s="32"/>
      <c r="S14" s="32"/>
      <c r="T14" s="32"/>
      <c r="U14" s="32"/>
      <c r="V14" s="32"/>
      <c r="W14" s="33"/>
    </row>
    <row r="15" spans="1:23">
      <c r="A15" s="31"/>
      <c r="B15" s="32"/>
      <c r="C15" s="32"/>
      <c r="D15" s="32"/>
      <c r="E15" s="32"/>
      <c r="F15" s="32"/>
      <c r="G15" s="32"/>
      <c r="H15" s="32"/>
      <c r="I15" s="32"/>
      <c r="J15" s="32"/>
      <c r="K15" s="32"/>
      <c r="L15" s="32"/>
      <c r="M15" s="32"/>
      <c r="N15" s="32"/>
      <c r="O15" s="32"/>
      <c r="P15" s="32"/>
      <c r="Q15" s="32"/>
      <c r="R15" s="32"/>
      <c r="S15" s="32"/>
      <c r="T15" s="32"/>
      <c r="U15" s="32"/>
      <c r="V15" s="32"/>
      <c r="W15" s="33"/>
    </row>
    <row r="16" spans="1:23">
      <c r="A16" s="31"/>
      <c r="B16" s="32"/>
      <c r="C16" s="32"/>
      <c r="D16" s="32"/>
      <c r="E16" s="32"/>
      <c r="F16" s="32"/>
      <c r="G16" s="32"/>
      <c r="H16" s="32"/>
      <c r="I16" s="32"/>
      <c r="J16" s="32"/>
      <c r="K16" s="32"/>
      <c r="L16" s="32"/>
      <c r="M16" s="32"/>
      <c r="N16" s="32"/>
      <c r="O16" s="32"/>
      <c r="P16" s="32"/>
      <c r="Q16" s="32"/>
      <c r="R16" s="32"/>
      <c r="S16" s="32"/>
      <c r="T16" s="32"/>
      <c r="U16" s="32"/>
      <c r="V16" s="32"/>
      <c r="W16" s="33"/>
    </row>
    <row r="17" spans="1:23">
      <c r="A17" s="31"/>
      <c r="B17" s="32"/>
      <c r="C17" s="32"/>
      <c r="D17" s="32"/>
      <c r="E17" s="32"/>
      <c r="F17" s="32"/>
      <c r="G17" s="32"/>
      <c r="H17" s="32"/>
      <c r="I17" s="32"/>
      <c r="J17" s="32"/>
      <c r="K17" s="32"/>
      <c r="L17" s="32"/>
      <c r="M17" s="32"/>
      <c r="N17" s="32"/>
      <c r="O17" s="32"/>
      <c r="P17" s="32"/>
      <c r="Q17" s="32"/>
      <c r="R17" s="32"/>
      <c r="S17" s="32"/>
      <c r="T17" s="32"/>
      <c r="U17" s="32"/>
      <c r="V17" s="32"/>
      <c r="W17" s="33"/>
    </row>
    <row r="18" spans="1:23">
      <c r="A18" s="31"/>
      <c r="B18" s="32"/>
      <c r="C18" s="32"/>
      <c r="D18" s="32"/>
      <c r="E18" s="32"/>
      <c r="F18" s="32"/>
      <c r="G18" s="32"/>
      <c r="H18" s="32"/>
      <c r="I18" s="32"/>
      <c r="J18" s="32"/>
      <c r="K18" s="32"/>
      <c r="L18" s="32"/>
      <c r="M18" s="32"/>
      <c r="N18" s="32"/>
      <c r="O18" s="32"/>
      <c r="P18" s="32"/>
      <c r="Q18" s="32"/>
      <c r="R18" s="32"/>
      <c r="S18" s="32"/>
      <c r="T18" s="32"/>
      <c r="U18" s="32"/>
      <c r="V18" s="32"/>
      <c r="W18" s="33"/>
    </row>
    <row r="19" spans="1:23">
      <c r="A19" s="31"/>
      <c r="B19" s="32"/>
      <c r="C19" s="32"/>
      <c r="D19" s="32"/>
      <c r="E19" s="32"/>
      <c r="F19" s="32"/>
      <c r="G19" s="32"/>
      <c r="H19" s="32"/>
      <c r="I19" s="32"/>
      <c r="J19" s="32"/>
      <c r="K19" s="32"/>
      <c r="L19" s="32"/>
      <c r="M19" s="32"/>
      <c r="N19" s="32"/>
      <c r="O19" s="32"/>
      <c r="P19" s="32"/>
      <c r="Q19" s="32"/>
      <c r="R19" s="32"/>
      <c r="S19" s="32"/>
      <c r="T19" s="32"/>
      <c r="U19" s="32"/>
      <c r="V19" s="32"/>
      <c r="W19" s="33"/>
    </row>
    <row r="20" spans="1:23">
      <c r="A20" s="31"/>
      <c r="B20" s="32"/>
      <c r="C20" s="32"/>
      <c r="D20" s="32"/>
      <c r="E20" s="32"/>
      <c r="F20" s="32"/>
      <c r="G20" s="32"/>
      <c r="H20" s="32"/>
      <c r="I20" s="32"/>
      <c r="J20" s="32"/>
      <c r="K20" s="32"/>
      <c r="L20" s="32"/>
      <c r="M20" s="32"/>
      <c r="N20" s="32"/>
      <c r="O20" s="32"/>
      <c r="P20" s="32"/>
      <c r="Q20" s="32"/>
      <c r="R20" s="32"/>
      <c r="S20" s="32"/>
      <c r="T20" s="32"/>
      <c r="U20" s="32"/>
      <c r="V20" s="32"/>
      <c r="W20" s="33"/>
    </row>
    <row r="21" spans="1:23">
      <c r="A21" s="31"/>
      <c r="B21" s="32"/>
      <c r="C21" s="32"/>
      <c r="D21" s="32"/>
      <c r="E21" s="32"/>
      <c r="F21" s="32"/>
      <c r="G21" s="32"/>
      <c r="H21" s="32"/>
      <c r="I21" s="32"/>
      <c r="J21" s="32"/>
      <c r="K21" s="32"/>
      <c r="L21" s="32"/>
      <c r="M21" s="32"/>
      <c r="N21" s="32"/>
      <c r="O21" s="32"/>
      <c r="P21" s="32"/>
      <c r="Q21" s="32"/>
      <c r="R21" s="32"/>
      <c r="S21" s="32"/>
      <c r="T21" s="32"/>
      <c r="U21" s="32"/>
      <c r="V21" s="32"/>
      <c r="W21" s="33"/>
    </row>
    <row r="22" spans="1:23">
      <c r="A22" s="31"/>
      <c r="B22" s="32"/>
      <c r="C22" s="32"/>
      <c r="D22" s="32"/>
      <c r="E22" s="32"/>
      <c r="F22" s="32"/>
      <c r="G22" s="32"/>
      <c r="H22" s="32"/>
      <c r="I22" s="32"/>
      <c r="J22" s="32"/>
      <c r="K22" s="32"/>
      <c r="L22" s="32"/>
      <c r="M22" s="32"/>
      <c r="N22" s="32"/>
      <c r="O22" s="32"/>
      <c r="P22" s="32"/>
      <c r="Q22" s="32"/>
      <c r="R22" s="32"/>
      <c r="S22" s="32"/>
      <c r="T22" s="32"/>
      <c r="U22" s="32"/>
      <c r="V22" s="32"/>
      <c r="W22" s="33"/>
    </row>
    <row r="23" spans="1:23">
      <c r="A23" s="31"/>
      <c r="B23" s="32"/>
      <c r="C23" s="32"/>
      <c r="D23" s="32"/>
      <c r="E23" s="32"/>
      <c r="F23" s="32"/>
      <c r="G23" s="32"/>
      <c r="H23" s="32"/>
      <c r="I23" s="32"/>
      <c r="J23" s="32"/>
      <c r="K23" s="32"/>
      <c r="L23" s="32"/>
      <c r="M23" s="32"/>
      <c r="N23" s="32"/>
      <c r="O23" s="32"/>
      <c r="P23" s="32"/>
      <c r="Q23" s="32"/>
      <c r="R23" s="32"/>
      <c r="S23" s="32"/>
      <c r="T23" s="32"/>
      <c r="U23" s="32"/>
      <c r="V23" s="32"/>
      <c r="W23" s="33"/>
    </row>
    <row r="24" spans="1:23">
      <c r="A24" s="31"/>
      <c r="B24" s="32"/>
      <c r="C24" s="32"/>
      <c r="D24" s="32"/>
      <c r="E24" s="32"/>
      <c r="F24" s="32"/>
      <c r="G24" s="32"/>
      <c r="H24" s="32"/>
      <c r="I24" s="32"/>
      <c r="J24" s="32"/>
      <c r="K24" s="32"/>
      <c r="L24" s="32"/>
      <c r="M24" s="32"/>
      <c r="N24" s="32"/>
      <c r="O24" s="32"/>
      <c r="P24" s="32"/>
      <c r="Q24" s="32"/>
      <c r="R24" s="32"/>
      <c r="S24" s="32"/>
      <c r="T24" s="32"/>
      <c r="U24" s="32"/>
      <c r="V24" s="32"/>
      <c r="W24" s="33"/>
    </row>
    <row r="25" spans="1:23">
      <c r="A25" s="31"/>
      <c r="B25" s="32"/>
      <c r="C25" s="32"/>
      <c r="D25" s="32"/>
      <c r="E25" s="32"/>
      <c r="F25" s="32"/>
      <c r="G25" s="32"/>
      <c r="H25" s="32"/>
      <c r="I25" s="32"/>
      <c r="J25" s="32"/>
      <c r="K25" s="32"/>
      <c r="L25" s="32"/>
      <c r="M25" s="32"/>
      <c r="N25" s="32"/>
      <c r="O25" s="32"/>
      <c r="P25" s="32"/>
      <c r="Q25" s="32"/>
      <c r="R25" s="32"/>
      <c r="S25" s="32"/>
      <c r="T25" s="32"/>
      <c r="U25" s="32"/>
      <c r="V25" s="32"/>
      <c r="W25" s="33"/>
    </row>
    <row r="26" spans="1:23">
      <c r="A26" s="31"/>
      <c r="B26" s="32"/>
      <c r="C26" s="32"/>
      <c r="D26" s="32"/>
      <c r="E26" s="32"/>
      <c r="F26" s="32"/>
      <c r="G26" s="32"/>
      <c r="H26" s="32"/>
      <c r="I26" s="32"/>
      <c r="J26" s="32"/>
      <c r="K26" s="32"/>
      <c r="L26" s="32"/>
      <c r="M26" s="32"/>
      <c r="N26" s="32"/>
      <c r="O26" s="32"/>
      <c r="P26" s="32"/>
      <c r="Q26" s="32"/>
      <c r="R26" s="32"/>
      <c r="S26" s="32"/>
      <c r="T26" s="32"/>
      <c r="U26" s="32"/>
      <c r="V26" s="32"/>
      <c r="W26" s="33"/>
    </row>
    <row r="27" spans="1:23">
      <c r="A27" s="31"/>
      <c r="B27" s="32"/>
      <c r="C27" s="32"/>
      <c r="D27" s="32"/>
      <c r="E27" s="32"/>
      <c r="F27" s="32"/>
      <c r="G27" s="32"/>
      <c r="H27" s="32"/>
      <c r="I27" s="32"/>
      <c r="J27" s="32"/>
      <c r="K27" s="32"/>
      <c r="L27" s="32"/>
      <c r="M27" s="32"/>
      <c r="N27" s="32"/>
      <c r="O27" s="32"/>
      <c r="P27" s="32"/>
      <c r="Q27" s="32"/>
      <c r="R27" s="32"/>
      <c r="S27" s="32"/>
      <c r="T27" s="32"/>
      <c r="U27" s="32"/>
      <c r="V27" s="32"/>
      <c r="W27" s="33"/>
    </row>
    <row r="28" spans="1:23">
      <c r="A28" s="31"/>
      <c r="B28" s="32"/>
      <c r="C28" s="32"/>
      <c r="D28" s="32"/>
      <c r="E28" s="32"/>
      <c r="F28" s="32"/>
      <c r="G28" s="32"/>
      <c r="H28" s="32"/>
      <c r="I28" s="32"/>
      <c r="J28" s="32"/>
      <c r="K28" s="32"/>
      <c r="L28" s="32"/>
      <c r="M28" s="32"/>
      <c r="N28" s="32"/>
      <c r="O28" s="32"/>
      <c r="P28" s="32"/>
      <c r="Q28" s="32"/>
      <c r="R28" s="32"/>
      <c r="S28" s="32"/>
      <c r="T28" s="32"/>
      <c r="U28" s="32"/>
      <c r="V28" s="32"/>
      <c r="W28" s="33"/>
    </row>
    <row r="29" spans="1:23">
      <c r="A29" s="31"/>
      <c r="B29" s="32"/>
      <c r="C29" s="32"/>
      <c r="D29" s="32"/>
      <c r="E29" s="32"/>
      <c r="F29" s="32"/>
      <c r="G29" s="32"/>
      <c r="H29" s="32"/>
      <c r="I29" s="32"/>
      <c r="J29" s="32"/>
      <c r="K29" s="32"/>
      <c r="L29" s="32"/>
      <c r="M29" s="32"/>
      <c r="N29" s="32"/>
      <c r="O29" s="32"/>
      <c r="P29" s="32"/>
      <c r="Q29" s="32"/>
      <c r="R29" s="32"/>
      <c r="S29" s="32"/>
      <c r="T29" s="32"/>
      <c r="U29" s="32"/>
      <c r="V29" s="32"/>
      <c r="W29" s="33"/>
    </row>
    <row r="30" spans="1:23">
      <c r="A30" s="31"/>
      <c r="B30" s="32"/>
      <c r="C30" s="32"/>
      <c r="D30" s="32"/>
      <c r="E30" s="32"/>
      <c r="F30" s="32"/>
      <c r="G30" s="32"/>
      <c r="H30" s="32"/>
      <c r="I30" s="32"/>
      <c r="J30" s="32"/>
      <c r="K30" s="32"/>
      <c r="L30" s="32"/>
      <c r="M30" s="32"/>
      <c r="N30" s="32"/>
      <c r="O30" s="32"/>
      <c r="P30" s="32"/>
      <c r="Q30" s="32"/>
      <c r="R30" s="32"/>
      <c r="S30" s="32"/>
      <c r="T30" s="32"/>
      <c r="U30" s="32"/>
      <c r="V30" s="32"/>
      <c r="W30" s="33"/>
    </row>
    <row r="31" spans="1:23">
      <c r="A31" s="31"/>
      <c r="B31" s="32"/>
      <c r="C31" s="32"/>
      <c r="D31" s="32"/>
      <c r="E31" s="32"/>
      <c r="F31" s="32"/>
      <c r="G31" s="32"/>
      <c r="H31" s="32"/>
      <c r="I31" s="32"/>
      <c r="J31" s="32"/>
      <c r="K31" s="32"/>
      <c r="L31" s="32"/>
      <c r="M31" s="32"/>
      <c r="N31" s="32"/>
      <c r="O31" s="32"/>
      <c r="P31" s="32"/>
      <c r="Q31" s="32"/>
      <c r="R31" s="32"/>
      <c r="S31" s="32"/>
      <c r="T31" s="32"/>
      <c r="U31" s="32"/>
      <c r="V31" s="32"/>
      <c r="W31" s="33"/>
    </row>
    <row r="32" spans="1:23">
      <c r="A32" s="31"/>
      <c r="B32" s="32"/>
      <c r="C32" s="32"/>
      <c r="D32" s="32"/>
      <c r="E32" s="32"/>
      <c r="F32" s="32"/>
      <c r="G32" s="32"/>
      <c r="H32" s="32"/>
      <c r="I32" s="32"/>
      <c r="J32" s="32"/>
      <c r="K32" s="32"/>
      <c r="L32" s="32"/>
      <c r="M32" s="32"/>
      <c r="N32" s="32"/>
      <c r="O32" s="32"/>
      <c r="P32" s="32"/>
      <c r="Q32" s="32"/>
      <c r="R32" s="32"/>
      <c r="S32" s="32"/>
      <c r="T32" s="32"/>
      <c r="U32" s="32"/>
      <c r="V32" s="32"/>
      <c r="W32" s="33"/>
    </row>
    <row r="33" spans="1:23">
      <c r="A33" s="31"/>
      <c r="B33" s="32"/>
      <c r="C33" s="32"/>
      <c r="D33" s="32"/>
      <c r="E33" s="32"/>
      <c r="F33" s="32"/>
      <c r="G33" s="32"/>
      <c r="H33" s="32"/>
      <c r="I33" s="32"/>
      <c r="J33" s="32"/>
      <c r="K33" s="32"/>
      <c r="L33" s="32"/>
      <c r="M33" s="32"/>
      <c r="N33" s="32"/>
      <c r="O33" s="32"/>
      <c r="P33" s="32"/>
      <c r="Q33" s="32"/>
      <c r="R33" s="32"/>
      <c r="S33" s="32"/>
      <c r="T33" s="32"/>
      <c r="U33" s="32"/>
      <c r="V33" s="32"/>
      <c r="W33" s="33"/>
    </row>
    <row r="34" spans="1:23">
      <c r="A34" s="31"/>
      <c r="B34" s="32"/>
      <c r="C34" s="32"/>
      <c r="D34" s="32"/>
      <c r="E34" s="32"/>
      <c r="F34" s="32"/>
      <c r="G34" s="32"/>
      <c r="H34" s="32"/>
      <c r="I34" s="32"/>
      <c r="J34" s="32"/>
      <c r="K34" s="32"/>
      <c r="L34" s="32"/>
      <c r="M34" s="32"/>
      <c r="N34" s="32"/>
      <c r="O34" s="32"/>
      <c r="P34" s="32"/>
      <c r="Q34" s="32"/>
      <c r="R34" s="32"/>
      <c r="S34" s="32"/>
      <c r="T34" s="32"/>
      <c r="U34" s="32"/>
      <c r="V34" s="32"/>
      <c r="W34" s="33"/>
    </row>
    <row r="35" spans="1:23">
      <c r="A35" s="31"/>
      <c r="B35" s="32"/>
      <c r="C35" s="32"/>
      <c r="D35" s="32"/>
      <c r="E35" s="32"/>
      <c r="F35" s="32"/>
      <c r="G35" s="32"/>
      <c r="H35" s="32"/>
      <c r="I35" s="32"/>
      <c r="J35" s="32"/>
      <c r="K35" s="32"/>
      <c r="L35" s="32"/>
      <c r="M35" s="32"/>
      <c r="N35" s="32"/>
      <c r="O35" s="32"/>
      <c r="P35" s="32"/>
      <c r="Q35" s="32"/>
      <c r="R35" s="32"/>
      <c r="S35" s="32"/>
      <c r="T35" s="32"/>
      <c r="U35" s="32"/>
      <c r="V35" s="32"/>
      <c r="W35" s="33"/>
    </row>
    <row r="36" spans="1:23">
      <c r="A36" s="31"/>
      <c r="B36" s="32"/>
      <c r="C36" s="32"/>
      <c r="D36" s="32"/>
      <c r="E36" s="32"/>
      <c r="F36" s="32"/>
      <c r="G36" s="32"/>
      <c r="H36" s="32"/>
      <c r="I36" s="32"/>
      <c r="J36" s="32"/>
      <c r="K36" s="32"/>
      <c r="L36" s="32"/>
      <c r="M36" s="32"/>
      <c r="N36" s="32"/>
      <c r="O36" s="32"/>
      <c r="P36" s="32"/>
      <c r="Q36" s="32"/>
      <c r="R36" s="32"/>
      <c r="S36" s="32"/>
      <c r="T36" s="32"/>
      <c r="U36" s="32"/>
      <c r="V36" s="32"/>
      <c r="W36" s="33"/>
    </row>
    <row r="37" spans="1:23">
      <c r="A37" s="31"/>
      <c r="B37" s="32"/>
      <c r="C37" s="32"/>
      <c r="D37" s="32"/>
      <c r="E37" s="32"/>
      <c r="F37" s="32"/>
      <c r="G37" s="32"/>
      <c r="H37" s="32"/>
      <c r="I37" s="32"/>
      <c r="J37" s="32"/>
      <c r="K37" s="32"/>
      <c r="L37" s="32"/>
      <c r="M37" s="32"/>
      <c r="N37" s="32"/>
      <c r="O37" s="32"/>
      <c r="P37" s="32"/>
      <c r="Q37" s="32"/>
      <c r="R37" s="32"/>
      <c r="S37" s="32"/>
      <c r="T37" s="32"/>
      <c r="U37" s="32"/>
      <c r="V37" s="32"/>
      <c r="W37" s="33"/>
    </row>
    <row r="38" spans="1:23">
      <c r="A38" s="31"/>
      <c r="B38" s="32"/>
      <c r="C38" s="32"/>
      <c r="D38" s="32"/>
      <c r="E38" s="32"/>
      <c r="F38" s="32"/>
      <c r="G38" s="32"/>
      <c r="H38" s="32"/>
      <c r="I38" s="32"/>
      <c r="J38" s="32"/>
      <c r="K38" s="32"/>
      <c r="L38" s="32"/>
      <c r="M38" s="32"/>
      <c r="N38" s="32"/>
      <c r="O38" s="32"/>
      <c r="P38" s="32"/>
      <c r="Q38" s="32"/>
      <c r="R38" s="32"/>
      <c r="S38" s="32"/>
      <c r="T38" s="32"/>
      <c r="U38" s="32"/>
      <c r="V38" s="32"/>
      <c r="W38" s="33"/>
    </row>
    <row r="39" spans="1:23">
      <c r="A39" s="31"/>
      <c r="B39" s="32"/>
      <c r="C39" s="32"/>
      <c r="D39" s="32"/>
      <c r="E39" s="32"/>
      <c r="F39" s="32"/>
      <c r="G39" s="32"/>
      <c r="H39" s="32"/>
      <c r="I39" s="32"/>
      <c r="J39" s="32"/>
      <c r="K39" s="32"/>
      <c r="L39" s="32"/>
      <c r="M39" s="32"/>
      <c r="N39" s="32"/>
      <c r="O39" s="32"/>
      <c r="P39" s="32"/>
      <c r="Q39" s="32"/>
      <c r="R39" s="32"/>
      <c r="S39" s="32"/>
      <c r="T39" s="32"/>
      <c r="U39" s="32"/>
      <c r="V39" s="32"/>
      <c r="W39" s="33"/>
    </row>
    <row r="40" spans="1:23">
      <c r="A40" s="31"/>
      <c r="B40" s="32"/>
      <c r="C40" s="32"/>
      <c r="D40" s="32"/>
      <c r="E40" s="32"/>
      <c r="F40" s="32"/>
      <c r="G40" s="32"/>
      <c r="H40" s="32"/>
      <c r="I40" s="32"/>
      <c r="J40" s="32"/>
      <c r="K40" s="32"/>
      <c r="L40" s="32"/>
      <c r="M40" s="32"/>
      <c r="N40" s="32"/>
      <c r="O40" s="32"/>
      <c r="P40" s="32"/>
      <c r="Q40" s="32"/>
      <c r="R40" s="32"/>
      <c r="S40" s="32"/>
      <c r="T40" s="32"/>
      <c r="U40" s="32"/>
      <c r="V40" s="32"/>
      <c r="W40" s="33"/>
    </row>
    <row r="41" spans="1:23">
      <c r="A41" s="31"/>
      <c r="B41" s="32"/>
      <c r="C41" s="32"/>
      <c r="D41" s="32"/>
      <c r="E41" s="32"/>
      <c r="F41" s="32"/>
      <c r="G41" s="32"/>
      <c r="H41" s="32"/>
      <c r="I41" s="32"/>
      <c r="J41" s="32"/>
      <c r="K41" s="32"/>
      <c r="L41" s="32"/>
      <c r="M41" s="32"/>
      <c r="N41" s="32"/>
      <c r="O41" s="32"/>
      <c r="P41" s="32"/>
      <c r="Q41" s="32"/>
      <c r="R41" s="32"/>
      <c r="S41" s="32"/>
      <c r="T41" s="32"/>
      <c r="U41" s="32"/>
      <c r="V41" s="32"/>
      <c r="W41" s="33"/>
    </row>
    <row r="42" spans="1:23">
      <c r="A42" s="31"/>
      <c r="B42" s="32"/>
      <c r="C42" s="32"/>
      <c r="D42" s="32"/>
      <c r="E42" s="32"/>
      <c r="F42" s="32"/>
      <c r="G42" s="32"/>
      <c r="H42" s="32"/>
      <c r="I42" s="32"/>
      <c r="J42" s="32"/>
      <c r="K42" s="32"/>
      <c r="L42" s="32"/>
      <c r="M42" s="32"/>
      <c r="N42" s="32"/>
      <c r="O42" s="32"/>
      <c r="P42" s="32"/>
      <c r="Q42" s="32"/>
      <c r="R42" s="32"/>
      <c r="S42" s="32"/>
      <c r="T42" s="32"/>
      <c r="U42" s="32"/>
      <c r="V42" s="32"/>
      <c r="W42" s="33"/>
    </row>
    <row r="43" spans="1:23">
      <c r="A43" s="31"/>
      <c r="B43" s="32"/>
      <c r="C43" s="32"/>
      <c r="D43" s="32"/>
      <c r="E43" s="32"/>
      <c r="F43" s="32"/>
      <c r="G43" s="32"/>
      <c r="H43" s="32"/>
      <c r="I43" s="32"/>
      <c r="J43" s="32"/>
      <c r="K43" s="32"/>
      <c r="L43" s="32"/>
      <c r="M43" s="32"/>
      <c r="N43" s="32"/>
      <c r="O43" s="32"/>
      <c r="P43" s="32"/>
      <c r="Q43" s="32"/>
      <c r="R43" s="32"/>
      <c r="S43" s="32"/>
      <c r="T43" s="32"/>
      <c r="U43" s="32"/>
      <c r="V43" s="32"/>
      <c r="W43" s="33"/>
    </row>
    <row r="44" spans="1:23">
      <c r="A44" s="31"/>
      <c r="B44" s="32"/>
      <c r="C44" s="32"/>
      <c r="D44" s="32"/>
      <c r="E44" s="32"/>
      <c r="F44" s="32"/>
      <c r="G44" s="32"/>
      <c r="H44" s="32"/>
      <c r="I44" s="32"/>
      <c r="J44" s="32"/>
      <c r="K44" s="32"/>
      <c r="L44" s="32"/>
      <c r="M44" s="32"/>
      <c r="N44" s="32"/>
      <c r="O44" s="32"/>
      <c r="P44" s="32"/>
      <c r="Q44" s="32"/>
      <c r="R44" s="32"/>
      <c r="S44" s="32"/>
      <c r="T44" s="32"/>
      <c r="U44" s="32"/>
      <c r="V44" s="32"/>
      <c r="W44" s="33"/>
    </row>
    <row r="45" spans="1:23">
      <c r="A45" s="31"/>
      <c r="B45" s="32"/>
      <c r="C45" s="32"/>
      <c r="D45" s="32"/>
      <c r="E45" s="32"/>
      <c r="F45" s="32"/>
      <c r="G45" s="32"/>
      <c r="H45" s="32"/>
      <c r="I45" s="32"/>
      <c r="J45" s="32"/>
      <c r="K45" s="32"/>
      <c r="L45" s="32"/>
      <c r="M45" s="32"/>
      <c r="N45" s="32"/>
      <c r="O45" s="32"/>
      <c r="P45" s="32"/>
      <c r="Q45" s="32"/>
      <c r="R45" s="32"/>
      <c r="S45" s="32"/>
      <c r="T45" s="32"/>
      <c r="U45" s="32"/>
      <c r="V45" s="32"/>
      <c r="W45" s="33"/>
    </row>
    <row r="46" spans="1:23">
      <c r="A46" s="31"/>
      <c r="B46" s="32"/>
      <c r="C46" s="32"/>
      <c r="D46" s="32"/>
      <c r="E46" s="32"/>
      <c r="F46" s="32"/>
      <c r="G46" s="32"/>
      <c r="H46" s="32"/>
      <c r="I46" s="32"/>
      <c r="J46" s="32"/>
      <c r="K46" s="32"/>
      <c r="L46" s="32"/>
      <c r="M46" s="32"/>
      <c r="N46" s="32"/>
      <c r="O46" s="32"/>
      <c r="P46" s="32"/>
      <c r="Q46" s="32"/>
      <c r="R46" s="32"/>
      <c r="S46" s="32"/>
      <c r="T46" s="32"/>
      <c r="U46" s="32"/>
      <c r="V46" s="32"/>
      <c r="W46" s="33"/>
    </row>
    <row r="47" spans="1:23">
      <c r="A47" s="31"/>
      <c r="B47" s="32"/>
      <c r="C47" s="32"/>
      <c r="D47" s="32"/>
      <c r="E47" s="32"/>
      <c r="F47" s="32"/>
      <c r="G47" s="32"/>
      <c r="H47" s="32"/>
      <c r="I47" s="32"/>
      <c r="J47" s="32"/>
      <c r="K47" s="32"/>
      <c r="L47" s="32"/>
      <c r="M47" s="32"/>
      <c r="N47" s="32"/>
      <c r="O47" s="32"/>
      <c r="P47" s="32"/>
      <c r="Q47" s="32"/>
      <c r="R47" s="32"/>
      <c r="S47" s="32"/>
      <c r="T47" s="32"/>
      <c r="U47" s="32"/>
      <c r="V47" s="32"/>
      <c r="W47" s="33"/>
    </row>
    <row r="48" spans="1:23">
      <c r="A48" s="31"/>
      <c r="B48" s="32"/>
      <c r="C48" s="32"/>
      <c r="D48" s="32"/>
      <c r="E48" s="32"/>
      <c r="F48" s="32"/>
      <c r="G48" s="32"/>
      <c r="H48" s="32"/>
      <c r="I48" s="32"/>
      <c r="J48" s="32"/>
      <c r="K48" s="32"/>
      <c r="L48" s="32"/>
      <c r="M48" s="32"/>
      <c r="N48" s="32"/>
      <c r="O48" s="32"/>
      <c r="P48" s="32"/>
      <c r="Q48" s="32"/>
      <c r="R48" s="32"/>
      <c r="S48" s="32"/>
      <c r="T48" s="32"/>
      <c r="U48" s="32"/>
      <c r="V48" s="32"/>
      <c r="W48" s="33"/>
    </row>
    <row r="49" spans="1:23">
      <c r="A49" s="31"/>
      <c r="B49" s="32"/>
      <c r="C49" s="32"/>
      <c r="D49" s="32"/>
      <c r="E49" s="32"/>
      <c r="F49" s="32"/>
      <c r="G49" s="32"/>
      <c r="H49" s="32"/>
      <c r="I49" s="32"/>
      <c r="J49" s="32"/>
      <c r="K49" s="32"/>
      <c r="L49" s="32"/>
      <c r="M49" s="32"/>
      <c r="N49" s="32"/>
      <c r="O49" s="32"/>
      <c r="P49" s="32"/>
      <c r="Q49" s="32"/>
      <c r="R49" s="32"/>
      <c r="S49" s="32"/>
      <c r="T49" s="32"/>
      <c r="U49" s="32"/>
      <c r="V49" s="32"/>
      <c r="W49" s="33"/>
    </row>
    <row r="50" spans="1:23">
      <c r="A50" s="31"/>
      <c r="B50" s="32"/>
      <c r="C50" s="32"/>
      <c r="D50" s="32"/>
      <c r="E50" s="32"/>
      <c r="F50" s="32"/>
      <c r="G50" s="32"/>
      <c r="H50" s="32"/>
      <c r="I50" s="32"/>
      <c r="J50" s="32"/>
      <c r="K50" s="32"/>
      <c r="L50" s="32"/>
      <c r="M50" s="32"/>
      <c r="N50" s="32"/>
      <c r="O50" s="32"/>
      <c r="P50" s="32"/>
      <c r="Q50" s="32"/>
      <c r="R50" s="32"/>
      <c r="S50" s="32"/>
      <c r="T50" s="32"/>
      <c r="U50" s="32"/>
      <c r="V50" s="32"/>
      <c r="W50" s="33"/>
    </row>
    <row r="51" spans="1:23">
      <c r="A51" s="36"/>
      <c r="B51" s="37"/>
      <c r="C51" s="37"/>
      <c r="D51" s="37"/>
      <c r="E51" s="37"/>
      <c r="F51" s="37"/>
      <c r="G51" s="37"/>
      <c r="H51" s="37"/>
      <c r="I51" s="37"/>
      <c r="J51" s="37"/>
      <c r="K51" s="37"/>
      <c r="L51" s="37"/>
      <c r="M51" s="37"/>
      <c r="N51" s="37"/>
      <c r="O51" s="37"/>
      <c r="P51" s="37"/>
      <c r="Q51" s="37"/>
      <c r="R51" s="37"/>
      <c r="S51" s="37"/>
      <c r="T51" s="37"/>
      <c r="U51" s="37"/>
      <c r="V51" s="37"/>
      <c r="W51" s="38"/>
    </row>
  </sheetData>
  <mergeCells count="2">
    <mergeCell ref="C11:D11"/>
    <mergeCell ref="F10:H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CE1E-98F7-471A-86F9-188F30E48D5E}">
  <dimension ref="A2:H42"/>
  <sheetViews>
    <sheetView tabSelected="1" topLeftCell="A26" zoomScale="91" workbookViewId="0">
      <selection activeCell="F40" sqref="F40"/>
    </sheetView>
  </sheetViews>
  <sheetFormatPr defaultRowHeight="14.5"/>
  <cols>
    <col min="3" max="3" width="19.26953125" bestFit="1" customWidth="1"/>
    <col min="4" max="4" width="16.90625" customWidth="1"/>
    <col min="5" max="5" width="21" bestFit="1" customWidth="1"/>
    <col min="6" max="6" width="23" bestFit="1" customWidth="1"/>
    <col min="7" max="7" width="10.453125" bestFit="1" customWidth="1"/>
    <col min="8" max="8" width="12.90625" customWidth="1"/>
    <col min="9" max="364" width="10.453125" bestFit="1" customWidth="1"/>
    <col min="365" max="365" width="10.7265625" bestFit="1" customWidth="1"/>
  </cols>
  <sheetData>
    <row r="2" spans="1:6">
      <c r="A2" s="49" t="s">
        <v>71</v>
      </c>
      <c r="B2" s="49"/>
      <c r="C2" s="49"/>
    </row>
    <row r="4" spans="1:6">
      <c r="B4" s="48" t="s">
        <v>72</v>
      </c>
      <c r="C4" s="48"/>
      <c r="D4" s="48"/>
      <c r="E4" s="48"/>
    </row>
    <row r="5" spans="1:6">
      <c r="B5" s="8"/>
    </row>
    <row r="6" spans="1:6">
      <c r="B6" s="8"/>
      <c r="D6" s="17" t="s">
        <v>36</v>
      </c>
      <c r="E6" t="s">
        <v>68</v>
      </c>
    </row>
    <row r="7" spans="1:6">
      <c r="B7" s="8"/>
      <c r="D7" s="18">
        <v>45104</v>
      </c>
      <c r="E7">
        <v>14</v>
      </c>
    </row>
    <row r="8" spans="1:6">
      <c r="B8" s="8"/>
      <c r="D8" s="19" t="s">
        <v>37</v>
      </c>
      <c r="E8">
        <v>14</v>
      </c>
    </row>
    <row r="9" spans="1:6">
      <c r="B9" s="8"/>
      <c r="D9" s="19"/>
    </row>
    <row r="10" spans="1:6">
      <c r="B10" s="48" t="s">
        <v>73</v>
      </c>
      <c r="C10" s="48"/>
      <c r="D10" s="48"/>
      <c r="E10" s="48"/>
    </row>
    <row r="11" spans="1:6">
      <c r="B11" s="48"/>
      <c r="C11" s="48"/>
      <c r="D11" s="48"/>
      <c r="E11" s="48"/>
    </row>
    <row r="12" spans="1:6">
      <c r="B12" s="8"/>
    </row>
    <row r="13" spans="1:6">
      <c r="B13" s="8"/>
      <c r="D13" s="6" cm="1">
        <f t="array" ref="D13">MAX(_xlfn._xlws.FILTER(Table1[canceled_date], Table1[created_date]=Table1[canceled_date]))</f>
        <v>45172</v>
      </c>
      <c r="E13" s="1">
        <f>COUNTIF(Table1[canceled_date],D13)</f>
        <v>10</v>
      </c>
    </row>
    <row r="14" spans="1:6">
      <c r="B14" s="8"/>
    </row>
    <row r="15" spans="1:6">
      <c r="B15" s="8"/>
    </row>
    <row r="16" spans="1:6">
      <c r="B16" s="48" t="s">
        <v>74</v>
      </c>
      <c r="C16" s="48"/>
      <c r="D16" s="48"/>
      <c r="E16" s="48"/>
      <c r="F16" s="26">
        <f>COUNTIFS(Table1[Cancellation Duration], "&lt;=2") / COUNTA(Table1[canceled_date])</f>
        <v>0.14620758483033933</v>
      </c>
    </row>
    <row r="17" spans="2:6">
      <c r="B17" s="8"/>
    </row>
    <row r="18" spans="2:6">
      <c r="B18" s="50" t="s">
        <v>75</v>
      </c>
      <c r="C18" s="50"/>
      <c r="D18" s="50"/>
      <c r="E18" s="50"/>
      <c r="F18" s="27">
        <f>COUNTIFS(Table1[Cancellation Duration], "&gt;30")</f>
        <v>1267</v>
      </c>
    </row>
    <row r="19" spans="2:6">
      <c r="B19" s="8"/>
    </row>
    <row r="20" spans="2:6">
      <c r="B20" s="48" t="s">
        <v>76</v>
      </c>
      <c r="C20" s="48"/>
      <c r="D20" s="48"/>
      <c r="E20" s="48"/>
    </row>
    <row r="21" spans="2:6">
      <c r="B21" s="8"/>
    </row>
    <row r="22" spans="2:6" ht="29">
      <c r="B22" s="8"/>
      <c r="D22" s="21" t="s">
        <v>41</v>
      </c>
      <c r="E22" s="1">
        <f>COUNTIF(Table1[Cancellation Duration],1)</f>
        <v>174</v>
      </c>
    </row>
    <row r="23" spans="2:6">
      <c r="B23" s="8"/>
    </row>
    <row r="24" spans="2:6">
      <c r="B24" s="48" t="s">
        <v>77</v>
      </c>
      <c r="C24" s="48"/>
      <c r="D24" s="48"/>
      <c r="E24" s="48"/>
    </row>
    <row r="25" spans="2:6">
      <c r="B25" s="8"/>
    </row>
    <row r="26" spans="2:6">
      <c r="C26" s="17" t="s">
        <v>36</v>
      </c>
      <c r="D26" t="s">
        <v>39</v>
      </c>
    </row>
    <row r="27" spans="2:6">
      <c r="C27" s="19" t="s">
        <v>55</v>
      </c>
      <c r="D27">
        <v>539</v>
      </c>
    </row>
    <row r="28" spans="2:6">
      <c r="C28" s="19" t="s">
        <v>37</v>
      </c>
      <c r="D28">
        <v>539</v>
      </c>
    </row>
    <row r="32" spans="2:6">
      <c r="B32" s="48" t="s">
        <v>78</v>
      </c>
      <c r="C32" s="48"/>
      <c r="D32" s="48"/>
      <c r="E32" s="48"/>
      <c r="F32" s="48"/>
    </row>
    <row r="33" spans="3:8" ht="15" thickBot="1"/>
    <row r="34" spans="3:8" ht="15" thickBot="1">
      <c r="C34" s="59" t="s">
        <v>87</v>
      </c>
      <c r="D34" s="66" t="s">
        <v>79</v>
      </c>
      <c r="E34" s="67"/>
      <c r="F34" s="68" t="s">
        <v>85</v>
      </c>
      <c r="G34" s="69" t="s">
        <v>86</v>
      </c>
      <c r="H34" s="70"/>
    </row>
    <row r="35" spans="3:8" ht="15" thickBot="1">
      <c r="C35" s="56" t="s">
        <v>80</v>
      </c>
      <c r="D35" s="65">
        <f>COUNTA('Subscription Cohort Data'!A2:A3070)-COUNTBLANK('Subscription Cohort Data'!A2:A3070)</f>
        <v>3069</v>
      </c>
      <c r="E35" s="75"/>
      <c r="F35" s="62">
        <f>D38/D37</f>
        <v>0.27792915531335149</v>
      </c>
      <c r="G35" s="63">
        <f>D40/D39</f>
        <v>0.92481203007518797</v>
      </c>
      <c r="H35" s="64"/>
    </row>
    <row r="36" spans="3:8" ht="15" thickBot="1">
      <c r="C36" s="56" t="s">
        <v>81</v>
      </c>
      <c r="D36" s="57">
        <f>COUNT('Subscription Cohort Data'!C2:C3070)-COUNTBLANK('Subscription Cohort Data'!C2:C3070)</f>
        <v>939</v>
      </c>
      <c r="E36" s="58"/>
    </row>
    <row r="37" spans="3:8" ht="15" thickBot="1">
      <c r="C37" s="56" t="s">
        <v>82</v>
      </c>
      <c r="D37" s="61">
        <f>COUNTIF(Table1[was_subscription_paid], "Yes")</f>
        <v>2936</v>
      </c>
      <c r="E37" s="55"/>
    </row>
    <row r="38" spans="3:8" ht="58.5" thickBot="1">
      <c r="C38" s="56" t="s">
        <v>89</v>
      </c>
      <c r="D38" s="71">
        <f>D36-D40</f>
        <v>816</v>
      </c>
      <c r="E38" s="72"/>
    </row>
    <row r="39" spans="3:8" ht="15" thickBot="1">
      <c r="C39" s="56" t="s">
        <v>83</v>
      </c>
      <c r="D39" s="73">
        <f>COUNTIF(Table1[was_subscription_paid], "No")</f>
        <v>133</v>
      </c>
      <c r="E39" s="74"/>
    </row>
    <row r="40" spans="3:8" ht="15" thickBot="1">
      <c r="C40" s="60" t="s">
        <v>84</v>
      </c>
      <c r="D40" s="73">
        <f>COUNTIFS('Subscription Cohort Data'!D2:D3070,"No",'Subscription Cohort Data'!C2:C3070,"&lt;&gt;")</f>
        <v>123</v>
      </c>
      <c r="E40" s="74"/>
      <c r="F40" s="20"/>
    </row>
    <row r="42" spans="3:8">
      <c r="C42" s="3" t="s">
        <v>90</v>
      </c>
    </row>
  </sheetData>
  <mergeCells count="16">
    <mergeCell ref="D40:E40"/>
    <mergeCell ref="G35:H35"/>
    <mergeCell ref="D34:E34"/>
    <mergeCell ref="D35:E35"/>
    <mergeCell ref="D36:E36"/>
    <mergeCell ref="D39:E39"/>
    <mergeCell ref="D37:E37"/>
    <mergeCell ref="D38:E38"/>
    <mergeCell ref="B32:F32"/>
    <mergeCell ref="A2:C2"/>
    <mergeCell ref="B10:E11"/>
    <mergeCell ref="B4:E4"/>
    <mergeCell ref="B16:E16"/>
    <mergeCell ref="B18:E18"/>
    <mergeCell ref="B20:E20"/>
    <mergeCell ref="B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Subscription Cohort Data</vt:lpstr>
      <vt:lpstr>Data Description</vt:lpstr>
      <vt:lpstr>Requirements</vt:lpstr>
      <vt:lpstr>dashbord_feeder</vt:lpstr>
      <vt:lpstr>Data_Analytics_Task</vt:lpstr>
      <vt:lpstr>Dashboard</vt:lpstr>
      <vt:lpstr>Question_Analysis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jmaha</dc:creator>
  <cp:lastModifiedBy>Vishal Rahtore</cp:lastModifiedBy>
  <dcterms:created xsi:type="dcterms:W3CDTF">2025-03-29T06:01:13Z</dcterms:created>
  <dcterms:modified xsi:type="dcterms:W3CDTF">2026-03-12T06:22:10Z</dcterms:modified>
</cp:coreProperties>
</file>